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20"/>
  </bookViews>
  <sheets>
    <sheet name="Dashboard" sheetId="16" r:id="rId1"/>
    <sheet name="Pivot table" sheetId="18" r:id="rId2"/>
    <sheet name="Raw_Data" sheetId="15" r:id="rId3"/>
    <sheet name="Monthly Report" sheetId="1" r:id="rId4"/>
    <sheet name="Weekly Report" sheetId="2" r:id="rId5"/>
    <sheet name="January" sheetId="3" r:id="rId6"/>
    <sheet name="February" sheetId="4" r:id="rId7"/>
    <sheet name="March" sheetId="5" r:id="rId8"/>
    <sheet name="April" sheetId="6" r:id="rId9"/>
    <sheet name="May" sheetId="7" r:id="rId10"/>
    <sheet name="June" sheetId="8" r:id="rId11"/>
    <sheet name="July" sheetId="9" r:id="rId12"/>
    <sheet name="August" sheetId="10" r:id="rId13"/>
    <sheet name="September" sheetId="11" r:id="rId14"/>
    <sheet name="October" sheetId="12" r:id="rId15"/>
    <sheet name="November" sheetId="13" r:id="rId16"/>
    <sheet name="December" sheetId="14" r:id="rId17"/>
  </sheets>
  <definedNames>
    <definedName name="Slicer_Column1">#N/A</definedName>
    <definedName name="Slicer_Quarter">#N/A</definedName>
    <definedName name="Slicer_Day">#N/A</definedName>
  </definedNames>
  <calcPr calcId="191029"/>
  <pivotCaches>
    <pivotCache cacheId="0" r:id="rId18"/>
  </pivotCaches>
  <extLst>
    <ext xmlns:x14="http://schemas.microsoft.com/office/spreadsheetml/2009/9/main" uri="{BBE1A952-AA13-448e-AADC-164F8A28A991}">
      <x14:slicerCaches>
        <x14:slicerCache r:id="rId21"/>
        <x14:slicerCache r:id="rId20"/>
        <x14:slicerCache r:id="rId19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<sst xmlns="http://schemas.openxmlformats.org/spreadsheetml/2006/main" count="1788" uniqueCount="214">
  <si>
    <t xml:space="preserve"> Non-Profit Operations Dashboard 2026</t>
  </si>
  <si>
    <t>Mock data dashboard tracking service delivery, income, donations, WEV outcomes, marketing activity, and volunteer support. Mock Data Portfolio Project inspired by Dress for Success operational reporting.</t>
  </si>
  <si>
    <t xml:space="preserve">Total Income </t>
  </si>
  <si>
    <t>Completion Rate</t>
  </si>
  <si>
    <t xml:space="preserve">Completed Styling </t>
  </si>
  <si>
    <t>WEV Employed</t>
  </si>
  <si>
    <t>Donations Received(Kg)</t>
  </si>
  <si>
    <t>Re-Donations (Kg)</t>
  </si>
  <si>
    <t>Volunteer Count</t>
  </si>
  <si>
    <t>Volunteer Hours</t>
  </si>
  <si>
    <t>Sum of Total Stylings Registrations</t>
  </si>
  <si>
    <t>Sum of Total Completed Styling Services</t>
  </si>
  <si>
    <t>Sum of Completion Rate</t>
  </si>
  <si>
    <t>Sum of Volunteer Count Total</t>
  </si>
  <si>
    <t>Sum of Volunteer Hours Total</t>
  </si>
  <si>
    <t>Sum of Total Income</t>
  </si>
  <si>
    <t>Sum of Donations Received kg</t>
  </si>
  <si>
    <t>Sum of Re-Donations kg</t>
  </si>
  <si>
    <t>Sum of WEV Employed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</si>
  <si>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</si>
  <si>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</si>
  <si>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</si>
  <si>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</si>
  <si>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</si>
  <si>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</si>
  <si>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</si>
  <si>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</si>
  <si>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</si>
  <si>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</si>
  <si>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</si>
  <si>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</si>
  <si>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</si>
  <si>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Grand Total</t>
  </si>
  <si>
    <t>Sum of Interview Styling Completed</t>
  </si>
  <si>
    <t>Sum of Confidence Styling Completed</t>
  </si>
  <si>
    <t>Sum of Total Male</t>
  </si>
  <si>
    <t>Sum of Total Female</t>
  </si>
  <si>
    <t>Sum of Total Non-Binary</t>
  </si>
  <si>
    <t>Gender</t>
  </si>
  <si>
    <t>Total</t>
  </si>
  <si>
    <t>Male</t>
  </si>
  <si>
    <t>Female</t>
  </si>
  <si>
    <t>Non-Binary</t>
  </si>
  <si>
    <t>Sum of WEV Registrations</t>
  </si>
  <si>
    <t>Sum of WEV Onboarded</t>
  </si>
  <si>
    <t>Sum of WEV Offboarded</t>
  </si>
  <si>
    <t>WEV Stage</t>
  </si>
  <si>
    <t>Registrations</t>
  </si>
  <si>
    <t>Onboarded</t>
  </si>
  <si>
    <t>Offboarded</t>
  </si>
  <si>
    <t>Employed</t>
  </si>
  <si>
    <t>Sum of Social Media Outreach</t>
  </si>
  <si>
    <t>Sum of Social Media Engagement</t>
  </si>
  <si>
    <t>Quarter</t>
  </si>
  <si>
    <t>Week</t>
  </si>
  <si>
    <t>Date</t>
  </si>
  <si>
    <t>Day</t>
  </si>
  <si>
    <t>Interview Styling Registrations</t>
  </si>
  <si>
    <t>Interview Styling Completed</t>
  </si>
  <si>
    <t>Interview Styling Male</t>
  </si>
  <si>
    <t>Interview Styling Female</t>
  </si>
  <si>
    <t>Interview Styling Non-Binary</t>
  </si>
  <si>
    <t>Confidence Styling Registrations</t>
  </si>
  <si>
    <t>Confidence Styling Completed</t>
  </si>
  <si>
    <t>Confidence Styling Male</t>
  </si>
  <si>
    <t>Confidence Styling Female</t>
  </si>
  <si>
    <t>Confidence Styling Non-Binary</t>
  </si>
  <si>
    <t>WEV Registrations</t>
  </si>
  <si>
    <t>WEV Onboarded</t>
  </si>
  <si>
    <t>WEV Offboarded</t>
  </si>
  <si>
    <t>Donations Received kg</t>
  </si>
  <si>
    <t>Re-Donations kg</t>
  </si>
  <si>
    <t>Customers Purchased</t>
  </si>
  <si>
    <t>Total Income</t>
  </si>
  <si>
    <t>Social Media Outreach</t>
  </si>
  <si>
    <t>Social Media Engagement</t>
  </si>
  <si>
    <t>Volunteer Count Retail</t>
  </si>
  <si>
    <t>Volunteer Count HR</t>
  </si>
  <si>
    <t>Volunteer Count Business Support</t>
  </si>
  <si>
    <t>Volunteer Count Marketing</t>
  </si>
  <si>
    <t>Volunteer Count Stylist</t>
  </si>
  <si>
    <t>Volunteer Count Clothing Management</t>
  </si>
  <si>
    <t>Volunteer Count Total</t>
  </si>
  <si>
    <t>Volunteer Hours Retail</t>
  </si>
  <si>
    <t>Volunteer Hours HR</t>
  </si>
  <si>
    <t>Volunteer Hours Business Support</t>
  </si>
  <si>
    <t>Volunteer Hours Marketing</t>
  </si>
  <si>
    <t>Volunteer Hours Stylist</t>
  </si>
  <si>
    <t>Volunteer Hours Clothing Management</t>
  </si>
  <si>
    <t>Volunteer Hours Total</t>
  </si>
  <si>
    <t>Total Stylings Registrations</t>
  </si>
  <si>
    <t>Total Completed Styling Services</t>
  </si>
  <si>
    <t>Total Male</t>
  </si>
  <si>
    <t>Total Female</t>
  </si>
  <si>
    <t>Total Non-Binary</t>
  </si>
  <si>
    <t>Q1</t>
  </si>
  <si>
    <t>Week 1</t>
  </si>
  <si>
    <t>Week 2</t>
  </si>
  <si>
    <t>Week 3</t>
  </si>
  <si>
    <t>Week 4</t>
  </si>
  <si>
    <t>Week 5</t>
  </si>
  <si>
    <t>Q2</t>
  </si>
  <si>
    <t>Q3</t>
  </si>
  <si>
    <t>Q4</t>
  </si>
  <si>
    <t>MONTHLY OPERATIONS REPORT - YFS - WELLINGTON HUB</t>
  </si>
  <si>
    <t>Interview Styling</t>
  </si>
  <si>
    <t>Confidence Styling</t>
  </si>
  <si>
    <t>WEV Program</t>
  </si>
  <si>
    <t xml:space="preserve"> Donations(kg)</t>
  </si>
  <si>
    <t>Terrace Income</t>
  </si>
  <si>
    <t>Marketing</t>
  </si>
  <si>
    <t xml:space="preserve">Volunteer Count by category </t>
  </si>
  <si>
    <t>Volunteer Hours by category</t>
  </si>
  <si>
    <t>MONTH</t>
  </si>
  <si>
    <t>Completed</t>
  </si>
  <si>
    <t>Donations Received</t>
  </si>
  <si>
    <t>Re-Donations</t>
  </si>
  <si>
    <t>Retail</t>
  </si>
  <si>
    <t>HR</t>
  </si>
  <si>
    <t>Business Supprt</t>
  </si>
  <si>
    <t>Stylist</t>
  </si>
  <si>
    <t>Clothing Management</t>
  </si>
  <si>
    <t>Business Support</t>
  </si>
  <si>
    <t>Grand total</t>
  </si>
  <si>
    <t>Donations(kg)</t>
  </si>
  <si>
    <t>WEEK</t>
  </si>
  <si>
    <t>TOTAL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</si>
  <si>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</si>
  <si>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</si>
  <si>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</si>
  <si>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</si>
  <si>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</si>
  <si>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</si>
  <si>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</si>
  <si>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</si>
  <si>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</si>
  <si>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</si>
  <si>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</si>
  <si>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</si>
  <si>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</si>
  <si>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</si>
  <si>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</si>
  <si>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</si>
  <si>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</si>
  <si>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</si>
  <si>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</si>
  <si>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</si>
  <si>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</si>
  <si>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</si>
  <si>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</si>
  <si>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</si>
  <si>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</si>
  <si>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</si>
  <si>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</si>
  <si>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</si>
  <si>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</si>
  <si>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</si>
  <si>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</si>
  <si>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</si>
  <si>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</si>
  <si>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</si>
  <si>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</si>
  <si>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</si>
  <si>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</si>
  <si>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</si>
  <si>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</si>
  <si>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</si>
  <si>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</si>
  <si>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</si>
  <si>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</si>
  <si>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</si>
  <si>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</si>
  <si>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</si>
  <si>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</si>
  <si>
    <t>Week 53</t>
  </si>
  <si>
    <t>Week 54</t>
  </si>
  <si>
    <t>Week 55</t>
  </si>
  <si>
    <t>Week 56</t>
  </si>
  <si>
    <t>Week 57</t>
  </si>
  <si>
    <t>Week 58</t>
  </si>
  <si>
    <t>Week 59</t>
  </si>
  <si>
    <t>Week 60</t>
  </si>
  <si>
    <t>GRAND TOTAL</t>
  </si>
  <si>
    <t>JANUARY</t>
  </si>
  <si>
    <t>WEEK 1</t>
  </si>
  <si>
    <t>WEEK 2</t>
  </si>
  <si>
    <t>WEEK 3</t>
  </si>
  <si>
    <t>WEEK 4</t>
  </si>
  <si>
    <t>WEEK 5</t>
  </si>
  <si>
    <t>JANUARY-GRAND TOTAL</t>
  </si>
  <si>
    <t>FEBRUARY</t>
  </si>
  <si>
    <t>FEBRUARY-GRAND TOTAL</t>
  </si>
  <si>
    <t>References:</t>
  </si>
  <si>
    <t>Events:Wix.com</t>
  </si>
  <si>
    <t>MARCH</t>
  </si>
  <si>
    <t>MARCH-GRAND TOTAL</t>
  </si>
  <si>
    <t>APRIL</t>
  </si>
  <si>
    <t>APRIL -GRAND TOTAL</t>
  </si>
  <si>
    <t>MAY</t>
  </si>
  <si>
    <t>MAY-GRAND TOTAL</t>
  </si>
  <si>
    <t>JUNE</t>
  </si>
  <si>
    <t>JUNE-GRAND TOTAL</t>
  </si>
  <si>
    <t>JULY</t>
  </si>
  <si>
    <t>JULY-GRAND TOTAL</t>
  </si>
  <si>
    <t>AUGUST</t>
  </si>
  <si>
    <t>AUGUST-GRAND TOTAL</t>
  </si>
  <si>
    <t>SEPTEMBER</t>
  </si>
  <si>
    <t>SEPTEMBER-GRAND TOTAL</t>
  </si>
  <si>
    <t>OCTOBER</t>
  </si>
  <si>
    <t>OCTOBER-GRAND TOTAL</t>
  </si>
  <si>
    <t>NOVEMBER</t>
  </si>
  <si>
    <t>NOVEMBER-GRAND TOTAL</t>
  </si>
  <si>
    <t>DECEMBER</t>
  </si>
  <si>
    <t>DECEMBER-GRAND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</si>
</sst>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176" formatCode="_-&quot;$&quot;* #,##0.00_-;\-&quot;$&quot;* #,##0.00_-;_-&quot;$&quot;* &quot;-&quot;??_-;_-@_-"/>
    <numFmt numFmtId="177" formatCode="0.0"/>
    <numFmt numFmtId="178" formatCode="&quot;$&quot;#,##0.00"/>
    <numFmt numFmtId="179" formatCode="yyyy\-mm\-dd"/>
    <numFmt numFmtId="180" formatCode="0.0%"/>
    <numFmt numFmtId="181" formatCode="[$$-481]#,##0.00_);[Red]\([$$-481]#,##0.00\)"/>
    <numFmt numFmtId="182" formatCode="[$$-1409]#,##0.00;\-[$$-1409]#,##0.00"/>
  </numFmts>
  <fonts count="29">
    <font>
      <sz val="11"/>
      <color theme="1"/>
      <name val="Aptos Narrow"/>
      <charset val="134"/>
    </font>
    <font>
      <sz val="11"/>
      <color theme="1"/>
      <name val="Arial Regular"/>
      <charset val="134"/>
    </font>
    <font>
      <sz val="12"/>
      <color rgb="FFFF0000"/>
      <name val="Arial Regular"/>
      <charset val="134"/>
    </font>
    <font>
      <b/>
      <sz val="20"/>
      <color theme="1"/>
      <name val="Arial Bold"/>
      <charset val="134"/>
    </font>
    <font>
      <b/>
      <sz val="11"/>
      <color theme="1"/>
      <name val="Arial Regular"/>
      <charset val="134"/>
    </font>
    <font>
      <sz val="20"/>
      <color theme="1"/>
      <name val="Arial Regular"/>
      <charset val="134"/>
    </font>
    <font>
      <b/>
      <sz val="11"/>
      <color rgb="FFFFFFFF"/>
      <name val="Arial Regular"/>
      <charset val="134"/>
    </font>
    <font>
      <b/>
      <sz val="48"/>
      <color theme="0"/>
      <name val="Aptos Narrow"/>
      <charset val="134"/>
    </font>
    <font>
      <b/>
      <i/>
      <sz val="14"/>
      <color theme="0"/>
      <name val="Aptos Narrow"/>
      <charset val="134"/>
    </font>
    <font>
      <b/>
      <sz val="14"/>
      <color theme="1"/>
      <name val="Aptos Narrow"/>
      <charset val="134"/>
    </font>
    <font>
      <b/>
      <sz val="11"/>
      <color theme="0"/>
      <name val="Arial Regular"/>
      <charset val="134"/>
    </font>
    <font>
      <sz val="11"/>
      <color rgb="FF0000FF"/>
      <name val="Aptos Narrow"/>
      <charset val="134"/>
    </font>
    <font>
      <sz val="11"/>
      <color rgb="FF800080"/>
      <name val="Aptos Narrow"/>
      <charset val="134"/>
    </font>
    <font>
      <sz val="11"/>
      <color rgb="FFFF0000"/>
      <name val="Aptos Narrow"/>
      <charset val="134"/>
    </font>
    <font>
      <b/>
      <sz val="18"/>
      <color theme="3"/>
      <name val="Aptos Narrow"/>
      <charset val="134"/>
    </font>
    <font>
      <i/>
      <sz val="11"/>
      <color rgb="FF7F7F7F"/>
      <name val="Aptos Narrow"/>
      <charset val="134"/>
    </font>
    <font>
      <b/>
      <sz val="15"/>
      <color theme="3"/>
      <name val="Aptos Narrow"/>
      <charset val="134"/>
    </font>
    <font>
      <b/>
      <sz val="13"/>
      <color theme="3"/>
      <name val="Aptos Narrow"/>
      <charset val="134"/>
    </font>
    <font>
      <b/>
      <sz val="11"/>
      <color theme="3"/>
      <name val="Aptos Narrow"/>
      <charset val="134"/>
    </font>
    <font>
      <sz val="11"/>
      <color rgb="FF3F3F76"/>
      <name val="Aptos Narrow"/>
      <charset val="134"/>
    </font>
    <font>
      <b/>
      <sz val="11"/>
      <color rgb="FF3F3F3F"/>
      <name val="Aptos Narrow"/>
      <charset val="134"/>
    </font>
    <font>
      <b/>
      <sz val="11"/>
      <color rgb="FFFA7D00"/>
      <name val="Aptos Narrow"/>
      <charset val="134"/>
    </font>
    <font>
      <b/>
      <sz val="11"/>
      <color rgb="FFFFFFFF"/>
      <name val="Aptos Narrow"/>
      <charset val="134"/>
    </font>
    <font>
      <sz val="11"/>
      <color rgb="FFFA7D00"/>
      <name val="Aptos Narrow"/>
      <charset val="134"/>
    </font>
    <font>
      <b/>
      <sz val="11"/>
      <color theme="1"/>
      <name val="Aptos Narrow"/>
      <charset val="134"/>
    </font>
    <font>
      <sz val="11"/>
      <color rgb="FF006100"/>
      <name val="Aptos Narrow"/>
      <charset val="134"/>
    </font>
    <font>
      <sz val="11"/>
      <color rgb="FF9C0006"/>
      <name val="Aptos Narrow"/>
      <charset val="134"/>
    </font>
    <font>
      <sz val="11"/>
      <color rgb="FF9C6500"/>
      <name val="Aptos Narrow"/>
      <charset val="134"/>
    </font>
    <font>
      <sz val="11"/>
      <color theme="0"/>
      <name val="Aptos Narrow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3" tint="0.74999"/>
        <bgColor indexed="64"/>
      </patternFill>
    </fill>
    <fill>
      <patternFill patternType="solid">
        <fgColor theme="3" tint="0.89999"/>
        <bgColor indexed="64"/>
      </patternFill>
    </fill>
    <fill>
      <patternFill patternType="solid">
        <fgColor theme="2" tint="-0.0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3" tint="0.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39998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2" borderId="6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7" applyNumberFormat="0" applyFill="0" applyAlignment="0" applyProtection="0">
      <alignment vertical="center"/>
    </xf>
    <xf numFmtId="0" fontId="17" fillId="0" borderId="67" applyNumberFormat="0" applyFill="0" applyAlignment="0" applyProtection="0">
      <alignment vertical="center"/>
    </xf>
    <xf numFmtId="0" fontId="18" fillId="0" borderId="6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3" borderId="69" applyNumberFormat="0" applyAlignment="0" applyProtection="0">
      <alignment vertical="center"/>
    </xf>
    <xf numFmtId="0" fontId="20" fillId="14" borderId="70" applyNumberFormat="0" applyAlignment="0" applyProtection="0">
      <alignment vertical="center"/>
    </xf>
    <xf numFmtId="0" fontId="21" fillId="14" borderId="69" applyNumberFormat="0" applyAlignment="0" applyProtection="0">
      <alignment vertical="center"/>
    </xf>
    <xf numFmtId="0" fontId="22" fillId="15" borderId="71" applyNumberFormat="0" applyAlignment="0" applyProtection="0">
      <alignment vertical="center"/>
    </xf>
    <xf numFmtId="0" fontId="23" fillId="0" borderId="72" applyNumberFormat="0" applyFill="0" applyAlignment="0" applyProtection="0">
      <alignment vertical="center"/>
    </xf>
    <xf numFmtId="0" fontId="24" fillId="0" borderId="73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</cellStyleXfs>
  <cellXfs count="19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0" xfId="0" applyFont="1" applyFill="1"/>
    <xf numFmtId="0" fontId="2" fillId="2" borderId="0" xfId="0" applyFont="1" applyFill="1"/>
    <xf numFmtId="176" fontId="1" fillId="0" borderId="0" xfId="2" applyFont="1"/>
    <xf numFmtId="0" fontId="3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1" fillId="5" borderId="1" xfId="0" applyFont="1" applyFill="1" applyBorder="1"/>
    <xf numFmtId="0" fontId="4" fillId="5" borderId="1" xfId="0" applyFont="1" applyFill="1" applyBorder="1"/>
    <xf numFmtId="0" fontId="4" fillId="5" borderId="6" xfId="0" applyFont="1" applyFill="1" applyBorder="1"/>
    <xf numFmtId="0" fontId="4" fillId="5" borderId="9" xfId="0" applyFont="1" applyFill="1" applyBorder="1"/>
    <xf numFmtId="0" fontId="4" fillId="5" borderId="10" xfId="0" applyFont="1" applyFill="1" applyBorder="1"/>
    <xf numFmtId="0" fontId="4" fillId="5" borderId="11" xfId="0" applyFont="1" applyFill="1" applyBorder="1"/>
    <xf numFmtId="0" fontId="4" fillId="5" borderId="12" xfId="0" applyFont="1" applyFill="1" applyBorder="1"/>
    <xf numFmtId="0" fontId="4" fillId="5" borderId="13" xfId="0" applyFont="1" applyFill="1" applyBorder="1"/>
    <xf numFmtId="0" fontId="4" fillId="5" borderId="14" xfId="0" applyFont="1" applyFill="1" applyBorder="1"/>
    <xf numFmtId="0" fontId="4" fillId="5" borderId="15" xfId="0" applyFont="1" applyFill="1" applyBorder="1"/>
    <xf numFmtId="0" fontId="4" fillId="5" borderId="16" xfId="0" applyFont="1" applyFill="1" applyBorder="1"/>
    <xf numFmtId="176" fontId="4" fillId="5" borderId="4" xfId="2" applyFont="1" applyFill="1" applyBorder="1"/>
    <xf numFmtId="0" fontId="4" fillId="5" borderId="17" xfId="0" applyFont="1" applyFill="1" applyBorder="1"/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177" fontId="1" fillId="0" borderId="28" xfId="0" applyNumberFormat="1" applyFont="1" applyFill="1" applyBorder="1"/>
    <xf numFmtId="177" fontId="1" fillId="0" borderId="22" xfId="0" applyNumberFormat="1" applyFont="1" applyFill="1" applyBorder="1"/>
    <xf numFmtId="0" fontId="1" fillId="0" borderId="29" xfId="0" applyFont="1" applyBorder="1"/>
    <xf numFmtId="178" fontId="1" fillId="0" borderId="30" xfId="0" applyNumberFormat="1" applyFont="1" applyFill="1" applyBorder="1"/>
    <xf numFmtId="0" fontId="1" fillId="0" borderId="31" xfId="0" applyFont="1" applyBorder="1"/>
    <xf numFmtId="177" fontId="1" fillId="0" borderId="25" xfId="0" applyNumberFormat="1" applyFont="1" applyFill="1" applyBorder="1"/>
    <xf numFmtId="177" fontId="1" fillId="0" borderId="26" xfId="0" applyNumberFormat="1" applyFont="1" applyFill="1" applyBorder="1"/>
    <xf numFmtId="177" fontId="1" fillId="0" borderId="31" xfId="0" applyNumberFormat="1" applyFont="1" applyFill="1" applyBorder="1"/>
    <xf numFmtId="177" fontId="1" fillId="0" borderId="27" xfId="0" applyNumberFormat="1" applyFont="1" applyFill="1" applyBorder="1"/>
    <xf numFmtId="58" fontId="1" fillId="0" borderId="19" xfId="0" applyNumberFormat="1" applyFont="1" applyBorder="1"/>
    <xf numFmtId="0" fontId="1" fillId="0" borderId="32" xfId="0" applyFont="1" applyBorder="1"/>
    <xf numFmtId="0" fontId="1" fillId="0" borderId="33" xfId="0" applyFont="1" applyBorder="1"/>
    <xf numFmtId="0" fontId="1" fillId="0" borderId="34" xfId="0" applyFont="1" applyBorder="1"/>
    <xf numFmtId="0" fontId="1" fillId="0" borderId="35" xfId="0" applyFont="1" applyBorder="1"/>
    <xf numFmtId="177" fontId="1" fillId="0" borderId="36" xfId="0" applyNumberFormat="1" applyFont="1" applyFill="1" applyBorder="1"/>
    <xf numFmtId="177" fontId="1" fillId="0" borderId="34" xfId="0" applyNumberFormat="1" applyFont="1" applyFill="1" applyBorder="1"/>
    <xf numFmtId="0" fontId="1" fillId="0" borderId="37" xfId="0" applyFont="1" applyBorder="1"/>
    <xf numFmtId="178" fontId="1" fillId="0" borderId="35" xfId="0" applyNumberFormat="1" applyFont="1" applyFill="1" applyBorder="1"/>
    <xf numFmtId="0" fontId="1" fillId="0" borderId="38" xfId="0" applyFont="1" applyBorder="1"/>
    <xf numFmtId="177" fontId="1" fillId="0" borderId="32" xfId="0" applyNumberFormat="1" applyFont="1" applyFill="1" applyBorder="1"/>
    <xf numFmtId="177" fontId="1" fillId="0" borderId="33" xfId="0" applyNumberFormat="1" applyFont="1" applyFill="1" applyBorder="1"/>
    <xf numFmtId="177" fontId="1" fillId="0" borderId="38" xfId="0" applyNumberFormat="1" applyFont="1" applyFill="1" applyBorder="1"/>
    <xf numFmtId="0" fontId="1" fillId="0" borderId="36" xfId="0" applyFont="1" applyBorder="1"/>
    <xf numFmtId="0" fontId="1" fillId="0" borderId="19" xfId="0" applyFont="1" applyBorder="1" applyAlignment="1">
      <alignment horizontal="center" vertical="center"/>
    </xf>
    <xf numFmtId="0" fontId="1" fillId="6" borderId="36" xfId="0" applyFont="1" applyFill="1" applyBorder="1" applyAlignment="1">
      <alignment horizontal="center"/>
    </xf>
    <xf numFmtId="0" fontId="1" fillId="6" borderId="35" xfId="0" applyFont="1" applyFill="1" applyBorder="1" applyAlignment="1">
      <alignment horizontal="center"/>
    </xf>
    <xf numFmtId="0" fontId="1" fillId="6" borderId="32" xfId="0" applyFont="1" applyFill="1" applyBorder="1"/>
    <xf numFmtId="0" fontId="1" fillId="6" borderId="33" xfId="0" applyFont="1" applyFill="1" applyBorder="1"/>
    <xf numFmtId="0" fontId="1" fillId="6" borderId="34" xfId="0" applyFont="1" applyFill="1" applyBorder="1"/>
    <xf numFmtId="0" fontId="1" fillId="6" borderId="35" xfId="0" applyFont="1" applyFill="1" applyBorder="1"/>
    <xf numFmtId="0" fontId="1" fillId="6" borderId="36" xfId="0" applyFont="1" applyFill="1" applyBorder="1"/>
    <xf numFmtId="177" fontId="1" fillId="6" borderId="36" xfId="0" applyNumberFormat="1" applyFont="1" applyFill="1" applyBorder="1"/>
    <xf numFmtId="177" fontId="1" fillId="6" borderId="34" xfId="0" applyNumberFormat="1" applyFont="1" applyFill="1" applyBorder="1"/>
    <xf numFmtId="0" fontId="1" fillId="6" borderId="37" xfId="0" applyFont="1" applyFill="1" applyBorder="1"/>
    <xf numFmtId="178" fontId="1" fillId="6" borderId="35" xfId="0" applyNumberFormat="1" applyFont="1" applyFill="1" applyBorder="1"/>
    <xf numFmtId="0" fontId="1" fillId="6" borderId="38" xfId="0" applyFont="1" applyFill="1" applyBorder="1"/>
    <xf numFmtId="177" fontId="1" fillId="6" borderId="38" xfId="0" applyNumberFormat="1" applyFont="1" applyFill="1" applyBorder="1"/>
    <xf numFmtId="58" fontId="1" fillId="0" borderId="36" xfId="0" applyNumberFormat="1" applyFont="1" applyBorder="1"/>
    <xf numFmtId="177" fontId="1" fillId="0" borderId="39" xfId="0" applyNumberFormat="1" applyFont="1" applyFill="1" applyBorder="1"/>
    <xf numFmtId="0" fontId="1" fillId="0" borderId="40" xfId="0" applyFont="1" applyBorder="1"/>
    <xf numFmtId="178" fontId="1" fillId="0" borderId="41" xfId="0" applyNumberFormat="1" applyFont="1" applyFill="1" applyBorder="1"/>
    <xf numFmtId="0" fontId="1" fillId="0" borderId="42" xfId="0" applyFont="1" applyBorder="1"/>
    <xf numFmtId="0" fontId="1" fillId="0" borderId="11" xfId="0" applyFont="1" applyBorder="1"/>
    <xf numFmtId="0" fontId="1" fillId="2" borderId="32" xfId="0" applyFont="1" applyFill="1" applyBorder="1"/>
    <xf numFmtId="0" fontId="1" fillId="6" borderId="39" xfId="0" applyFont="1" applyFill="1" applyBorder="1" applyAlignment="1">
      <alignment horizontal="center"/>
    </xf>
    <xf numFmtId="0" fontId="1" fillId="6" borderId="41" xfId="0" applyFont="1" applyFill="1" applyBorder="1" applyAlignment="1">
      <alignment horizontal="center"/>
    </xf>
    <xf numFmtId="0" fontId="1" fillId="6" borderId="43" xfId="0" applyFont="1" applyFill="1" applyBorder="1"/>
    <xf numFmtId="0" fontId="1" fillId="6" borderId="44" xfId="0" applyFont="1" applyFill="1" applyBorder="1"/>
    <xf numFmtId="0" fontId="1" fillId="6" borderId="45" xfId="0" applyFont="1" applyFill="1" applyBorder="1"/>
    <xf numFmtId="0" fontId="1" fillId="6" borderId="46" xfId="0" applyFont="1" applyFill="1" applyBorder="1"/>
    <xf numFmtId="0" fontId="1" fillId="6" borderId="47" xfId="0" applyFont="1" applyFill="1" applyBorder="1"/>
    <xf numFmtId="0" fontId="1" fillId="6" borderId="42" xfId="0" applyFont="1" applyFill="1" applyBorder="1"/>
    <xf numFmtId="0" fontId="1" fillId="6" borderId="48" xfId="0" applyFont="1" applyFill="1" applyBorder="1"/>
    <xf numFmtId="0" fontId="1" fillId="6" borderId="11" xfId="0" applyFont="1" applyFill="1" applyBorder="1"/>
    <xf numFmtId="177" fontId="1" fillId="6" borderId="43" xfId="0" applyNumberFormat="1" applyFont="1" applyFill="1" applyBorder="1"/>
    <xf numFmtId="177" fontId="1" fillId="6" borderId="49" xfId="0" applyNumberFormat="1" applyFont="1" applyFill="1" applyBorder="1"/>
    <xf numFmtId="0" fontId="1" fillId="6" borderId="40" xfId="0" applyFont="1" applyFill="1" applyBorder="1"/>
    <xf numFmtId="178" fontId="1" fillId="6" borderId="41" xfId="0" applyNumberFormat="1" applyFont="1" applyFill="1" applyBorder="1"/>
    <xf numFmtId="0" fontId="1" fillId="6" borderId="41" xfId="0" applyFont="1" applyFill="1" applyBorder="1"/>
    <xf numFmtId="0" fontId="1" fillId="6" borderId="50" xfId="0" applyFont="1" applyFill="1" applyBorder="1"/>
    <xf numFmtId="177" fontId="1" fillId="6" borderId="39" xfId="0" applyNumberFormat="1" applyFont="1" applyFill="1" applyBorder="1"/>
    <xf numFmtId="177" fontId="1" fillId="6" borderId="50" xfId="0" applyNumberFormat="1" applyFont="1" applyFill="1" applyBorder="1"/>
    <xf numFmtId="177" fontId="1" fillId="6" borderId="11" xfId="0" applyNumberFormat="1" applyFont="1" applyFill="1" applyBorder="1"/>
    <xf numFmtId="0" fontId="2" fillId="7" borderId="15" xfId="0" applyFont="1" applyFill="1" applyBorder="1" applyAlignment="1">
      <alignment horizontal="center" wrapText="1"/>
    </xf>
    <xf numFmtId="0" fontId="2" fillId="7" borderId="14" xfId="0" applyFont="1" applyFill="1" applyBorder="1" applyAlignment="1">
      <alignment horizontal="center" wrapText="1"/>
    </xf>
    <xf numFmtId="0" fontId="2" fillId="7" borderId="51" xfId="0" applyFont="1" applyFill="1" applyBorder="1"/>
    <xf numFmtId="0" fontId="2" fillId="7" borderId="52" xfId="0" applyFont="1" applyFill="1" applyBorder="1"/>
    <xf numFmtId="0" fontId="2" fillId="7" borderId="49" xfId="0" applyFont="1" applyFill="1" applyBorder="1"/>
    <xf numFmtId="0" fontId="2" fillId="7" borderId="53" xfId="0" applyFont="1" applyFill="1" applyBorder="1"/>
    <xf numFmtId="0" fontId="2" fillId="7" borderId="54" xfId="0" applyFont="1" applyFill="1" applyBorder="1"/>
    <xf numFmtId="0" fontId="2" fillId="7" borderId="15" xfId="0" applyFont="1" applyFill="1" applyBorder="1"/>
    <xf numFmtId="0" fontId="2" fillId="7" borderId="13" xfId="0" applyFont="1" applyFill="1" applyBorder="1"/>
    <xf numFmtId="0" fontId="2" fillId="7" borderId="16" xfId="0" applyFont="1" applyFill="1" applyBorder="1"/>
    <xf numFmtId="177" fontId="2" fillId="7" borderId="15" xfId="0" applyNumberFormat="1" applyFont="1" applyFill="1" applyBorder="1"/>
    <xf numFmtId="177" fontId="2" fillId="7" borderId="16" xfId="0" applyNumberFormat="1" applyFont="1" applyFill="1" applyBorder="1"/>
    <xf numFmtId="0" fontId="2" fillId="7" borderId="12" xfId="0" applyFont="1" applyFill="1" applyBorder="1"/>
    <xf numFmtId="178" fontId="2" fillId="7" borderId="12" xfId="0" applyNumberFormat="1" applyFont="1" applyFill="1" applyBorder="1"/>
    <xf numFmtId="0" fontId="2" fillId="7" borderId="14" xfId="0" applyFont="1" applyFill="1" applyBorder="1"/>
    <xf numFmtId="177" fontId="2" fillId="7" borderId="1" xfId="0" applyNumberFormat="1" applyFont="1" applyFill="1" applyBorder="1"/>
    <xf numFmtId="177" fontId="2" fillId="7" borderId="14" xfId="0" applyNumberFormat="1" applyFont="1" applyFill="1" applyBorder="1"/>
    <xf numFmtId="0" fontId="4" fillId="5" borderId="55" xfId="0" applyFont="1" applyFill="1" applyBorder="1"/>
    <xf numFmtId="178" fontId="1" fillId="0" borderId="56" xfId="0" applyNumberFormat="1" applyFont="1" applyFill="1" applyBorder="1"/>
    <xf numFmtId="178" fontId="1" fillId="0" borderId="57" xfId="0" applyNumberFormat="1" applyFont="1" applyFill="1" applyBorder="1"/>
    <xf numFmtId="178" fontId="1" fillId="6" borderId="57" xfId="0" applyNumberFormat="1" applyFont="1" applyFill="1" applyBorder="1"/>
    <xf numFmtId="178" fontId="1" fillId="0" borderId="58" xfId="0" applyNumberFormat="1" applyFont="1" applyFill="1" applyBorder="1"/>
    <xf numFmtId="0" fontId="1" fillId="2" borderId="37" xfId="0" applyFont="1" applyFill="1" applyBorder="1"/>
    <xf numFmtId="178" fontId="1" fillId="6" borderId="58" xfId="0" applyNumberFormat="1" applyFont="1" applyFill="1" applyBorder="1"/>
    <xf numFmtId="178" fontId="2" fillId="7" borderId="4" xfId="0" applyNumberFormat="1" applyFont="1" applyFill="1" applyBorder="1"/>
    <xf numFmtId="0" fontId="5" fillId="3" borderId="0" xfId="0" applyFont="1" applyFill="1" applyAlignment="1">
      <alignment horizontal="center"/>
    </xf>
    <xf numFmtId="0" fontId="1" fillId="0" borderId="59" xfId="0" applyFont="1" applyBorder="1"/>
    <xf numFmtId="0" fontId="1" fillId="5" borderId="55" xfId="0" applyFont="1" applyFill="1" applyBorder="1"/>
    <xf numFmtId="0" fontId="1" fillId="0" borderId="30" xfId="0" applyFont="1" applyBorder="1"/>
    <xf numFmtId="177" fontId="1" fillId="0" borderId="19" xfId="0" applyNumberFormat="1" applyFont="1" applyFill="1" applyBorder="1"/>
    <xf numFmtId="0" fontId="4" fillId="4" borderId="17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5" borderId="7" xfId="0" applyFont="1" applyFill="1" applyBorder="1"/>
    <xf numFmtId="0" fontId="4" fillId="5" borderId="8" xfId="0" applyFont="1" applyFill="1" applyBorder="1"/>
    <xf numFmtId="176" fontId="4" fillId="5" borderId="3" xfId="2" applyFont="1" applyFill="1" applyBorder="1"/>
    <xf numFmtId="0" fontId="1" fillId="0" borderId="5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6" borderId="61" xfId="0" applyFont="1" applyFill="1" applyBorder="1" applyAlignment="1">
      <alignment horizontal="center"/>
    </xf>
    <xf numFmtId="0" fontId="1" fillId="6" borderId="62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176" fontId="4" fillId="5" borderId="7" xfId="2" applyFont="1" applyFill="1" applyBorder="1"/>
    <xf numFmtId="0" fontId="1" fillId="0" borderId="63" xfId="0" applyFont="1" applyBorder="1"/>
    <xf numFmtId="0" fontId="1" fillId="0" borderId="64" xfId="0" applyFont="1" applyBorder="1"/>
    <xf numFmtId="0" fontId="1" fillId="0" borderId="65" xfId="0" applyFont="1" applyBorder="1"/>
    <xf numFmtId="0" fontId="1" fillId="0" borderId="48" xfId="0" applyFont="1" applyBorder="1"/>
    <xf numFmtId="0" fontId="1" fillId="0" borderId="41" xfId="0" applyFont="1" applyBorder="1"/>
    <xf numFmtId="0" fontId="1" fillId="0" borderId="50" xfId="0" applyFont="1" applyBorder="1"/>
    <xf numFmtId="0" fontId="1" fillId="0" borderId="43" xfId="0" applyFont="1" applyBorder="1"/>
    <xf numFmtId="0" fontId="1" fillId="0" borderId="45" xfId="0" applyFont="1" applyBorder="1"/>
    <xf numFmtId="0" fontId="1" fillId="0" borderId="44" xfId="0" applyFont="1" applyBorder="1"/>
    <xf numFmtId="0" fontId="2" fillId="7" borderId="1" xfId="0" applyFont="1" applyFill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6" fillId="8" borderId="0" xfId="0" applyNumberFormat="1" applyFont="1" applyFill="1" applyBorder="1" applyAlignment="1">
      <alignment horizontal="center" vertical="center" wrapText="1"/>
    </xf>
    <xf numFmtId="0" fontId="6" fillId="8" borderId="0" xfId="0" applyNumberFormat="1" applyFont="1" applyFill="1" applyAlignment="1">
      <alignment horizontal="center" vertical="center" wrapText="1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/>
    </xf>
    <xf numFmtId="179" fontId="1" fillId="0" borderId="0" xfId="0" applyNumberFormat="1" applyFont="1" applyFill="1" applyBorder="1" applyAlignment="1">
      <alignment horizontal="center"/>
    </xf>
    <xf numFmtId="179" fontId="1" fillId="0" borderId="0" xfId="0" applyNumberFormat="1" applyFont="1" applyFill="1" applyBorder="1" applyAlignment="1"/>
    <xf numFmtId="177" fontId="1" fillId="0" borderId="0" xfId="0" applyNumberFormat="1" applyFont="1" applyFill="1" applyBorder="1" applyAlignment="1"/>
    <xf numFmtId="178" fontId="1" fillId="0" borderId="0" xfId="0" applyNumberFormat="1" applyFont="1" applyFill="1" applyBorder="1" applyAlignment="1"/>
    <xf numFmtId="1" fontId="1" fillId="0" borderId="0" xfId="0" applyNumberFormat="1" applyFont="1" applyFill="1" applyAlignment="1"/>
    <xf numFmtId="180" fontId="1" fillId="0" borderId="0" xfId="0" applyNumberFormat="1" applyFont="1"/>
    <xf numFmtId="181" fontId="1" fillId="0" borderId="0" xfId="0" applyNumberFormat="1" applyFont="1"/>
    <xf numFmtId="0" fontId="1" fillId="9" borderId="33" xfId="0" applyFont="1" applyFill="1" applyBorder="1"/>
    <xf numFmtId="0" fontId="1" fillId="0" borderId="33" xfId="0" applyFont="1" applyBorder="1"/>
    <xf numFmtId="0" fontId="1" fillId="0" borderId="33" xfId="0" applyFont="1" applyBorder="1"/>
    <xf numFmtId="0" fontId="1" fillId="9" borderId="33" xfId="0" applyFont="1" applyFill="1" applyBorder="1"/>
    <xf numFmtId="0" fontId="1" fillId="0" borderId="33" xfId="0" applyFont="1" applyBorder="1"/>
    <xf numFmtId="0" fontId="1" fillId="0" borderId="33" xfId="0" applyFont="1" applyBorder="1"/>
    <xf numFmtId="0" fontId="0" fillId="10" borderId="0" xfId="0" applyFill="1"/>
    <xf numFmtId="0" fontId="7" fillId="10" borderId="0" xfId="0" applyFont="1" applyFill="1" applyBorder="1" applyAlignment="1">
      <alignment horizontal="center" vertical="center"/>
    </xf>
    <xf numFmtId="0" fontId="0" fillId="10" borderId="0" xfId="0" applyFill="1" applyBorder="1" applyAlignment="1">
      <alignment horizontal="center" vertical="center"/>
    </xf>
    <xf numFmtId="0" fontId="0" fillId="10" borderId="0" xfId="0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8" fillId="10" borderId="0" xfId="0" applyFont="1" applyFill="1" applyAlignment="1">
      <alignment vertical="top"/>
    </xf>
    <xf numFmtId="0" fontId="9" fillId="2" borderId="33" xfId="0" applyFont="1" applyFill="1" applyBorder="1" applyAlignment="1">
      <alignment horizontal="center" vertical="center"/>
    </xf>
    <xf numFmtId="0" fontId="9" fillId="2" borderId="3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0" fillId="10" borderId="0" xfId="0" applyFill="1" applyBorder="1"/>
    <xf numFmtId="0" fontId="9" fillId="2" borderId="48" xfId="0" applyFont="1" applyFill="1" applyBorder="1" applyAlignment="1">
      <alignment horizontal="center" vertical="center"/>
    </xf>
    <xf numFmtId="182" fontId="10" fillId="11" borderId="33" xfId="0" applyNumberFormat="1" applyFont="1" applyFill="1" applyBorder="1" applyAlignment="1">
      <alignment horizontal="center" vertical="center"/>
    </xf>
    <xf numFmtId="180" fontId="10" fillId="11" borderId="33" xfId="3" applyNumberFormat="1" applyFont="1" applyFill="1" applyBorder="1" applyAlignment="1">
      <alignment horizontal="center" vertical="center"/>
    </xf>
    <xf numFmtId="0" fontId="10" fillId="11" borderId="33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77">
    <dxf>
      <font>
        <name val="Arial Regular"/>
        <scheme val="none"/>
      </font>
    </dxf>
    <dxf>
      <font>
        <name val="Arial Regular"/>
        <scheme val="none"/>
      </font>
    </dxf>
    <dxf>
      <numFmt numFmtId="183" formatCode="&quot;£&quot;#,##0.00_);[Red]\(&quot;£&quot;#,##0.00\)"/>
    </dxf>
    <dxf>
      <numFmt numFmtId="184" formatCode="&quot;£&quot;#,##0.00_);[Red]\(&quot;£&quot;#,##0.00\)"/>
    </dxf>
    <dxf>
      <numFmt numFmtId="185" formatCode="&quot;£&quot;#,##0.00_);[Red]\(&quot;£&quot;#,##0.00\)"/>
    </dxf>
    <dxf>
      <numFmt numFmtId="186" formatCode="&quot;£&quot;#,##0.00_);[Red]\(&quot;£&quot;#,##0.00\)"/>
    </dxf>
    <dxf>
      <numFmt numFmtId="181" formatCode="[$$-481]#,##0.00_);[Red]\([$$-481]#,##0.00\)"/>
    </dxf>
    <dxf>
      <font>
        <name val="Arial Regular"/>
        <scheme val="none"/>
      </font>
    </dxf>
    <dxf>
      <font>
        <name val="Arial Regular"/>
        <scheme val="none"/>
      </font>
    </dxf>
    <dxf>
      <font>
        <name val="Arial Regular"/>
        <scheme val="none"/>
      </font>
    </dxf>
    <dxf>
      <font>
        <name val="Arial Regular"/>
        <scheme val="none"/>
      </font>
    </dxf>
    <dxf>
      <font>
        <name val="Arial Regular"/>
        <scheme val="none"/>
      </font>
    </dxf>
    <dxf>
      <font>
        <name val="Arial Regular"/>
        <scheme val="none"/>
      </font>
    </dxf>
    <dxf>
      <font>
        <name val="Arial Regular"/>
        <scheme val="none"/>
      </font>
    </dxf>
    <dxf>
      <font>
        <name val="Arial Regular"/>
        <scheme val="none"/>
      </font>
    </dxf>
    <dxf>
      <font>
        <name val="Arial Regular"/>
        <scheme val="none"/>
      </font>
    </dxf>
    <dxf>
      <font>
        <name val="Arial Regular"/>
        <scheme val="none"/>
      </font>
    </dxf>
    <dxf>
      <font>
        <name val="Arial Regular"/>
        <scheme val="none"/>
      </font>
      <alignment horizontal="center"/>
    </dxf>
    <dxf>
      <font>
        <name val="Arial Regular"/>
        <scheme val="none"/>
      </font>
    </dxf>
    <dxf>
      <font>
        <name val="Arial Regular"/>
        <scheme val="none"/>
      </font>
      <alignment horizontal="center"/>
    </dxf>
    <dxf>
      <font>
        <name val="Arial Regular"/>
        <scheme val="none"/>
      </font>
      <numFmt numFmtId="179" formatCode="yyyy\-mm\-dd"/>
    </dxf>
    <dxf>
      <font>
        <name val="Arial Regular"/>
        <scheme val="none"/>
      </font>
    </dxf>
    <dxf>
      <font>
        <name val="Arial Regular"/>
        <scheme val="none"/>
      </font>
    </dxf>
    <dxf>
      <font>
        <name val="Arial Regular"/>
        <scheme val="none"/>
      </font>
    </dxf>
    <dxf>
      <font>
        <name val="Arial Regular"/>
        <scheme val="none"/>
      </font>
    </dxf>
    <dxf>
      <font>
        <name val="Arial Regular"/>
        <scheme val="none"/>
      </font>
    </dxf>
    <dxf>
      <font>
        <name val="Arial Regular"/>
        <scheme val="none"/>
      </font>
    </dxf>
    <dxf>
      <font>
        <name val="Arial Regular"/>
        <scheme val="none"/>
      </font>
    </dxf>
    <dxf>
      <font>
        <name val="Arial Regular"/>
        <scheme val="none"/>
      </font>
    </dxf>
    <dxf>
      <font>
        <name val="Arial Regular"/>
        <scheme val="none"/>
      </font>
    </dxf>
    <dxf>
      <font>
        <name val="Arial Regular"/>
        <scheme val="none"/>
      </font>
    </dxf>
    <dxf>
      <font>
        <name val="Arial Regular"/>
        <scheme val="none"/>
      </font>
    </dxf>
    <dxf>
      <font>
        <name val="Arial Regular"/>
        <scheme val="none"/>
      </font>
    </dxf>
    <dxf>
      <font>
        <name val="Arial Regular"/>
        <scheme val="none"/>
      </font>
    </dxf>
    <dxf>
      <font>
        <name val="Arial Regular"/>
        <scheme val="none"/>
      </font>
    </dxf>
    <dxf>
      <font>
        <name val="Arial Regular"/>
        <scheme val="none"/>
      </font>
    </dxf>
    <dxf>
      <font>
        <name val="Arial Regular"/>
        <scheme val="none"/>
      </font>
    </dxf>
    <dxf>
      <font>
        <name val="Arial Regular"/>
        <scheme val="none"/>
      </font>
    </dxf>
    <dxf>
      <font>
        <name val="Arial Regular"/>
        <scheme val="none"/>
      </font>
    </dxf>
    <dxf>
      <font>
        <name val="Arial Regular"/>
        <scheme val="none"/>
      </font>
    </dxf>
    <dxf>
      <font>
        <name val="Arial Regular"/>
        <scheme val="none"/>
      </font>
    </dxf>
    <dxf>
      <font>
        <name val="Arial Regular"/>
        <scheme val="none"/>
      </font>
    </dxf>
    <dxf>
      <font>
        <name val="Arial Regular"/>
        <scheme val="none"/>
      </font>
    </dxf>
    <dxf>
      <font>
        <name val="Arial Regular"/>
        <scheme val="none"/>
      </font>
    </dxf>
    <dxf>
      <font>
        <name val="Arial Regular"/>
        <scheme val="none"/>
      </font>
    </dxf>
    <dxf>
      <font>
        <name val="Arial Regular"/>
        <scheme val="none"/>
      </font>
    </dxf>
    <dxf>
      <font>
        <name val="Arial Regular"/>
        <scheme val="none"/>
      </font>
    </dxf>
    <dxf>
      <font>
        <name val="Arial Regular"/>
        <scheme val="none"/>
      </font>
    </dxf>
    <dxf>
      <font>
        <name val="Arial Regular"/>
        <scheme val="none"/>
      </font>
    </dxf>
    <dxf>
      <font>
        <name val="Arial Regular"/>
        <scheme val="none"/>
      </font>
    </dxf>
    <dxf>
      <font>
        <name val="Arial Regular"/>
        <scheme val="none"/>
      </font>
    </dxf>
    <dxf>
      <font>
        <name val="Arial Regular"/>
        <scheme val="none"/>
      </font>
    </dxf>
    <dxf>
      <font>
        <name val="Arial Regular"/>
        <scheme val="none"/>
      </font>
    </dxf>
    <dxf>
      <font>
        <name val="Arial Regular"/>
        <scheme val="none"/>
      </font>
    </dxf>
    <dxf>
      <font>
        <name val="Arial Regular"/>
        <scheme val="none"/>
      </font>
    </dxf>
    <dxf>
      <font>
        <name val="Arial Regular"/>
        <scheme val="none"/>
      </font>
      <numFmt numFmtId="1" formatCode="0"/>
    </dxf>
    <dxf>
      <font>
        <name val="Arial Regular"/>
        <scheme val="none"/>
      </font>
      <numFmt numFmtId="1" formatCode="0"/>
    </dxf>
    <dxf>
      <font>
        <name val="Arial Regular"/>
        <scheme val="none"/>
      </font>
      <numFmt numFmtId="1" formatCode="0"/>
    </dxf>
    <dxf>
      <font>
        <name val="Arial Regular"/>
        <scheme val="none"/>
      </font>
      <numFmt numFmtId="1" formatCode="0"/>
    </dxf>
    <dxf>
      <font>
        <name val="Arial Regular"/>
        <scheme val="none"/>
      </font>
      <numFmt numFmtId="1" formatCode="0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6"/>
      <tableStyleElement type="headerRow" dxfId="65"/>
      <tableStyleElement type="totalRow" dxfId="64"/>
      <tableStyleElement type="firstColumn" dxfId="63"/>
      <tableStyleElement type="lastColumn" dxfId="62"/>
      <tableStyleElement type="firstRowStripe" dxfId="61"/>
      <tableStyleElement type="firstColumnStripe" dxfId="60"/>
    </tableStyle>
    <tableStyle name="PivotStylePreset2_Accent1" table="0" count="10" xr9:uid="{267968C8-6FFD-4C36-ACC1-9EA1FD1885CA}">
      <tableStyleElement type="headerRow" dxfId="76"/>
      <tableStyleElement type="totalRow" dxfId="75"/>
      <tableStyleElement type="firstRowStripe" dxfId="74"/>
      <tableStyleElement type="firstColumnStripe" dxfId="73"/>
      <tableStyleElement type="firstSubtotalRow" dxfId="72"/>
      <tableStyleElement type="secondSubtotalRow" dxfId="71"/>
      <tableStyleElement type="firstRowSubheading" dxfId="70"/>
      <tableStyleElement type="secondRowSubheading" dxfId="69"/>
      <tableStyleElement type="pageFieldLabels" dxfId="68"/>
      <tableStyleElement type="pageFieldValues" dxfId="6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microsoft.com/office/2007/relationships/slicerCache" Target="slicerCaches/slicerCache3.xml"/><Relationship Id="rId20" Type="http://schemas.microsoft.com/office/2007/relationships/slicerCache" Target="slicerCaches/slicerCache2.xml"/><Relationship Id="rId2" Type="http://schemas.openxmlformats.org/officeDocument/2006/relationships/worksheet" Target="worksheets/sheet2.xml"/><Relationship Id="rId19" Type="http://schemas.microsoft.com/office/2007/relationships/slicerCache" Target="slicerCaches/slicerCache1.xml"/><Relationship Id="rId18" Type="http://schemas.openxmlformats.org/officeDocument/2006/relationships/pivotCacheDefinition" Target="pivotCache/pivotCacheDefinition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[3.xlsx]Pivot table!Pivot_Income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Monthly Income Trend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25400">
                <a:gradFill>
                  <a:gsLst>
                    <a:gs pos="100000">
                      <a:schemeClr val="accent1"/>
                    </a:gs>
                    <a:gs pos="0">
                      <a:schemeClr val="accent1">
                        <a:hueOff val="-1670000"/>
                      </a:schemeClr>
                    </a:gs>
                  </a:gsLst>
                  <a:lin ang="0" scaled="1"/>
                </a:gradFill>
              </a:ln>
              <a:effectLst/>
            </c:spPr>
          </c:marker>
          <c:dLbls>
            <c:delete val="1"/>
          </c:dLbls>
          <c:cat>
            <c:strRef>
              <c:f>'Pivot table'!$A$7:$A$19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table'!$B$7:$B$19</c:f>
              <c:numCache>
                <c:formatCode>[$$-481]#,##0.00_);[Red]\([$$-481]#,##0.00\)</c:formatCode>
                <c:ptCount val="12"/>
                <c:pt idx="0">
                  <c:v>6313.46</c:v>
                </c:pt>
                <c:pt idx="1">
                  <c:v>5695.08</c:v>
                </c:pt>
                <c:pt idx="2">
                  <c:v>4999.83</c:v>
                </c:pt>
                <c:pt idx="3">
                  <c:v>4884</c:v>
                </c:pt>
                <c:pt idx="4">
                  <c:v>5384.65</c:v>
                </c:pt>
                <c:pt idx="5">
                  <c:v>6499</c:v>
                </c:pt>
                <c:pt idx="6">
                  <c:v>5647.43</c:v>
                </c:pt>
                <c:pt idx="7">
                  <c:v>5173.04</c:v>
                </c:pt>
                <c:pt idx="8">
                  <c:v>7142.4</c:v>
                </c:pt>
                <c:pt idx="9">
                  <c:v>6152.84</c:v>
                </c:pt>
                <c:pt idx="10">
                  <c:v>5321.49</c:v>
                </c:pt>
                <c:pt idx="11">
                  <c:v>5500.47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1"/>
        <c:axId val="557156231"/>
        <c:axId val="338471894"/>
      </c:lineChart>
      <c:catAx>
        <c:axId val="5571562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8471894"/>
        <c:crosses val="autoZero"/>
        <c:auto val="1"/>
        <c:lblAlgn val="ctr"/>
        <c:lblOffset val="100"/>
        <c:noMultiLvlLbl val="0"/>
      </c:catAx>
      <c:valAx>
        <c:axId val="3384718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[$$-481]#,##0.00_);[Red]\([$$-481]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7156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cc1f2f6-08cc-4d53-bf7b-250396a231e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[3.xlsx]Pivot table!Pivot_Services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Completed Services by Month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table'!$B$21</c:f>
              <c:strCache>
                <c:ptCount val="1"/>
                <c:pt idx="0">
                  <c:v>Sum of Interview Styling Completed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'Pivot table'!$A$22:$A$34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table'!$B$22:$B$34</c:f>
              <c:numCache>
                <c:formatCode>General</c:formatCode>
                <c:ptCount val="12"/>
                <c:pt idx="0">
                  <c:v>39</c:v>
                </c:pt>
                <c:pt idx="1">
                  <c:v>32</c:v>
                </c:pt>
                <c:pt idx="2">
                  <c:v>42</c:v>
                </c:pt>
                <c:pt idx="3">
                  <c:v>45</c:v>
                </c:pt>
                <c:pt idx="4">
                  <c:v>29</c:v>
                </c:pt>
                <c:pt idx="5">
                  <c:v>35</c:v>
                </c:pt>
                <c:pt idx="6">
                  <c:v>39</c:v>
                </c:pt>
                <c:pt idx="7">
                  <c:v>44</c:v>
                </c:pt>
                <c:pt idx="8">
                  <c:v>39</c:v>
                </c:pt>
                <c:pt idx="9">
                  <c:v>44</c:v>
                </c:pt>
                <c:pt idx="10">
                  <c:v>29</c:v>
                </c:pt>
                <c:pt idx="11">
                  <c:v>25</c:v>
                </c:pt>
              </c:numCache>
            </c:numRef>
          </c:val>
        </c:ser>
        <c:ser>
          <c:idx val="1"/>
          <c:order val="1"/>
          <c:tx>
            <c:strRef>
              <c:f>'Pivot table'!$C$21</c:f>
              <c:strCache>
                <c:ptCount val="1"/>
                <c:pt idx="0">
                  <c:v>Sum of Confidence Styling Completed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'Pivot table'!$A$22:$A$34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table'!$C$22:$C$34</c:f>
              <c:numCache>
                <c:formatCode>General</c:formatCode>
                <c:ptCount val="12"/>
                <c:pt idx="0">
                  <c:v>27</c:v>
                </c:pt>
                <c:pt idx="1">
                  <c:v>24</c:v>
                </c:pt>
                <c:pt idx="2">
                  <c:v>34</c:v>
                </c:pt>
                <c:pt idx="3">
                  <c:v>21</c:v>
                </c:pt>
                <c:pt idx="4">
                  <c:v>30</c:v>
                </c:pt>
                <c:pt idx="5">
                  <c:v>27</c:v>
                </c:pt>
                <c:pt idx="6">
                  <c:v>26</c:v>
                </c:pt>
                <c:pt idx="7">
                  <c:v>33</c:v>
                </c:pt>
                <c:pt idx="8">
                  <c:v>26</c:v>
                </c:pt>
                <c:pt idx="9">
                  <c:v>23</c:v>
                </c:pt>
                <c:pt idx="10">
                  <c:v>22</c:v>
                </c:pt>
                <c:pt idx="11">
                  <c:v>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24885937"/>
        <c:axId val="368725947"/>
      </c:barChart>
      <c:catAx>
        <c:axId val="82488593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8725947"/>
        <c:crosses val="autoZero"/>
        <c:auto val="1"/>
        <c:lblAlgn val="ctr"/>
        <c:lblOffset val="100"/>
        <c:noMultiLvlLbl val="0"/>
      </c:catAx>
      <c:valAx>
        <c:axId val="3687259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488593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0207f56-ad39-47d7-b4fe-7d1cf9e3cfb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Client Gender Breakdown</a:t>
            </a:r>
          </a:p>
        </c:rich>
      </c:tx>
      <c:layout>
        <c:manualLayout>
          <c:xMode val="edge"/>
          <c:yMode val="edge"/>
          <c:x val="0.239583333333333"/>
          <c:y val="0.039067854694996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'Pivot table'!$F$36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'Pivot table'!$E$37:$E$39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Non-Binary</c:v>
                </c:pt>
              </c:strCache>
            </c:strRef>
          </c:cat>
          <c:val>
            <c:numRef>
              <c:f>'Pivot table'!$F$37:$F$39</c:f>
              <c:numCache>
                <c:formatCode>General</c:formatCode>
                <c:ptCount val="3"/>
                <c:pt idx="0">
                  <c:v>198</c:v>
                </c:pt>
                <c:pt idx="1">
                  <c:v>559</c:v>
                </c:pt>
                <c:pt idx="2">
                  <c:v>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25c8fd8-0912-4182-92eb-5fa40256a58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WEV Programme Outcomes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table'!$G$42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'Pivot table'!$F$43:$F$46</c:f>
              <c:strCache>
                <c:ptCount val="4"/>
                <c:pt idx="0">
                  <c:v>Registrations</c:v>
                </c:pt>
                <c:pt idx="1">
                  <c:v>Onboarded</c:v>
                </c:pt>
                <c:pt idx="2">
                  <c:v>Offboarded</c:v>
                </c:pt>
                <c:pt idx="3">
                  <c:v>Employed</c:v>
                </c:pt>
              </c:strCache>
            </c:strRef>
          </c:cat>
          <c:val>
            <c:numRef>
              <c:f>'Pivot table'!$G$43:$G$46</c:f>
              <c:numCache>
                <c:formatCode>General</c:formatCode>
                <c:ptCount val="4"/>
                <c:pt idx="0">
                  <c:v>171</c:v>
                </c:pt>
                <c:pt idx="1">
                  <c:v>70</c:v>
                </c:pt>
                <c:pt idx="2">
                  <c:v>71</c:v>
                </c:pt>
                <c:pt idx="3">
                  <c:v>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404468852"/>
        <c:axId val="97444662"/>
      </c:barChart>
      <c:catAx>
        <c:axId val="404468852"/>
        <c:scaling>
          <c:orientation val="maxMin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444662"/>
        <c:crosses val="autoZero"/>
        <c:auto val="1"/>
        <c:lblAlgn val="ctr"/>
        <c:lblOffset val="100"/>
        <c:noMultiLvlLbl val="0"/>
      </c:catAx>
      <c:valAx>
        <c:axId val="97444662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44688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8d3a121-852d-4da4-8fb7-4a1ceaf6eaf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[3.xlsx]Pivot table!PivotTable8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Donations vs Re-Donations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table'!$B$48</c:f>
              <c:strCache>
                <c:ptCount val="1"/>
                <c:pt idx="0">
                  <c:v>Sum of Donations Received kg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'Pivot table'!$A$49:$A$61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table'!$B$49:$B$61</c:f>
              <c:numCache>
                <c:formatCode>General</c:formatCode>
                <c:ptCount val="12"/>
                <c:pt idx="0">
                  <c:v>668</c:v>
                </c:pt>
                <c:pt idx="1">
                  <c:v>635.9</c:v>
                </c:pt>
                <c:pt idx="2">
                  <c:v>713.6</c:v>
                </c:pt>
                <c:pt idx="3">
                  <c:v>600.2</c:v>
                </c:pt>
                <c:pt idx="4">
                  <c:v>668.8</c:v>
                </c:pt>
                <c:pt idx="5">
                  <c:v>433</c:v>
                </c:pt>
                <c:pt idx="6">
                  <c:v>880.9</c:v>
                </c:pt>
                <c:pt idx="7">
                  <c:v>579.1</c:v>
                </c:pt>
                <c:pt idx="8">
                  <c:v>578.3</c:v>
                </c:pt>
                <c:pt idx="9">
                  <c:v>751.4</c:v>
                </c:pt>
                <c:pt idx="10">
                  <c:v>529.7</c:v>
                </c:pt>
                <c:pt idx="11">
                  <c:v>564.6</c:v>
                </c:pt>
              </c:numCache>
            </c:numRef>
          </c:val>
        </c:ser>
        <c:ser>
          <c:idx val="1"/>
          <c:order val="1"/>
          <c:tx>
            <c:strRef>
              <c:f>'Pivot table'!$C$48</c:f>
              <c:strCache>
                <c:ptCount val="1"/>
                <c:pt idx="0">
                  <c:v>Sum of Re-Donations kg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'Pivot table'!$A$49:$A$61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table'!$C$49:$C$61</c:f>
              <c:numCache>
                <c:formatCode>General</c:formatCode>
                <c:ptCount val="12"/>
                <c:pt idx="0">
                  <c:v>139.5</c:v>
                </c:pt>
                <c:pt idx="1">
                  <c:v>78.8</c:v>
                </c:pt>
                <c:pt idx="2">
                  <c:v>51.8</c:v>
                </c:pt>
                <c:pt idx="3">
                  <c:v>102.1</c:v>
                </c:pt>
                <c:pt idx="4">
                  <c:v>100.4</c:v>
                </c:pt>
                <c:pt idx="5">
                  <c:v>98</c:v>
                </c:pt>
                <c:pt idx="6">
                  <c:v>79.8</c:v>
                </c:pt>
                <c:pt idx="7">
                  <c:v>99.7</c:v>
                </c:pt>
                <c:pt idx="8">
                  <c:v>117.8</c:v>
                </c:pt>
                <c:pt idx="9">
                  <c:v>96.6</c:v>
                </c:pt>
                <c:pt idx="10">
                  <c:v>116.8</c:v>
                </c:pt>
                <c:pt idx="11">
                  <c:v>57.3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22988042"/>
        <c:axId val="970834827"/>
      </c:barChart>
      <c:catAx>
        <c:axId val="42298804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0834827"/>
        <c:crosses val="autoZero"/>
        <c:auto val="1"/>
        <c:lblAlgn val="ctr"/>
        <c:lblOffset val="100"/>
        <c:noMultiLvlLbl val="0"/>
      </c:catAx>
      <c:valAx>
        <c:axId val="9708348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298804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4c3a4cf-01b5-4efd-af9e-bd73b7d002b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[3.xlsx]Pivot table!pt_Marketing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Marketing Outreach vs Engagement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table'!$B$63</c:f>
              <c:strCache>
                <c:ptCount val="1"/>
                <c:pt idx="0">
                  <c:v>Sum of Social Media Outreach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16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'Pivot table'!$A$64:$A$76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table'!$B$64:$B$76</c:f>
              <c:numCache>
                <c:formatCode>General</c:formatCode>
                <c:ptCount val="12"/>
                <c:pt idx="0">
                  <c:v>27673</c:v>
                </c:pt>
                <c:pt idx="1">
                  <c:v>23930</c:v>
                </c:pt>
                <c:pt idx="2">
                  <c:v>25291</c:v>
                </c:pt>
                <c:pt idx="3">
                  <c:v>27386</c:v>
                </c:pt>
                <c:pt idx="4">
                  <c:v>22175</c:v>
                </c:pt>
                <c:pt idx="5">
                  <c:v>22910</c:v>
                </c:pt>
                <c:pt idx="6">
                  <c:v>24105</c:v>
                </c:pt>
                <c:pt idx="7">
                  <c:v>20359</c:v>
                </c:pt>
                <c:pt idx="8">
                  <c:v>27038</c:v>
                </c:pt>
                <c:pt idx="9">
                  <c:v>27642</c:v>
                </c:pt>
                <c:pt idx="10">
                  <c:v>26466</c:v>
                </c:pt>
                <c:pt idx="11">
                  <c:v>24946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9461264"/>
        <c:axId val="269105079"/>
      </c:barChart>
      <c:lineChart>
        <c:grouping val="standard"/>
        <c:varyColors val="0"/>
        <c:ser>
          <c:idx val="1"/>
          <c:order val="1"/>
          <c:tx>
            <c:strRef>
              <c:f>'Pivot table'!$C$63</c:f>
              <c:strCache>
                <c:ptCount val="1"/>
                <c:pt idx="0">
                  <c:v>Sum of Social Media Engagement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'Pivot table'!$A$64:$A$76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table'!$C$64:$C$76</c:f>
              <c:numCache>
                <c:formatCode>General</c:formatCode>
                <c:ptCount val="12"/>
                <c:pt idx="0">
                  <c:v>2584</c:v>
                </c:pt>
                <c:pt idx="1">
                  <c:v>2078</c:v>
                </c:pt>
                <c:pt idx="2">
                  <c:v>2616</c:v>
                </c:pt>
                <c:pt idx="3">
                  <c:v>1937</c:v>
                </c:pt>
                <c:pt idx="4">
                  <c:v>1962</c:v>
                </c:pt>
                <c:pt idx="5">
                  <c:v>2429</c:v>
                </c:pt>
                <c:pt idx="6">
                  <c:v>2248</c:v>
                </c:pt>
                <c:pt idx="7">
                  <c:v>1671</c:v>
                </c:pt>
                <c:pt idx="8">
                  <c:v>2700</c:v>
                </c:pt>
                <c:pt idx="9">
                  <c:v>2235</c:v>
                </c:pt>
                <c:pt idx="10">
                  <c:v>2545</c:v>
                </c:pt>
                <c:pt idx="11">
                  <c:v>2199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61704126"/>
        <c:axId val="914368736"/>
      </c:lineChart>
      <c:catAx>
        <c:axId val="469461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9105079"/>
        <c:crosses val="autoZero"/>
        <c:auto val="1"/>
        <c:lblAlgn val="ctr"/>
        <c:lblOffset val="100"/>
        <c:noMultiLvlLbl val="0"/>
      </c:catAx>
      <c:valAx>
        <c:axId val="269105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9461264"/>
        <c:crosses val="autoZero"/>
        <c:crossBetween val="between"/>
      </c:valAx>
      <c:catAx>
        <c:axId val="961704126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4368736"/>
        <c:crosses val="autoZero"/>
        <c:auto val="1"/>
        <c:lblAlgn val="ctr"/>
        <c:lblOffset val="100"/>
        <c:noMultiLvlLbl val="0"/>
      </c:catAx>
      <c:valAx>
        <c:axId val="91436873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1704126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8d83206-bffa-4dac-a085-bad24bad411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5400000" scaled="0"/>
        </a:gradFill>
        <a:round/>
      </a:ln>
      <a:effectLst/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bg1"/>
      </a:solidFill>
      <a:ln w="25400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1"/>
        </a:gra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2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3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>
      <cs:styleClr val="auto"/>
    </cs:effectRef>
    <cs:fontRef idx="minor">
      <a:schemeClr val="tx1"/>
    </cs:fontRef>
    <cs:spPr>
      <a:ln w="28575" cap="rnd">
        <a:solidFill>
          <a:schemeClr val="phClr"/>
        </a:solidFill>
        <a:round/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259080</xdr:colOff>
      <xdr:row>9</xdr:row>
      <xdr:rowOff>46355</xdr:rowOff>
    </xdr:from>
    <xdr:to>
      <xdr:col>8</xdr:col>
      <xdr:colOff>214630</xdr:colOff>
      <xdr:row>24</xdr:row>
      <xdr:rowOff>13970</xdr:rowOff>
    </xdr:to>
    <xdr:graphicFrame>
      <xdr:nvGraphicFramePr>
        <xdr:cNvPr id="2" name="Chart 1"/>
        <xdr:cNvGraphicFramePr/>
      </xdr:nvGraphicFramePr>
      <xdr:xfrm>
        <a:off x="259080" y="2139315"/>
        <a:ext cx="4881245" cy="31680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442595</xdr:colOff>
      <xdr:row>9</xdr:row>
      <xdr:rowOff>50800</xdr:rowOff>
    </xdr:from>
    <xdr:to>
      <xdr:col>16</xdr:col>
      <xdr:colOff>473710</xdr:colOff>
      <xdr:row>24</xdr:row>
      <xdr:rowOff>73025</xdr:rowOff>
    </xdr:to>
    <xdr:graphicFrame>
      <xdr:nvGraphicFramePr>
        <xdr:cNvPr id="3" name="Chart 2"/>
        <xdr:cNvGraphicFramePr/>
      </xdr:nvGraphicFramePr>
      <xdr:xfrm>
        <a:off x="5368290" y="2143760"/>
        <a:ext cx="4907915" cy="32226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23</xdr:col>
      <xdr:colOff>134620</xdr:colOff>
      <xdr:row>8</xdr:row>
      <xdr:rowOff>166370</xdr:rowOff>
    </xdr:from>
    <xdr:to>
      <xdr:col>25</xdr:col>
      <xdr:colOff>760095</xdr:colOff>
      <xdr:row>16</xdr:row>
      <xdr:rowOff>26670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Quart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Quart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342110" y="2045970"/>
              <a:ext cx="1844675" cy="15671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23</xdr:col>
      <xdr:colOff>133350</xdr:colOff>
      <xdr:row>17</xdr:row>
      <xdr:rowOff>107315</xdr:rowOff>
    </xdr:from>
    <xdr:to>
      <xdr:col>25</xdr:col>
      <xdr:colOff>757555</xdr:colOff>
      <xdr:row>26</xdr:row>
      <xdr:rowOff>10795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Da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340840" y="3907155"/>
              <a:ext cx="1843405" cy="1823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23</xdr:col>
      <xdr:colOff>142240</xdr:colOff>
      <xdr:row>27</xdr:row>
      <xdr:rowOff>40640</xdr:rowOff>
    </xdr:from>
    <xdr:to>
      <xdr:col>25</xdr:col>
      <xdr:colOff>766445</xdr:colOff>
      <xdr:row>44</xdr:row>
      <xdr:rowOff>109855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Month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349730" y="5974080"/>
              <a:ext cx="1843405" cy="3696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17</xdr:col>
      <xdr:colOff>134620</xdr:colOff>
      <xdr:row>9</xdr:row>
      <xdr:rowOff>96520</xdr:rowOff>
    </xdr:from>
    <xdr:to>
      <xdr:col>22</xdr:col>
      <xdr:colOff>524510</xdr:colOff>
      <xdr:row>24</xdr:row>
      <xdr:rowOff>30480</xdr:rowOff>
    </xdr:to>
    <xdr:graphicFrame>
      <xdr:nvGraphicFramePr>
        <xdr:cNvPr id="7" name="Chart 6"/>
        <xdr:cNvGraphicFramePr/>
      </xdr:nvGraphicFramePr>
      <xdr:xfrm>
        <a:off x="10546715" y="2189480"/>
        <a:ext cx="3437890" cy="3134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212090</xdr:colOff>
      <xdr:row>25</xdr:row>
      <xdr:rowOff>192405</xdr:rowOff>
    </xdr:from>
    <xdr:to>
      <xdr:col>22</xdr:col>
      <xdr:colOff>663575</xdr:colOff>
      <xdr:row>42</xdr:row>
      <xdr:rowOff>71120</xdr:rowOff>
    </xdr:to>
    <xdr:graphicFrame>
      <xdr:nvGraphicFramePr>
        <xdr:cNvPr id="8" name="Chart 7"/>
        <xdr:cNvGraphicFramePr/>
      </xdr:nvGraphicFramePr>
      <xdr:xfrm>
        <a:off x="10624185" y="5699125"/>
        <a:ext cx="3499485" cy="35058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294640</xdr:colOff>
      <xdr:row>26</xdr:row>
      <xdr:rowOff>12700</xdr:rowOff>
    </xdr:from>
    <xdr:to>
      <xdr:col>8</xdr:col>
      <xdr:colOff>240030</xdr:colOff>
      <xdr:row>42</xdr:row>
      <xdr:rowOff>135890</xdr:rowOff>
    </xdr:to>
    <xdr:graphicFrame>
      <xdr:nvGraphicFramePr>
        <xdr:cNvPr id="9" name="Chart 8"/>
        <xdr:cNvGraphicFramePr/>
      </xdr:nvGraphicFramePr>
      <xdr:xfrm>
        <a:off x="294640" y="5732780"/>
        <a:ext cx="4871085" cy="3536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473075</xdr:colOff>
      <xdr:row>26</xdr:row>
      <xdr:rowOff>39370</xdr:rowOff>
    </xdr:from>
    <xdr:to>
      <xdr:col>16</xdr:col>
      <xdr:colOff>537210</xdr:colOff>
      <xdr:row>42</xdr:row>
      <xdr:rowOff>120650</xdr:rowOff>
    </xdr:to>
    <xdr:graphicFrame>
      <xdr:nvGraphicFramePr>
        <xdr:cNvPr id="10" name="Chart 9"/>
        <xdr:cNvGraphicFramePr/>
      </xdr:nvGraphicFramePr>
      <xdr:xfrm>
        <a:off x="5398770" y="5759450"/>
        <a:ext cx="4940935" cy="3495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77.5863541667" refreshedBy="andril" recordCount="261">
  <cacheSource type="worksheet">
    <worksheetSource name="tbl_operations"/>
  </cacheSource>
  <cacheFields count="45">
    <cacheField name="Column1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Quarter" numFmtId="0">
      <sharedItems count="4">
        <s v="Q1"/>
        <s v="Q2"/>
        <s v="Q3"/>
        <s v="Q4"/>
      </sharedItems>
    </cacheField>
    <cacheField name="Week" numFmtId="0">
      <sharedItems count="5">
        <s v="Week 1"/>
        <s v="Week 2"/>
        <s v="Week 3"/>
        <s v="Week 4"/>
        <s v="Week 5"/>
      </sharedItems>
    </cacheField>
    <cacheField name="Date" numFmtId="179">
      <sharedItems containsSemiMixedTypes="0" containsString="0" containsNonDate="0" containsDate="1" minDate="2026-01-01T00:00:00" maxDate="2026-12-31T00:00:00" count="261">
        <d v="2026-01-01T00:00:00"/>
        <d v="2026-01-02T00:00:00"/>
        <d v="2026-01-05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19T00:00:00"/>
        <d v="2026-01-20T00:00:00"/>
        <d v="2026-01-21T00:00:00"/>
        <d v="2026-01-22T00:00:00"/>
        <d v="2026-01-23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2T00:00:00"/>
        <d v="2026-02-13T00:00:00"/>
        <d v="2026-02-16T00:00:00"/>
        <d v="2026-02-17T00:00:00"/>
        <d v="2026-02-18T00:00:00"/>
        <d v="2026-02-19T00:00:00"/>
        <d v="2026-02-20T00:00:00"/>
        <d v="2026-02-23T00:00:00"/>
        <d v="2026-02-24T00:00:00"/>
        <d v="2026-02-25T00:00:00"/>
        <d v="2026-02-26T00:00:00"/>
        <d v="2026-02-27T00:00:00"/>
        <d v="2026-03-02T00:00:00"/>
        <d v="2026-03-03T00:00:00"/>
        <d v="2026-03-04T00:00:00"/>
        <d v="2026-03-05T00:00:00"/>
        <d v="2026-03-06T00:00:00"/>
        <d v="2026-03-09T00:00:00"/>
        <d v="2026-03-10T00:00:00"/>
        <d v="2026-03-11T00:00:00"/>
        <d v="2026-03-12T00:00:00"/>
        <d v="2026-03-13T00:00:00"/>
        <d v="2026-03-16T00:00:00"/>
        <d v="2026-03-17T00:00:00"/>
        <d v="2026-03-18T00:00:00"/>
        <d v="2026-03-19T00:00:00"/>
        <d v="2026-03-20T00:00:00"/>
        <d v="2026-03-23T00:00:00"/>
        <d v="2026-03-24T00:00:00"/>
        <d v="2026-03-25T00:00:00"/>
        <d v="2026-03-26T00:00:00"/>
        <d v="2026-03-27T00:00:00"/>
        <d v="2026-03-30T00:00:00"/>
        <d v="2026-03-31T00:00:00"/>
        <d v="2026-04-01T00:00:00"/>
        <d v="2026-04-02T00:00:00"/>
        <d v="2026-04-03T00:00:00"/>
        <d v="2026-04-06T00:00:00"/>
        <d v="2026-04-07T00:00:00"/>
        <d v="2026-04-08T00:00:00"/>
        <d v="2026-04-09T00:00:00"/>
        <d v="2026-04-10T00:00:00"/>
        <d v="2026-04-13T00:00:00"/>
        <d v="2026-04-14T00:00:00"/>
        <d v="2026-04-15T00:00:00"/>
        <d v="2026-04-16T00:00:00"/>
        <d v="2026-04-17T00:00:00"/>
        <d v="2026-04-20T00:00:00"/>
        <d v="2026-04-21T00:00:00"/>
        <d v="2026-04-22T00:00:00"/>
        <d v="2026-04-23T00:00:00"/>
        <d v="2026-04-24T00:00:00"/>
        <d v="2026-04-27T00:00:00"/>
        <d v="2026-04-28T00:00:00"/>
        <d v="2026-04-29T00:00:00"/>
        <d v="2026-04-30T00:00:00"/>
        <d v="2026-05-01T00:00:00"/>
        <d v="2026-05-04T00:00:00"/>
        <d v="2026-05-05T00:00:00"/>
        <d v="2026-05-06T00:00:00"/>
        <d v="2026-05-07T00:00:00"/>
        <d v="2026-05-08T00:00:00"/>
        <d v="2026-05-11T00:00:00"/>
        <d v="2026-05-12T00:00:00"/>
        <d v="2026-05-13T00:00:00"/>
        <d v="2026-05-14T00:00:00"/>
        <d v="2026-05-15T00:00:00"/>
        <d v="2026-05-18T00:00:00"/>
        <d v="2026-05-19T00:00:00"/>
        <d v="2026-05-20T00:00:00"/>
        <d v="2026-05-21T00:00:00"/>
        <d v="2026-05-22T00:00:00"/>
        <d v="2026-05-25T00:00:00"/>
        <d v="2026-05-26T00:00:00"/>
        <d v="2026-05-27T00:00:00"/>
        <d v="2026-05-28T00:00:00"/>
        <d v="2026-05-29T00:00:00"/>
        <d v="2026-06-01T00:00:00"/>
        <d v="2026-06-02T00:00:00"/>
        <d v="2026-06-03T00:00:00"/>
        <d v="2026-06-04T00:00:00"/>
        <d v="2026-06-05T00:00:00"/>
        <d v="2026-06-08T00:00:00"/>
        <d v="2026-06-09T00:00:00"/>
        <d v="2026-06-10T00:00:00"/>
        <d v="2026-06-11T00:00:00"/>
        <d v="2026-06-12T00:00:00"/>
        <d v="2026-06-15T00:00:00"/>
        <d v="2026-06-16T00:00:00"/>
        <d v="2026-06-17T00:00:00"/>
        <d v="2026-06-18T00:00:00"/>
        <d v="2026-06-19T00:00:00"/>
        <d v="2026-06-22T00:00:00"/>
        <d v="2026-06-23T00:00:00"/>
        <d v="2026-06-24T00:00:00"/>
        <d v="2026-06-25T00:00:00"/>
        <d v="2026-06-26T00:00:00"/>
        <d v="2026-06-29T00:00:00"/>
        <d v="2026-06-30T00:00:00"/>
        <d v="2026-07-01T00:00:00"/>
        <d v="2026-07-02T00:00:00"/>
        <d v="2026-07-03T00:00:00"/>
        <d v="2026-07-06T00:00:00"/>
        <d v="2026-07-07T00:00:00"/>
        <d v="2026-07-08T00:00:00"/>
        <d v="2026-07-09T00:00:00"/>
        <d v="2026-07-10T00:00:00"/>
        <d v="2026-07-13T00:00:00"/>
        <d v="2026-07-14T00:00:00"/>
        <d v="2026-07-15T00:00:00"/>
        <d v="2026-07-16T00:00:00"/>
        <d v="2026-07-17T00:00:00"/>
        <d v="2026-07-20T00:00:00"/>
        <d v="2026-07-21T00:00:00"/>
        <d v="2026-07-22T00:00:00"/>
        <d v="2026-07-23T00:00:00"/>
        <d v="2026-07-24T00:00:00"/>
        <d v="2026-07-27T00:00:00"/>
        <d v="2026-07-28T00:00:00"/>
        <d v="2026-07-29T00:00:00"/>
        <d v="2026-07-30T00:00:00"/>
        <d v="2026-07-31T00:00:00"/>
        <d v="2026-08-03T00:00:00"/>
        <d v="2026-08-04T00:00:00"/>
        <d v="2026-08-05T00:00:00"/>
        <d v="2026-08-06T00:00:00"/>
        <d v="2026-08-07T00:00:00"/>
        <d v="2026-08-10T00:00:00"/>
        <d v="2026-08-11T00:00:00"/>
        <d v="2026-08-12T00:00:00"/>
        <d v="2026-08-13T00:00:00"/>
        <d v="2026-08-14T00:00:00"/>
        <d v="2026-08-17T00:00:00"/>
        <d v="2026-08-18T00:00:00"/>
        <d v="2026-08-19T00:00:00"/>
        <d v="2026-08-20T00:00:00"/>
        <d v="2026-08-21T00:00:00"/>
        <d v="2026-08-24T00:00:00"/>
        <d v="2026-08-25T00:00:00"/>
        <d v="2026-08-26T00:00:00"/>
        <d v="2026-08-27T00:00:00"/>
        <d v="2026-08-28T00:00:00"/>
        <d v="2026-08-31T00:00:00"/>
        <d v="2026-09-01T00:00:00"/>
        <d v="2026-09-02T00:00:00"/>
        <d v="2026-09-03T00:00:00"/>
        <d v="2026-09-04T00:00:00"/>
        <d v="2026-09-07T00:00:00"/>
        <d v="2026-09-08T00:00:00"/>
        <d v="2026-09-09T00:00:00"/>
        <d v="2026-09-10T00:00:00"/>
        <d v="2026-09-11T00:00:00"/>
        <d v="2026-09-14T00:00:00"/>
        <d v="2026-09-15T00:00:00"/>
        <d v="2026-09-16T00:00:00"/>
        <d v="2026-09-17T00:00:00"/>
        <d v="2026-09-18T00:00:00"/>
        <d v="2026-09-21T00:00:00"/>
        <d v="2026-09-22T00:00:00"/>
        <d v="2026-09-23T00:00:00"/>
        <d v="2026-09-24T00:00:00"/>
        <d v="2026-09-25T00:00:00"/>
        <d v="2026-09-28T00:00:00"/>
        <d v="2026-09-29T00:00:00"/>
        <d v="2026-09-30T00:00:00"/>
        <d v="2026-10-01T00:00:00"/>
        <d v="2026-10-02T00:00:00"/>
        <d v="2026-10-05T00:00:00"/>
        <d v="2026-10-06T00:00:00"/>
        <d v="2026-10-07T00:00:00"/>
        <d v="2026-10-08T00:00:00"/>
        <d v="2026-10-09T00:00:00"/>
        <d v="2026-10-12T00:00:00"/>
        <d v="2026-10-13T00:00:00"/>
        <d v="2026-10-14T00:00:00"/>
        <d v="2026-10-15T00:00:00"/>
        <d v="2026-10-16T00:00:00"/>
        <d v="2026-10-19T00:00:00"/>
        <d v="2026-10-20T00:00:00"/>
        <d v="2026-10-21T00:00:00"/>
        <d v="2026-10-22T00:00:00"/>
        <d v="2026-10-23T00:00:00"/>
        <d v="2026-10-26T00:00:00"/>
        <d v="2026-10-27T00:00:00"/>
        <d v="2026-10-28T00:00:00"/>
        <d v="2026-10-29T00:00:00"/>
        <d v="2026-10-30T00:00:00"/>
        <d v="2026-11-02T00:00:00"/>
        <d v="2026-11-03T00:00:00"/>
        <d v="2026-11-04T00:00:00"/>
        <d v="2026-11-05T00:00:00"/>
        <d v="2026-11-06T00:00:00"/>
        <d v="2026-11-09T00:00:00"/>
        <d v="2026-11-10T00:00:00"/>
        <d v="2026-11-11T00:00:00"/>
        <d v="2026-11-12T00:00:00"/>
        <d v="2026-11-13T00:00:00"/>
        <d v="2026-11-16T00:00:00"/>
        <d v="2026-11-17T00:00:00"/>
        <d v="2026-11-18T00:00:00"/>
        <d v="2026-11-19T00:00:00"/>
        <d v="2026-11-20T00:00:00"/>
        <d v="2026-11-23T00:00:00"/>
        <d v="2026-11-24T00:00:00"/>
        <d v="2026-11-25T00:00:00"/>
        <d v="2026-11-26T00:00:00"/>
        <d v="2026-11-27T00:00:00"/>
        <d v="2026-11-30T00:00:00"/>
        <d v="2026-12-01T00:00:00"/>
        <d v="2026-12-02T00:00:00"/>
        <d v="2026-12-03T00:00:00"/>
        <d v="2026-12-04T00:00:00"/>
        <d v="2026-12-07T00:00:00"/>
        <d v="2026-12-08T00:00:00"/>
        <d v="2026-12-09T00:00:00"/>
        <d v="2026-12-10T00:00:00"/>
        <d v="2026-12-11T00:00:00"/>
        <d v="2026-12-14T00:00:00"/>
        <d v="2026-12-15T00:00:00"/>
        <d v="2026-12-16T00:00:00"/>
        <d v="2026-12-17T00:00:00"/>
        <d v="2026-12-18T00:00:00"/>
        <d v="2026-12-21T00:00:00"/>
        <d v="2026-12-22T00:00:00"/>
        <d v="2026-12-23T00:00:00"/>
        <d v="2026-12-24T00:00:00"/>
        <d v="2026-12-25T00:00:00"/>
        <d v="2026-12-28T00:00:00"/>
        <d v="2026-12-29T00:00:00"/>
        <d v="2026-12-30T00:00:00"/>
        <d v="2026-12-31T00:00:00"/>
      </sharedItems>
    </cacheField>
    <cacheField name="Day" numFmtId="179">
      <sharedItems count="5">
        <s v="Thursday"/>
        <s v="Friday"/>
        <s v="Monday"/>
        <s v="Tuesday"/>
        <s v="Wednesday"/>
      </sharedItems>
    </cacheField>
    <cacheField name="Interview Styling Registrations" numFmtId="0">
      <sharedItems containsSemiMixedTypes="0" containsString="0" containsNumber="1" containsInteger="1" minValue="0" maxValue="4" count="5">
        <n v="3"/>
        <n v="1"/>
        <n v="4"/>
        <n v="0"/>
        <n v="2"/>
      </sharedItems>
    </cacheField>
    <cacheField name="Interview Styling Completed" numFmtId="0">
      <sharedItems containsSemiMixedTypes="0" containsString="0" containsNumber="1" containsInteger="1" minValue="0" maxValue="4" count="5">
        <n v="3"/>
        <n v="1"/>
        <n v="0"/>
        <n v="2"/>
        <n v="4"/>
      </sharedItems>
    </cacheField>
    <cacheField name="Interview Styling Male" numFmtId="0">
      <sharedItems containsSemiMixedTypes="0" containsString="0" containsNumber="1" containsInteger="1" minValue="0" maxValue="1" count="2">
        <n v="0"/>
        <n v="1"/>
      </sharedItems>
    </cacheField>
    <cacheField name="Interview Styling Female" numFmtId="0">
      <sharedItems containsSemiMixedTypes="0" containsString="0" containsNumber="1" containsInteger="1" minValue="0" maxValue="4" count="5">
        <n v="3"/>
        <n v="2"/>
        <n v="0"/>
        <n v="1"/>
        <n v="4"/>
      </sharedItems>
    </cacheField>
    <cacheField name="Interview Styling Non-Binary" numFmtId="0">
      <sharedItems containsSemiMixedTypes="0" containsString="0" containsNumber="1" containsInteger="1" minValue="0" maxValue="1" count="2">
        <n v="0"/>
        <n v="1"/>
      </sharedItems>
    </cacheField>
    <cacheField name="Confidence Styling Registrations" numFmtId="0">
      <sharedItems containsSemiMixedTypes="0" containsString="0" containsNumber="1" containsInteger="1" minValue="0" maxValue="3" count="4">
        <n v="1"/>
        <n v="0"/>
        <n v="2"/>
        <n v="3"/>
      </sharedItems>
    </cacheField>
    <cacheField name="Confidence Styling Completed" numFmtId="0">
      <sharedItems containsSemiMixedTypes="0" containsString="0" containsNumber="1" containsInteger="1" minValue="0" maxValue="3" count="4">
        <n v="0"/>
        <n v="2"/>
        <n v="1"/>
        <n v="3"/>
      </sharedItems>
    </cacheField>
    <cacheField name="Confidence Styling Male" numFmtId="0">
      <sharedItems containsSemiMixedTypes="0" containsString="0" containsNumber="1" containsInteger="1" minValue="0" maxValue="1" count="2">
        <n v="0"/>
        <n v="1"/>
      </sharedItems>
    </cacheField>
    <cacheField name="Confidence Styling Female" numFmtId="0">
      <sharedItems containsSemiMixedTypes="0" containsString="0" containsNumber="1" containsInteger="1" minValue="0" maxValue="3" count="4">
        <n v="0"/>
        <n v="1"/>
        <n v="2"/>
        <n v="3"/>
      </sharedItems>
    </cacheField>
    <cacheField name="Confidence Styling Non-Binary" numFmtId="0">
      <sharedItems containsSemiMixedTypes="0" containsString="0" containsNumber="1" containsInteger="1" minValue="0" maxValue="1" count="2">
        <n v="0"/>
        <n v="1"/>
      </sharedItems>
    </cacheField>
    <cacheField name="WEV Registrations" numFmtId="0">
      <sharedItems containsSemiMixedTypes="0" containsString="0" containsNumber="1" containsInteger="1" minValue="0" maxValue="2" count="3">
        <n v="1"/>
        <n v="0"/>
        <n v="2"/>
      </sharedItems>
    </cacheField>
    <cacheField name="WEV Onboarded" numFmtId="0">
      <sharedItems containsSemiMixedTypes="0" containsString="0" containsNumber="1" containsInteger="1" minValue="0" maxValue="1" count="2">
        <n v="0"/>
        <n v="1"/>
      </sharedItems>
    </cacheField>
    <cacheField name="WEV Offboarded" numFmtId="0">
      <sharedItems containsSemiMixedTypes="0" containsString="0" containsNumber="1" containsInteger="1" minValue="0" maxValue="1" count="2">
        <n v="0"/>
        <n v="1"/>
      </sharedItems>
    </cacheField>
    <cacheField name="WEV Employed" numFmtId="0">
      <sharedItems containsSemiMixedTypes="0" containsString="0" containsNumber="1" containsInteger="1" minValue="0" maxValue="1" count="2">
        <n v="0"/>
        <n v="1"/>
      </sharedItems>
    </cacheField>
    <cacheField name="Donations Received kg" numFmtId="177">
      <sharedItems containsSemiMixedTypes="0" containsString="0" containsNumber="1" minValue="0" maxValue="64.8" count="186">
        <n v="0"/>
        <n v="55.6"/>
        <n v="38.9"/>
        <n v="20.9"/>
        <n v="27.7"/>
        <n v="63.3"/>
        <n v="25.5"/>
        <n v="59.4"/>
        <n v="64.2"/>
        <n v="42.1"/>
        <n v="8.3"/>
        <n v="24.4"/>
        <n v="51.5"/>
        <n v="29.2"/>
        <n v="63.4"/>
        <n v="16.8"/>
        <n v="25.9"/>
        <n v="50.9"/>
        <n v="26.9"/>
        <n v="15.2"/>
        <n v="16.6"/>
        <n v="33"/>
        <n v="55.2"/>
        <n v="29.5"/>
        <n v="56"/>
        <n v="58.4"/>
        <n v="63.8"/>
        <n v="44.6"/>
        <n v="17.8"/>
        <n v="62.7"/>
        <n v="13.7"/>
        <n v="54.5"/>
        <n v="47.5"/>
        <n v="40.5"/>
        <n v="26.5"/>
        <n v="19.9"/>
        <n v="38.2"/>
        <n v="49.6"/>
        <n v="57.8"/>
        <n v="38.1"/>
        <n v="41.1"/>
        <n v="27.2"/>
        <n v="28.3"/>
        <n v="44.7"/>
        <n v="52.7"/>
        <n v="37.9"/>
        <n v="35.8"/>
        <n v="43.9"/>
        <n v="15.5"/>
        <n v="48"/>
        <n v="8"/>
        <n v="26.6"/>
        <n v="21.1"/>
        <n v="11.1"/>
        <n v="50.5"/>
        <n v="63"/>
        <n v="49.5"/>
        <n v="14.4"/>
        <n v="22.2"/>
        <n v="21.6"/>
        <n v="31"/>
        <n v="23.3"/>
        <n v="14.1"/>
        <n v="20.7"/>
        <n v="43.7"/>
        <n v="45.9"/>
        <n v="17.7"/>
        <n v="36"/>
        <n v="45"/>
        <n v="20.3"/>
        <n v="12.1"/>
        <n v="20.4"/>
        <n v="37.7"/>
        <n v="34.8"/>
        <n v="33.6"/>
        <n v="54.7"/>
        <n v="29.1"/>
        <n v="13.9"/>
        <n v="38.5"/>
        <n v="20"/>
        <n v="35.7"/>
        <n v="52.4"/>
        <n v="40.6"/>
        <n v="16.5"/>
        <n v="60"/>
        <n v="22.4"/>
        <n v="11.9"/>
        <n v="59.7"/>
        <n v="24.9"/>
        <n v="15.3"/>
        <n v="32.5"/>
        <n v="16.9"/>
        <n v="26.2"/>
        <n v="27.6"/>
        <n v="10"/>
        <n v="43.5"/>
        <n v="31.8"/>
        <n v="17.5"/>
        <n v="10.6"/>
        <n v="10.1"/>
        <n v="8.8"/>
        <n v="50.7"/>
        <n v="45.8"/>
        <n v="53"/>
        <n v="45.4"/>
        <n v="8.7"/>
        <n v="51"/>
        <n v="56.3"/>
        <n v="56.4"/>
        <n v="56.7"/>
        <n v="64.8"/>
        <n v="30.7"/>
        <n v="23.5"/>
        <n v="38.8"/>
        <n v="31.5"/>
        <n v="34.1"/>
        <n v="53.4"/>
        <n v="58.2"/>
        <n v="30"/>
        <n v="18.8"/>
        <n v="61.5"/>
        <n v="30.8"/>
        <n v="19.6"/>
        <n v="61.6"/>
        <n v="40.1"/>
        <n v="26.3"/>
        <n v="50"/>
        <n v="64"/>
        <n v="56.5"/>
        <n v="32.8"/>
        <n v="9.9"/>
        <n v="18.2"/>
        <n v="23.6"/>
        <n v="48.9"/>
        <n v="29.3"/>
        <n v="32.9"/>
        <n v="41"/>
        <n v="20.8"/>
        <n v="41.3"/>
        <n v="18.9"/>
        <n v="60.2"/>
        <n v="46.3"/>
        <n v="10.8"/>
        <n v="32.3"/>
        <n v="15.6"/>
        <n v="15.1"/>
        <n v="22.9"/>
        <n v="21.3"/>
        <n v="58.3"/>
        <n v="35.4"/>
        <n v="54.8"/>
        <n v="63.6"/>
        <n v="39.1"/>
        <n v="33.5"/>
        <n v="16.3"/>
        <n v="64.1"/>
        <n v="9.4"/>
        <n v="57"/>
        <n v="63.1"/>
        <n v="25.4"/>
        <n v="61.9"/>
        <n v="22.8"/>
        <n v="22.1"/>
        <n v="53.1"/>
        <n v="40.8"/>
        <n v="37.3"/>
        <n v="47.4"/>
        <n v="32.6"/>
        <n v="36.2"/>
        <n v="9.6"/>
        <n v="32.4"/>
        <n v="48.4"/>
        <n v="23"/>
        <n v="39.5"/>
        <n v="25.7"/>
        <n v="17.1"/>
        <n v="36.5"/>
        <n v="18.6"/>
        <n v="21.2"/>
        <n v="30.2"/>
        <n v="24.1"/>
        <n v="22.3"/>
        <n v="47.6"/>
        <n v="49.9"/>
        <n v="39.2"/>
        <n v="12.9"/>
      </sharedItems>
    </cacheField>
    <cacheField name="Re-Donations kg" numFmtId="177">
      <sharedItems containsSemiMixedTypes="0" containsString="0" containsNumber="1" minValue="0" maxValue="22" count="82">
        <n v="0"/>
        <n v="7.2"/>
        <n v="4.9"/>
        <n v="5.6"/>
        <n v="6.7"/>
        <n v="16.1"/>
        <n v="8.1"/>
        <n v="7.7"/>
        <n v="8.2"/>
        <n v="17.3"/>
        <n v="21.7"/>
        <n v="10"/>
        <n v="14.6"/>
        <n v="5.8"/>
        <n v="2.3"/>
        <n v="15.9"/>
        <n v="6.2"/>
        <n v="14.7"/>
        <n v="20.7"/>
        <n v="19"/>
        <n v="16.8"/>
        <n v="3.6"/>
        <n v="3.9"/>
        <n v="2.7"/>
        <n v="18.6"/>
        <n v="4.2"/>
        <n v="7.1"/>
        <n v="2.1"/>
        <n v="15.7"/>
        <n v="6.4"/>
        <n v="4.5"/>
        <n v="13.5"/>
        <n v="4.6"/>
        <n v="11.3"/>
        <n v="11.1"/>
        <n v="21.6"/>
        <n v="10.4"/>
        <n v="6.6"/>
        <n v="21.3"/>
        <n v="17.8"/>
        <n v="9.7"/>
        <n v="20.8"/>
        <n v="13.8"/>
        <n v="8.7"/>
        <n v="8.9"/>
        <n v="2.2"/>
        <n v="22"/>
        <n v="6.9"/>
        <n v="15.3"/>
        <n v="20.2"/>
        <n v="14.1"/>
        <n v="7.4"/>
        <n v="17.5"/>
        <n v="19.9"/>
        <n v="15.6"/>
        <n v="5.3"/>
        <n v="18.7"/>
        <n v="19.4"/>
        <n v="9.6"/>
        <n v="11.6"/>
        <n v="11.2"/>
        <n v="12.7"/>
        <n v="14"/>
        <n v="16.6"/>
        <n v="20"/>
        <n v="10.5"/>
        <n v="16.4"/>
        <n v="3.1"/>
        <n v="2.8"/>
        <n v="7.5"/>
        <n v="4.8"/>
        <n v="13.2"/>
        <n v="3.5"/>
        <n v="21"/>
        <n v="10.3"/>
        <n v="5"/>
        <n v="19.7"/>
        <n v="17.7"/>
        <n v="21.9"/>
        <n v="18.5"/>
        <n v="3.2"/>
        <n v="2.4"/>
      </sharedItems>
    </cacheField>
    <cacheField name="Customers Purchased" numFmtId="0">
      <sharedItems containsSemiMixedTypes="0" containsString="0" containsNumber="1" containsInteger="1" minValue="3" maxValue="22" count="20">
        <n v="3"/>
        <n v="17"/>
        <n v="8"/>
        <n v="16"/>
        <n v="9"/>
        <n v="11"/>
        <n v="15"/>
        <n v="7"/>
        <n v="13"/>
        <n v="19"/>
        <n v="21"/>
        <n v="20"/>
        <n v="6"/>
        <n v="14"/>
        <n v="22"/>
        <n v="4"/>
        <n v="10"/>
        <n v="12"/>
        <n v="5"/>
        <n v="18"/>
      </sharedItems>
    </cacheField>
    <cacheField name="Total Income" numFmtId="178">
      <sharedItems containsSemiMixedTypes="0" containsString="0" containsNumber="1" minValue="35.16" maxValue="606.8" count="261">
        <n v="85.25"/>
        <n v="443.68"/>
        <n v="211.98"/>
        <n v="194.65"/>
        <n v="256.81"/>
        <n v="320.91"/>
        <n v="200.85"/>
        <n v="141.98"/>
        <n v="275.98"/>
        <n v="459.37"/>
        <n v="65.75"/>
        <n v="435.96"/>
        <n v="119.69"/>
        <n v="263.1"/>
        <n v="551.37"/>
        <n v="441.99"/>
        <n v="183.48"/>
        <n v="385.96"/>
        <n v="584.15"/>
        <n v="257.09"/>
        <n v="134.11"/>
        <n v="299.35"/>
        <n v="596.72"/>
        <n v="395.6"/>
        <n v="175.84"/>
        <n v="372.35"/>
        <n v="271.02"/>
        <n v="437.38"/>
        <n v="299.31"/>
        <n v="318.2"/>
        <n v="85.12"/>
        <n v="73.16"/>
        <n v="236.8"/>
        <n v="545.29"/>
        <n v="417.44"/>
        <n v="243.75"/>
        <n v="103.25"/>
        <n v="256.27"/>
        <n v="109.16"/>
        <n v="283.15"/>
        <n v="258.99"/>
        <n v="216.28"/>
        <n v="251.28"/>
        <n v="512.57"/>
        <n v="492.97"/>
        <n v="176.01"/>
        <n v="268.84"/>
        <n v="148.02"/>
        <n v="204.01"/>
        <n v="132.74"/>
        <n v="251.42"/>
        <n v="95.88"/>
        <n v="285.51"/>
        <n v="139.41"/>
        <n v="263.23"/>
        <n v="55.06"/>
        <n v="146.82"/>
        <n v="115.23"/>
        <n v="122.04"/>
        <n v="477.18"/>
        <n v="101.09"/>
        <n v="202.26"/>
        <n v="449.14"/>
        <n v="109.12"/>
        <n v="194.06"/>
        <n v="147.79"/>
        <n v="157.22"/>
        <n v="237.6"/>
        <n v="241.49"/>
        <n v="254.04"/>
        <n v="311.82"/>
        <n v="55.94"/>
        <n v="112.78"/>
        <n v="79.61"/>
        <n v="261.09"/>
        <n v="364.07"/>
        <n v="233.57"/>
        <n v="242.66"/>
        <n v="228.26"/>
        <n v="312.74"/>
        <n v="274.17"/>
        <n v="63.24"/>
        <n v="173.35"/>
        <n v="524.4"/>
        <n v="300.55"/>
        <n v="113.55"/>
        <n v="182.41"/>
        <n v="347.95"/>
        <n v="87.74"/>
        <n v="365.51"/>
        <n v="333.51"/>
        <n v="192.84"/>
        <n v="284.08"/>
        <n v="220.19"/>
        <n v="424.29"/>
        <n v="203.17"/>
        <n v="398.09"/>
        <n v="178.61"/>
        <n v="284.29"/>
        <n v="214.1"/>
        <n v="271.82"/>
        <n v="187.86"/>
        <n v="377.56"/>
        <n v="188.54"/>
        <n v="198.27"/>
        <n v="325.5"/>
        <n v="118.32"/>
        <n v="453.04"/>
        <n v="564.72"/>
        <n v="263.59"/>
        <n v="288.98"/>
        <n v="223.49"/>
        <n v="462.4"/>
        <n v="306.75"/>
        <n v="298.5"/>
        <n v="126.93"/>
        <n v="595.16"/>
        <n v="387.52"/>
        <n v="195.34"/>
        <n v="159.72"/>
        <n v="148.87"/>
        <n v="131.5"/>
        <n v="487.61"/>
        <n v="127.46"/>
        <n v="276.49"/>
        <n v="192.64"/>
        <n v="227.14"/>
        <n v="97.34"/>
        <n v="483.81"/>
        <n v="144.87"/>
        <n v="141.59"/>
        <n v="121.13"/>
        <n v="328.45"/>
        <n v="368.39"/>
        <n v="222.34"/>
        <n v="101.79"/>
        <n v="503.95"/>
        <n v="414.16"/>
        <n v="136.54"/>
        <n v="225.57"/>
        <n v="89.24"/>
        <n v="308.29"/>
        <n v="286.25"/>
        <n v="96.97"/>
        <n v="95.26"/>
        <n v="218.38"/>
        <n v="35.16"/>
        <n v="318.05"/>
        <n v="563.51"/>
        <n v="362.6"/>
        <n v="286.85"/>
        <n v="278.09"/>
        <n v="209.11"/>
        <n v="238.13"/>
        <n v="372.47"/>
        <n v="344.19"/>
        <n v="351.66"/>
        <n v="199.54"/>
        <n v="93.08"/>
        <n v="256.05"/>
        <n v="243.37"/>
        <n v="426.1"/>
        <n v="265.74"/>
        <n v="177.09"/>
        <n v="352.35"/>
        <n v="194.08"/>
        <n v="121.78"/>
        <n v="239.35"/>
        <n v="276.37"/>
        <n v="283.27"/>
        <n v="94.61"/>
        <n v="226.35"/>
        <n v="208.35"/>
        <n v="96.19"/>
        <n v="460.92"/>
        <n v="585.06"/>
        <n v="423.3"/>
        <n v="299.93"/>
        <n v="359.41"/>
        <n v="163.13"/>
        <n v="287.59"/>
        <n v="122.38"/>
        <n v="294.83"/>
        <n v="199.8"/>
        <n v="267.21"/>
        <n v="374.56"/>
        <n v="525.02"/>
        <n v="604.67"/>
        <n v="283.68"/>
        <n v="240.87"/>
        <n v="138.09"/>
        <n v="88.41"/>
        <n v="274.31"/>
        <n v="522.42"/>
        <n v="530.62"/>
        <n v="226.59"/>
        <n v="578.98"/>
        <n v="447.7"/>
        <n v="478.4"/>
        <n v="250.36"/>
        <n v="172.77"/>
        <n v="82.3"/>
        <n v="278.86"/>
        <n v="211.89"/>
        <n v="283.23"/>
        <n v="229.53"/>
        <n v="197.26"/>
        <n v="70.67"/>
        <n v="156.99"/>
        <n v="248.79"/>
        <n v="254.74"/>
        <n v="351.57"/>
        <n v="100.34"/>
        <n v="606.8"/>
        <n v="269.01"/>
        <n v="395.88"/>
        <n v="260.18"/>
        <n v="374.21"/>
        <n v="553.41"/>
        <n v="151.4"/>
        <n v="138.13"/>
        <n v="195.72"/>
        <n v="108.31"/>
        <n v="301.39"/>
        <n v="328.02"/>
        <n v="223.27"/>
        <n v="131.94"/>
        <n v="193.9"/>
        <n v="156.59"/>
        <n v="206.2"/>
        <n v="145.13"/>
        <n v="383.48"/>
        <n v="376.57"/>
        <n v="224.83"/>
        <n v="281.96"/>
        <n v="274.07"/>
        <n v="353.66"/>
        <n v="219.3"/>
        <n v="282.41"/>
        <n v="311.49"/>
        <n v="369.54"/>
        <n v="109.64"/>
        <n v="246.52"/>
        <n v="90.23"/>
        <n v="170.77"/>
        <n v="201.51"/>
        <n v="164.24"/>
        <n v="389.66"/>
        <n v="115.35"/>
        <n v="146.23"/>
        <n v="85.17"/>
        <n v="326.58"/>
        <n v="201.71"/>
        <n v="388.67"/>
        <n v="203.56"/>
        <n v="429.69"/>
        <n v="301.49"/>
        <n v="83.46"/>
        <n v="250.42"/>
        <n v="322.49"/>
        <n v="309.64"/>
      </sharedItems>
    </cacheField>
    <cacheField name="Social Media Outreach" numFmtId="0">
      <sharedItems containsSemiMixedTypes="0" containsString="0" containsNumber="1" containsInteger="1" minValue="183" maxValue="2100" count="243">
        <n v="1636"/>
        <n v="811"/>
        <n v="295"/>
        <n v="726"/>
        <n v="1368"/>
        <n v="1839"/>
        <n v="1285"/>
        <n v="970"/>
        <n v="1484"/>
        <n v="793"/>
        <n v="736"/>
        <n v="1100"/>
        <n v="1693"/>
        <n v="2009"/>
        <n v="2010"/>
        <n v="1740"/>
        <n v="284"/>
        <n v="1249"/>
        <n v="342"/>
        <n v="1434"/>
        <n v="2025"/>
        <n v="1844"/>
        <n v="1197"/>
        <n v="1945"/>
        <n v="603"/>
        <n v="1793"/>
        <n v="944"/>
        <n v="1799"/>
        <n v="1000"/>
        <n v="1717"/>
        <n v="711"/>
        <n v="1359"/>
        <n v="1386"/>
        <n v="1626"/>
        <n v="1336"/>
        <n v="2051"/>
        <n v="525"/>
        <n v="259"/>
        <n v="514"/>
        <n v="2047"/>
        <n v="685"/>
        <n v="433"/>
        <n v="465"/>
        <n v="792"/>
        <n v="1309"/>
        <n v="1211"/>
        <n v="1692"/>
        <n v="260"/>
        <n v="348"/>
        <n v="992"/>
        <n v="562"/>
        <n v="2011"/>
        <n v="1807"/>
        <n v="1187"/>
        <n v="854"/>
        <n v="621"/>
        <n v="794"/>
        <n v="821"/>
        <n v="894"/>
        <n v="1705"/>
        <n v="1954"/>
        <n v="1619"/>
        <n v="1122"/>
        <n v="869"/>
        <n v="1655"/>
        <n v="552"/>
        <n v="1903"/>
        <n v="1277"/>
        <n v="1628"/>
        <n v="1868"/>
        <n v="1727"/>
        <n v="323"/>
        <n v="526"/>
        <n v="657"/>
        <n v="1213"/>
        <n v="1272"/>
        <n v="1095"/>
        <n v="500"/>
        <n v="1302"/>
        <n v="1880"/>
        <n v="1759"/>
        <n v="1665"/>
        <n v="1581"/>
        <n v="396"/>
        <n v="1415"/>
        <n v="581"/>
        <n v="609"/>
        <n v="695"/>
        <n v="1218"/>
        <n v="807"/>
        <n v="1948"/>
        <n v="1445"/>
        <n v="782"/>
        <n v="1935"/>
        <n v="1981"/>
        <n v="1766"/>
        <n v="825"/>
        <n v="767"/>
        <n v="412"/>
        <n v="775"/>
        <n v="218"/>
        <n v="1283"/>
        <n v="1737"/>
        <n v="560"/>
        <n v="1245"/>
        <n v="1591"/>
        <n v="191"/>
        <n v="884"/>
        <n v="183"/>
        <n v="541"/>
        <n v="432"/>
        <n v="610"/>
        <n v="1602"/>
        <n v="1850"/>
        <n v="1615"/>
        <n v="428"/>
        <n v="1960"/>
        <n v="721"/>
        <n v="1476"/>
        <n v="2060"/>
        <n v="366"/>
        <n v="1555"/>
        <n v="899"/>
        <n v="404"/>
        <n v="1075"/>
        <n v="917"/>
        <n v="1130"/>
        <n v="817"/>
        <n v="1278"/>
        <n v="805"/>
        <n v="1169"/>
        <n v="1977"/>
        <n v="639"/>
        <n v="418"/>
        <n v="626"/>
        <n v="923"/>
        <n v="2014"/>
        <n v="1760"/>
        <n v="1734"/>
        <n v="1980"/>
        <n v="877"/>
        <n v="1416"/>
        <n v="385"/>
        <n v="764"/>
        <n v="303"/>
        <n v="803"/>
        <n v="1037"/>
        <n v="434"/>
        <n v="856"/>
        <n v="1058"/>
        <n v="203"/>
        <n v="1671"/>
        <n v="1485"/>
        <n v="698"/>
        <n v="387"/>
        <n v="1891"/>
        <n v="422"/>
        <n v="1704"/>
        <n v="1876"/>
        <n v="542"/>
        <n v="845"/>
        <n v="300"/>
        <n v="248"/>
        <n v="2078"/>
        <n v="417"/>
        <n v="1509"/>
        <n v="1109"/>
        <n v="836"/>
        <n v="676"/>
        <n v="1819"/>
        <n v="2071"/>
        <n v="1195"/>
        <n v="878"/>
        <n v="1258"/>
        <n v="1165"/>
        <n v="1920"/>
        <n v="2045"/>
        <n v="987"/>
        <n v="244"/>
        <n v="1995"/>
        <n v="1616"/>
        <n v="480"/>
        <n v="1587"/>
        <n v="1380"/>
        <n v="908"/>
        <n v="1848"/>
        <n v="364"/>
        <n v="439"/>
        <n v="201"/>
        <n v="341"/>
        <n v="722"/>
        <n v="1659"/>
        <n v="1138"/>
        <n v="876"/>
        <n v="1263"/>
        <n v="1124"/>
        <n v="1468"/>
        <n v="993"/>
        <n v="1849"/>
        <n v="598"/>
        <n v="1202"/>
        <n v="1775"/>
        <n v="1667"/>
        <n v="995"/>
        <n v="2091"/>
        <n v="1894"/>
        <n v="1930"/>
        <n v="1183"/>
        <n v="1139"/>
        <n v="1010"/>
        <n v="1306"/>
        <n v="2100"/>
        <n v="582"/>
        <n v="870"/>
        <n v="1389"/>
        <n v="1777"/>
        <n v="2054"/>
        <n v="1867"/>
        <n v="495"/>
        <n v="1792"/>
        <n v="1517"/>
        <n v="925"/>
        <n v="1645"/>
        <n v="450"/>
        <n v="1561"/>
        <n v="799"/>
        <n v="1178"/>
        <n v="1471"/>
        <n v="1110"/>
        <n v="735"/>
        <n v="431"/>
        <n v="1204"/>
        <n v="1085"/>
        <n v="312"/>
        <n v="254"/>
        <n v="320"/>
        <n v="1199"/>
        <n v="1372"/>
        <n v="1229"/>
        <n v="680"/>
        <n v="1788"/>
        <n v="1490"/>
        <n v="1023"/>
      </sharedItems>
    </cacheField>
    <cacheField name="Social Media Engagement" numFmtId="0">
      <sharedItems containsSemiMixedTypes="0" containsString="0" containsNumber="1" containsInteger="1" minValue="6" maxValue="317" count="167">
        <n v="153"/>
        <n v="85"/>
        <n v="18"/>
        <n v="69"/>
        <n v="72"/>
        <n v="232"/>
        <n v="142"/>
        <n v="52"/>
        <n v="151"/>
        <n v="15"/>
        <n v="169"/>
        <n v="108"/>
        <n v="178"/>
        <n v="229"/>
        <n v="82"/>
        <n v="44"/>
        <n v="110"/>
        <n v="27"/>
        <n v="247"/>
        <n v="87"/>
        <n v="170"/>
        <n v="195"/>
        <n v="30"/>
        <n v="237"/>
        <n v="107"/>
        <n v="122"/>
        <n v="146"/>
        <n v="96"/>
        <n v="34"/>
        <n v="157"/>
        <n v="75"/>
        <n v="56"/>
        <n v="128"/>
        <n v="210"/>
        <n v="40"/>
        <n v="21"/>
        <n v="202"/>
        <n v="22"/>
        <n v="12"/>
        <n v="57"/>
        <n v="70"/>
        <n v="156"/>
        <n v="172"/>
        <n v="93"/>
        <n v="284"/>
        <n v="16"/>
        <n v="10"/>
        <n v="191"/>
        <n v="115"/>
        <n v="71"/>
        <n v="233"/>
        <n v="234"/>
        <n v="53"/>
        <n v="88"/>
        <n v="45"/>
        <n v="127"/>
        <n v="86"/>
        <n v="150"/>
        <n v="189"/>
        <n v="67"/>
        <n v="55"/>
        <n v="98"/>
        <n v="83"/>
        <n v="63"/>
        <n v="105"/>
        <n v="269"/>
        <n v="104"/>
        <n v="38"/>
        <n v="24"/>
        <n v="20"/>
        <n v="43"/>
        <n v="58"/>
        <n v="49"/>
        <n v="174"/>
        <n v="185"/>
        <n v="37"/>
        <n v="99"/>
        <n v="66"/>
        <n v="144"/>
        <n v="114"/>
        <n v="95"/>
        <n v="73"/>
        <n v="140"/>
        <n v="265"/>
        <n v="19"/>
        <n v="25"/>
        <n v="116"/>
        <n v="54"/>
        <n v="163"/>
        <n v="6"/>
        <n v="97"/>
        <n v="46"/>
        <n v="187"/>
        <n v="280"/>
        <n v="124"/>
        <n v="129"/>
        <n v="317"/>
        <n v="33"/>
        <n v="181"/>
        <n v="9"/>
        <n v="59"/>
        <n v="137"/>
        <n v="51"/>
        <n v="79"/>
        <n v="113"/>
        <n v="173"/>
        <n v="81"/>
        <n v="60"/>
        <n v="103"/>
        <n v="11"/>
        <n v="194"/>
        <n v="121"/>
        <n v="130"/>
        <n v="76"/>
        <n v="23"/>
        <n v="226"/>
        <n v="39"/>
        <n v="74"/>
        <n v="28"/>
        <n v="154"/>
        <n v="41"/>
        <n v="47"/>
        <n v="61"/>
        <n v="295"/>
        <n v="101"/>
        <n v="161"/>
        <n v="268"/>
        <n v="68"/>
        <n v="212"/>
        <n v="244"/>
        <n v="123"/>
        <n v="147"/>
        <n v="193"/>
        <n v="196"/>
        <n v="136"/>
        <n v="183"/>
        <n v="62"/>
        <n v="29"/>
        <n v="111"/>
        <n v="50"/>
        <n v="126"/>
        <n v="253"/>
        <n v="262"/>
        <n v="152"/>
        <n v="100"/>
        <n v="220"/>
        <n v="84"/>
        <n v="182"/>
        <n v="48"/>
        <n v="133"/>
        <n v="149"/>
        <n v="77"/>
        <n v="243"/>
        <n v="206"/>
        <n v="224"/>
        <n v="78"/>
        <n v="138"/>
        <n v="92"/>
        <n v="155"/>
        <n v="109"/>
        <n v="242"/>
        <n v="42"/>
        <n v="35"/>
        <n v="80"/>
        <n v="176"/>
        <n v="26"/>
        <n v="117"/>
      </sharedItems>
    </cacheField>
    <cacheField name="Volunteer Count Retail" numFmtId="177">
      <sharedItems containsSemiMixedTypes="0" containsString="0" containsNumber="1" containsInteger="1" minValue="1" maxValue="4" count="4">
        <n v="2"/>
        <n v="3"/>
        <n v="4"/>
        <n v="1"/>
      </sharedItems>
    </cacheField>
    <cacheField name="Volunteer Count HR" numFmtId="177">
      <sharedItems containsSemiMixedTypes="0" containsString="0" containsNumber="1" containsInteger="1" minValue="0" maxValue="2" count="3">
        <n v="2"/>
        <n v="1"/>
        <n v="0"/>
      </sharedItems>
    </cacheField>
    <cacheField name="Volunteer Count Business Support" numFmtId="177">
      <sharedItems containsSemiMixedTypes="0" containsString="0" containsNumber="1" containsInteger="1" minValue="0" maxValue="2" count="3">
        <n v="2"/>
        <n v="0"/>
        <n v="1"/>
      </sharedItems>
    </cacheField>
    <cacheField name="Volunteer Count Marketing" numFmtId="177">
      <sharedItems containsSemiMixedTypes="0" containsString="0" containsNumber="1" containsInteger="1" minValue="0" maxValue="2" count="3">
        <n v="0"/>
        <n v="1"/>
        <n v="2"/>
      </sharedItems>
    </cacheField>
    <cacheField name="Volunteer Count Stylist" numFmtId="177">
      <sharedItems containsSemiMixedTypes="0" containsString="0" containsNumber="1" containsInteger="1" minValue="1" maxValue="5" count="5">
        <n v="4"/>
        <n v="1"/>
        <n v="2"/>
        <n v="3"/>
        <n v="5"/>
      </sharedItems>
    </cacheField>
    <cacheField name="Volunteer Count Clothing Management" numFmtId="177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Volunteer Count Total" numFmtId="177">
      <sharedItems containsSemiMixedTypes="0" containsString="0" containsNumber="1" containsInteger="1" minValue="4" maxValue="18" count="15">
        <n v="11"/>
        <n v="8"/>
        <n v="10"/>
        <n v="12"/>
        <n v="7"/>
        <n v="13"/>
        <n v="16"/>
        <n v="9"/>
        <n v="14"/>
        <n v="15"/>
        <n v="5"/>
        <n v="6"/>
        <n v="18"/>
        <n v="17"/>
        <n v="4"/>
      </sharedItems>
    </cacheField>
    <cacheField name="Volunteer Hours Retail" numFmtId="177">
      <sharedItems containsSemiMixedTypes="0" containsString="0" containsNumber="1" minValue="2" maxValue="22" count="40">
        <n v="9"/>
        <n v="13"/>
        <n v="12.5"/>
        <n v="5.5"/>
        <n v="4"/>
        <n v="10.5"/>
        <n v="20.5"/>
        <n v="6.5"/>
        <n v="7.5"/>
        <n v="22"/>
        <n v="11.5"/>
        <n v="5"/>
        <n v="16.5"/>
        <n v="3.5"/>
        <n v="10"/>
        <n v="7"/>
        <n v="8.5"/>
        <n v="18.5"/>
        <n v="9.5"/>
        <n v="4.5"/>
        <n v="19.5"/>
        <n v="3"/>
        <n v="13.5"/>
        <n v="6"/>
        <n v="2"/>
        <n v="17"/>
        <n v="18"/>
        <n v="14.5"/>
        <n v="11"/>
        <n v="2.5"/>
        <n v="19"/>
        <n v="8"/>
        <n v="14"/>
        <n v="12"/>
        <n v="15"/>
        <n v="16"/>
        <n v="15.5"/>
        <n v="21"/>
        <n v="17.5"/>
        <n v="21.5"/>
      </sharedItems>
    </cacheField>
    <cacheField name="Volunteer Hours HR" numFmtId="177">
      <sharedItems containsSemiMixedTypes="0" containsString="0" containsNumber="1" minValue="0" maxValue="11" count="20">
        <n v="7.5"/>
        <n v="4"/>
        <n v="2.5"/>
        <n v="3.5"/>
        <n v="0"/>
        <n v="4.5"/>
        <n v="5.5"/>
        <n v="10.5"/>
        <n v="10"/>
        <n v="3"/>
        <n v="8"/>
        <n v="2"/>
        <n v="6"/>
        <n v="8.5"/>
        <n v="7"/>
        <n v="9"/>
        <n v="5"/>
        <n v="6.5"/>
        <n v="9.5"/>
        <n v="11"/>
      </sharedItems>
    </cacheField>
    <cacheField name="Volunteer Hours Business Support" numFmtId="177">
      <sharedItems containsSemiMixedTypes="0" containsString="0" containsNumber="1" minValue="0" maxValue="11" count="20">
        <n v="9"/>
        <n v="0"/>
        <n v="4"/>
        <n v="7.5"/>
        <n v="5.5"/>
        <n v="3"/>
        <n v="6.5"/>
        <n v="8"/>
        <n v="2"/>
        <n v="7"/>
        <n v="5"/>
        <n v="2.5"/>
        <n v="8.5"/>
        <n v="4.5"/>
        <n v="3.5"/>
        <n v="10"/>
        <n v="6"/>
        <n v="9.5"/>
        <n v="10.5"/>
        <n v="11"/>
      </sharedItems>
    </cacheField>
    <cacheField name="Volunteer Hours Marketing" numFmtId="177">
      <sharedItems containsSemiMixedTypes="0" containsString="0" containsNumber="1" minValue="0" maxValue="11" count="20">
        <n v="0"/>
        <n v="2.5"/>
        <n v="3"/>
        <n v="3.5"/>
        <n v="4"/>
        <n v="6.5"/>
        <n v="4.5"/>
        <n v="6"/>
        <n v="11"/>
        <n v="5.5"/>
        <n v="5"/>
        <n v="7.5"/>
        <n v="10"/>
        <n v="2"/>
        <n v="7"/>
        <n v="9"/>
        <n v="10.5"/>
        <n v="8"/>
        <n v="9.5"/>
        <n v="8.5"/>
      </sharedItems>
    </cacheField>
    <cacheField name="Volunteer Hours Stylist" numFmtId="177">
      <sharedItems containsSemiMixedTypes="0" containsString="0" containsNumber="1" minValue="2" maxValue="26" count="49">
        <n v="18.5"/>
        <n v="5.5"/>
        <n v="10.5"/>
        <n v="4.5"/>
        <n v="3.5"/>
        <n v="15.5"/>
        <n v="17"/>
        <n v="11.5"/>
        <n v="13"/>
        <n v="23"/>
        <n v="22"/>
        <n v="5"/>
        <n v="19"/>
        <n v="4"/>
        <n v="9.5"/>
        <n v="21"/>
        <n v="8.5"/>
        <n v="25"/>
        <n v="16.5"/>
        <n v="12"/>
        <n v="9"/>
        <n v="20"/>
        <n v="7"/>
        <n v="6.5"/>
        <n v="14.5"/>
        <n v="3"/>
        <n v="13.5"/>
        <n v="11"/>
        <n v="7.5"/>
        <n v="23.5"/>
        <n v="2.5"/>
        <n v="21.5"/>
        <n v="25.5"/>
        <n v="16"/>
        <n v="10"/>
        <n v="2"/>
        <n v="15"/>
        <n v="17.5"/>
        <n v="14"/>
        <n v="19.5"/>
        <n v="18"/>
        <n v="12.5"/>
        <n v="6"/>
        <n v="8"/>
        <n v="26"/>
        <n v="24.5"/>
        <n v="20.5"/>
        <n v="22.5"/>
        <n v="24"/>
      </sharedItems>
    </cacheField>
    <cacheField name="Volunteer Hours Clothing Management" numFmtId="177">
      <sharedItems containsSemiMixedTypes="0" containsString="0" containsNumber="1" minValue="2" maxValue="22" count="41">
        <n v="4"/>
        <n v="7.5"/>
        <n v="9"/>
        <n v="10.5"/>
        <n v="8.5"/>
        <n v="11.5"/>
        <n v="14.5"/>
        <n v="5.5"/>
        <n v="21.5"/>
        <n v="17"/>
        <n v="12"/>
        <n v="5"/>
        <n v="19.5"/>
        <n v="3.5"/>
        <n v="11"/>
        <n v="8"/>
        <n v="7"/>
        <n v="20"/>
        <n v="6.5"/>
        <n v="4.5"/>
        <n v="18.5"/>
        <n v="21"/>
        <n v="17.5"/>
        <n v="15.5"/>
        <n v="2.5"/>
        <n v="12.5"/>
        <n v="19"/>
        <n v="2"/>
        <n v="15"/>
        <n v="6"/>
        <n v="18"/>
        <n v="16"/>
        <n v="14"/>
        <n v="9.5"/>
        <n v="13"/>
        <n v="16.5"/>
        <n v="3"/>
        <n v="10"/>
        <n v="13.5"/>
        <n v="22"/>
        <n v="20.5"/>
      </sharedItems>
    </cacheField>
    <cacheField name="Volunteer Hours Total" numFmtId="177">
      <sharedItems containsSemiMixedTypes="0" containsString="0" containsNumber="1" minValue="16.5" maxValue="72" count="88">
        <n v="48"/>
        <n v="30"/>
        <n v="34.5"/>
        <n v="34"/>
        <n v="32"/>
        <n v="23.5"/>
        <n v="43.5"/>
        <n v="56.5"/>
        <n v="45"/>
        <n v="44"/>
        <n v="55"/>
        <n v="59"/>
        <n v="65"/>
        <n v="31"/>
        <n v="38.5"/>
        <n v="63.5"/>
        <n v="36.5"/>
        <n v="43"/>
        <n v="42.5"/>
        <n v="52.5"/>
        <n v="27.5"/>
        <n v="52"/>
        <n v="51.5"/>
        <n v="36"/>
        <n v="37"/>
        <n v="40"/>
        <n v="54"/>
        <n v="51"/>
        <n v="21.5"/>
        <n v="39.5"/>
        <n v="33"/>
        <n v="41"/>
        <n v="16.5"/>
        <n v="44.5"/>
        <n v="58"/>
        <n v="38"/>
        <n v="29.5"/>
        <n v="22.5"/>
        <n v="35.5"/>
        <n v="46"/>
        <n v="42"/>
        <n v="29"/>
        <n v="30.5"/>
        <n v="37.5"/>
        <n v="41.5"/>
        <n v="31.5"/>
        <n v="39"/>
        <n v="61.5"/>
        <n v="20.5"/>
        <n v="28.5"/>
        <n v="28"/>
        <n v="18.5"/>
        <n v="62.5"/>
        <n v="59.5"/>
        <n v="21"/>
        <n v="46.5"/>
        <n v="40.5"/>
        <n v="58.5"/>
        <n v="26"/>
        <n v="24.5"/>
        <n v="48.5"/>
        <n v="24"/>
        <n v="47"/>
        <n v="25"/>
        <n v="50"/>
        <n v="62"/>
        <n v="25.5"/>
        <n v="47.5"/>
        <n v="26.5"/>
        <n v="54.5"/>
        <n v="35"/>
        <n v="55.5"/>
        <n v="49"/>
        <n v="49.5"/>
        <n v="45.5"/>
        <n v="20"/>
        <n v="64"/>
        <n v="67.5"/>
        <n v="19.5"/>
        <n v="66"/>
        <n v="72"/>
        <n v="53"/>
        <n v="63"/>
        <n v="50.5"/>
        <n v="17.5"/>
        <n v="68.5"/>
        <n v="32.5"/>
        <n v="33.5"/>
      </sharedItems>
    </cacheField>
    <cacheField name="Total Stylings Registrations" numFmtId="1">
      <sharedItems containsSemiMixedTypes="0" containsString="0" containsNumber="1" containsInteger="1" minValue="0" maxValue="7" count="8">
        <n v="4"/>
        <n v="3"/>
        <n v="2"/>
        <n v="5"/>
        <n v="6"/>
        <n v="7"/>
        <n v="0"/>
        <n v="1"/>
      </sharedItems>
    </cacheField>
    <cacheField name="Total Completed Styling Services" numFmtId="1">
      <sharedItems containsSemiMixedTypes="0" containsString="0" containsNumber="1" containsInteger="1" minValue="0" maxValue="7" count="8">
        <n v="3"/>
        <n v="2"/>
        <n v="4"/>
        <n v="5"/>
        <n v="1"/>
        <n v="7"/>
        <n v="0"/>
        <n v="6"/>
      </sharedItems>
    </cacheField>
    <cacheField name="Total Male" numFmtId="1">
      <sharedItems containsSemiMixedTypes="0" containsString="0" containsNumber="1" containsInteger="1" minValue="0" maxValue="2" count="3">
        <n v="0"/>
        <n v="1"/>
        <n v="2"/>
      </sharedItems>
    </cacheField>
    <cacheField name="Total Female" numFmtId="1">
      <sharedItems containsSemiMixedTypes="0" containsString="0" containsNumber="1" containsInteger="1" minValue="0" maxValue="7" count="8">
        <n v="3"/>
        <n v="2"/>
        <n v="1"/>
        <n v="4"/>
        <n v="0"/>
        <n v="7"/>
        <n v="5"/>
        <n v="6"/>
      </sharedItems>
    </cacheField>
    <cacheField name="Total Non-Binary" numFmtId="1">
      <sharedItems containsSemiMixedTypes="0" containsString="0" containsNumber="1" containsInteger="1" minValue="0" maxValue="1" count="2">
        <n v="0"/>
        <n v="1"/>
      </sharedItems>
    </cacheField>
    <cacheField name="Completion Rate" numFmtId="0" formula="'Total Completed Styling Services'/'Total Stylings Registrations'" databaseFiel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1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1"/>
    <x v="1"/>
    <x v="0"/>
    <x v="0"/>
    <x v="1"/>
    <x v="1"/>
    <x v="0"/>
    <x v="1"/>
    <x v="0"/>
    <x v="0"/>
    <x v="0"/>
    <x v="0"/>
    <x v="0"/>
    <x v="1"/>
    <x v="0"/>
    <x v="0"/>
    <x v="1"/>
    <x v="0"/>
    <x v="1"/>
    <x v="1"/>
    <x v="1"/>
    <x v="1"/>
    <x v="1"/>
    <x v="1"/>
    <x v="1"/>
    <x v="0"/>
    <x v="1"/>
    <x v="1"/>
    <x v="1"/>
    <x v="1"/>
    <x v="1"/>
    <x v="1"/>
    <x v="0"/>
    <x v="1"/>
    <x v="1"/>
    <x v="1"/>
    <x v="1"/>
    <x v="0"/>
    <x v="1"/>
    <x v="1"/>
    <x v="0"/>
  </r>
  <r>
    <x v="0"/>
    <x v="0"/>
    <x v="1"/>
    <x v="2"/>
    <x v="2"/>
    <x v="1"/>
    <x v="1"/>
    <x v="1"/>
    <x v="2"/>
    <x v="0"/>
    <x v="2"/>
    <x v="1"/>
    <x v="1"/>
    <x v="1"/>
    <x v="0"/>
    <x v="0"/>
    <x v="0"/>
    <x v="0"/>
    <x v="0"/>
    <x v="0"/>
    <x v="1"/>
    <x v="2"/>
    <x v="2"/>
    <x v="2"/>
    <x v="2"/>
    <x v="2"/>
    <x v="1"/>
    <x v="1"/>
    <x v="0"/>
    <x v="0"/>
    <x v="2"/>
    <x v="0"/>
    <x v="2"/>
    <x v="2"/>
    <x v="1"/>
    <x v="0"/>
    <x v="2"/>
    <x v="2"/>
    <x v="2"/>
    <x v="1"/>
    <x v="0"/>
    <x v="2"/>
    <x v="2"/>
    <x v="0"/>
  </r>
  <r>
    <x v="0"/>
    <x v="0"/>
    <x v="1"/>
    <x v="3"/>
    <x v="3"/>
    <x v="1"/>
    <x v="2"/>
    <x v="0"/>
    <x v="2"/>
    <x v="0"/>
    <x v="2"/>
    <x v="1"/>
    <x v="1"/>
    <x v="1"/>
    <x v="0"/>
    <x v="0"/>
    <x v="0"/>
    <x v="1"/>
    <x v="0"/>
    <x v="2"/>
    <x v="2"/>
    <x v="3"/>
    <x v="3"/>
    <x v="3"/>
    <x v="3"/>
    <x v="3"/>
    <x v="1"/>
    <x v="2"/>
    <x v="0"/>
    <x v="0"/>
    <x v="1"/>
    <x v="2"/>
    <x v="3"/>
    <x v="3"/>
    <x v="2"/>
    <x v="0"/>
    <x v="2"/>
    <x v="3"/>
    <x v="3"/>
    <x v="1"/>
    <x v="1"/>
    <x v="1"/>
    <x v="2"/>
    <x v="0"/>
  </r>
  <r>
    <x v="0"/>
    <x v="0"/>
    <x v="1"/>
    <x v="4"/>
    <x v="4"/>
    <x v="2"/>
    <x v="0"/>
    <x v="0"/>
    <x v="0"/>
    <x v="0"/>
    <x v="1"/>
    <x v="0"/>
    <x v="0"/>
    <x v="0"/>
    <x v="0"/>
    <x v="1"/>
    <x v="0"/>
    <x v="0"/>
    <x v="0"/>
    <x v="3"/>
    <x v="3"/>
    <x v="4"/>
    <x v="4"/>
    <x v="4"/>
    <x v="4"/>
    <x v="2"/>
    <x v="2"/>
    <x v="0"/>
    <x v="1"/>
    <x v="2"/>
    <x v="1"/>
    <x v="3"/>
    <x v="0"/>
    <x v="4"/>
    <x v="3"/>
    <x v="1"/>
    <x v="3"/>
    <x v="4"/>
    <x v="4"/>
    <x v="0"/>
    <x v="0"/>
    <x v="0"/>
    <x v="0"/>
    <x v="0"/>
  </r>
  <r>
    <x v="0"/>
    <x v="0"/>
    <x v="1"/>
    <x v="5"/>
    <x v="0"/>
    <x v="1"/>
    <x v="1"/>
    <x v="1"/>
    <x v="2"/>
    <x v="0"/>
    <x v="3"/>
    <x v="1"/>
    <x v="1"/>
    <x v="1"/>
    <x v="0"/>
    <x v="1"/>
    <x v="1"/>
    <x v="1"/>
    <x v="0"/>
    <x v="4"/>
    <x v="4"/>
    <x v="3"/>
    <x v="5"/>
    <x v="5"/>
    <x v="5"/>
    <x v="3"/>
    <x v="1"/>
    <x v="1"/>
    <x v="0"/>
    <x v="1"/>
    <x v="3"/>
    <x v="4"/>
    <x v="4"/>
    <x v="5"/>
    <x v="1"/>
    <x v="0"/>
    <x v="4"/>
    <x v="5"/>
    <x v="5"/>
    <x v="0"/>
    <x v="0"/>
    <x v="2"/>
    <x v="2"/>
    <x v="0"/>
  </r>
  <r>
    <x v="0"/>
    <x v="0"/>
    <x v="1"/>
    <x v="6"/>
    <x v="1"/>
    <x v="3"/>
    <x v="2"/>
    <x v="0"/>
    <x v="2"/>
    <x v="0"/>
    <x v="3"/>
    <x v="1"/>
    <x v="1"/>
    <x v="1"/>
    <x v="0"/>
    <x v="1"/>
    <x v="0"/>
    <x v="1"/>
    <x v="0"/>
    <x v="5"/>
    <x v="5"/>
    <x v="3"/>
    <x v="6"/>
    <x v="6"/>
    <x v="6"/>
    <x v="1"/>
    <x v="2"/>
    <x v="0"/>
    <x v="1"/>
    <x v="2"/>
    <x v="2"/>
    <x v="2"/>
    <x v="5"/>
    <x v="4"/>
    <x v="0"/>
    <x v="2"/>
    <x v="2"/>
    <x v="3"/>
    <x v="6"/>
    <x v="1"/>
    <x v="1"/>
    <x v="1"/>
    <x v="2"/>
    <x v="0"/>
  </r>
  <r>
    <x v="0"/>
    <x v="0"/>
    <x v="2"/>
    <x v="7"/>
    <x v="2"/>
    <x v="4"/>
    <x v="3"/>
    <x v="0"/>
    <x v="1"/>
    <x v="0"/>
    <x v="2"/>
    <x v="1"/>
    <x v="0"/>
    <x v="2"/>
    <x v="0"/>
    <x v="0"/>
    <x v="0"/>
    <x v="1"/>
    <x v="0"/>
    <x v="6"/>
    <x v="6"/>
    <x v="5"/>
    <x v="7"/>
    <x v="7"/>
    <x v="7"/>
    <x v="2"/>
    <x v="1"/>
    <x v="1"/>
    <x v="1"/>
    <x v="3"/>
    <x v="1"/>
    <x v="3"/>
    <x v="6"/>
    <x v="2"/>
    <x v="1"/>
    <x v="3"/>
    <x v="5"/>
    <x v="6"/>
    <x v="7"/>
    <x v="0"/>
    <x v="2"/>
    <x v="0"/>
    <x v="3"/>
    <x v="0"/>
  </r>
  <r>
    <x v="0"/>
    <x v="0"/>
    <x v="2"/>
    <x v="8"/>
    <x v="3"/>
    <x v="0"/>
    <x v="0"/>
    <x v="1"/>
    <x v="1"/>
    <x v="0"/>
    <x v="1"/>
    <x v="0"/>
    <x v="0"/>
    <x v="0"/>
    <x v="0"/>
    <x v="1"/>
    <x v="0"/>
    <x v="0"/>
    <x v="1"/>
    <x v="7"/>
    <x v="7"/>
    <x v="5"/>
    <x v="8"/>
    <x v="8"/>
    <x v="8"/>
    <x v="0"/>
    <x v="2"/>
    <x v="0"/>
    <x v="1"/>
    <x v="4"/>
    <x v="2"/>
    <x v="3"/>
    <x v="7"/>
    <x v="4"/>
    <x v="0"/>
    <x v="4"/>
    <x v="6"/>
    <x v="4"/>
    <x v="8"/>
    <x v="1"/>
    <x v="0"/>
    <x v="1"/>
    <x v="1"/>
    <x v="0"/>
  </r>
  <r>
    <x v="0"/>
    <x v="0"/>
    <x v="2"/>
    <x v="9"/>
    <x v="4"/>
    <x v="1"/>
    <x v="1"/>
    <x v="0"/>
    <x v="3"/>
    <x v="0"/>
    <x v="0"/>
    <x v="2"/>
    <x v="0"/>
    <x v="1"/>
    <x v="0"/>
    <x v="1"/>
    <x v="1"/>
    <x v="1"/>
    <x v="0"/>
    <x v="0"/>
    <x v="0"/>
    <x v="1"/>
    <x v="9"/>
    <x v="9"/>
    <x v="1"/>
    <x v="0"/>
    <x v="0"/>
    <x v="2"/>
    <x v="2"/>
    <x v="0"/>
    <x v="2"/>
    <x v="5"/>
    <x v="8"/>
    <x v="0"/>
    <x v="4"/>
    <x v="5"/>
    <x v="7"/>
    <x v="7"/>
    <x v="9"/>
    <x v="2"/>
    <x v="1"/>
    <x v="0"/>
    <x v="1"/>
    <x v="0"/>
  </r>
  <r>
    <x v="0"/>
    <x v="0"/>
    <x v="2"/>
    <x v="10"/>
    <x v="0"/>
    <x v="4"/>
    <x v="3"/>
    <x v="0"/>
    <x v="1"/>
    <x v="0"/>
    <x v="3"/>
    <x v="1"/>
    <x v="0"/>
    <x v="2"/>
    <x v="0"/>
    <x v="2"/>
    <x v="0"/>
    <x v="0"/>
    <x v="0"/>
    <x v="0"/>
    <x v="8"/>
    <x v="0"/>
    <x v="10"/>
    <x v="10"/>
    <x v="9"/>
    <x v="2"/>
    <x v="2"/>
    <x v="2"/>
    <x v="1"/>
    <x v="3"/>
    <x v="3"/>
    <x v="5"/>
    <x v="1"/>
    <x v="4"/>
    <x v="5"/>
    <x v="6"/>
    <x v="8"/>
    <x v="8"/>
    <x v="10"/>
    <x v="3"/>
    <x v="2"/>
    <x v="0"/>
    <x v="3"/>
    <x v="0"/>
  </r>
  <r>
    <x v="0"/>
    <x v="0"/>
    <x v="2"/>
    <x v="11"/>
    <x v="1"/>
    <x v="2"/>
    <x v="4"/>
    <x v="1"/>
    <x v="0"/>
    <x v="0"/>
    <x v="0"/>
    <x v="0"/>
    <x v="0"/>
    <x v="0"/>
    <x v="0"/>
    <x v="0"/>
    <x v="1"/>
    <x v="0"/>
    <x v="0"/>
    <x v="0"/>
    <x v="9"/>
    <x v="6"/>
    <x v="11"/>
    <x v="11"/>
    <x v="10"/>
    <x v="2"/>
    <x v="1"/>
    <x v="0"/>
    <x v="0"/>
    <x v="4"/>
    <x v="3"/>
    <x v="6"/>
    <x v="0"/>
    <x v="3"/>
    <x v="6"/>
    <x v="0"/>
    <x v="9"/>
    <x v="9"/>
    <x v="11"/>
    <x v="3"/>
    <x v="2"/>
    <x v="1"/>
    <x v="0"/>
    <x v="0"/>
  </r>
  <r>
    <x v="0"/>
    <x v="0"/>
    <x v="3"/>
    <x v="12"/>
    <x v="2"/>
    <x v="1"/>
    <x v="1"/>
    <x v="1"/>
    <x v="2"/>
    <x v="0"/>
    <x v="2"/>
    <x v="2"/>
    <x v="1"/>
    <x v="0"/>
    <x v="0"/>
    <x v="1"/>
    <x v="0"/>
    <x v="0"/>
    <x v="0"/>
    <x v="8"/>
    <x v="10"/>
    <x v="7"/>
    <x v="12"/>
    <x v="12"/>
    <x v="11"/>
    <x v="2"/>
    <x v="2"/>
    <x v="2"/>
    <x v="1"/>
    <x v="0"/>
    <x v="1"/>
    <x v="5"/>
    <x v="9"/>
    <x v="4"/>
    <x v="4"/>
    <x v="3"/>
    <x v="10"/>
    <x v="10"/>
    <x v="12"/>
    <x v="1"/>
    <x v="1"/>
    <x v="2"/>
    <x v="4"/>
    <x v="0"/>
  </r>
  <r>
    <x v="0"/>
    <x v="0"/>
    <x v="3"/>
    <x v="13"/>
    <x v="3"/>
    <x v="0"/>
    <x v="3"/>
    <x v="1"/>
    <x v="3"/>
    <x v="0"/>
    <x v="3"/>
    <x v="3"/>
    <x v="0"/>
    <x v="3"/>
    <x v="0"/>
    <x v="0"/>
    <x v="0"/>
    <x v="0"/>
    <x v="0"/>
    <x v="9"/>
    <x v="0"/>
    <x v="8"/>
    <x v="13"/>
    <x v="13"/>
    <x v="12"/>
    <x v="1"/>
    <x v="2"/>
    <x v="0"/>
    <x v="0"/>
    <x v="2"/>
    <x v="0"/>
    <x v="1"/>
    <x v="1"/>
    <x v="4"/>
    <x v="7"/>
    <x v="0"/>
    <x v="11"/>
    <x v="11"/>
    <x v="13"/>
    <x v="4"/>
    <x v="3"/>
    <x v="1"/>
    <x v="3"/>
    <x v="0"/>
  </r>
  <r>
    <x v="0"/>
    <x v="0"/>
    <x v="3"/>
    <x v="14"/>
    <x v="4"/>
    <x v="4"/>
    <x v="1"/>
    <x v="0"/>
    <x v="3"/>
    <x v="0"/>
    <x v="2"/>
    <x v="1"/>
    <x v="0"/>
    <x v="2"/>
    <x v="0"/>
    <x v="2"/>
    <x v="1"/>
    <x v="0"/>
    <x v="0"/>
    <x v="10"/>
    <x v="11"/>
    <x v="9"/>
    <x v="14"/>
    <x v="14"/>
    <x v="13"/>
    <x v="1"/>
    <x v="1"/>
    <x v="2"/>
    <x v="2"/>
    <x v="0"/>
    <x v="0"/>
    <x v="3"/>
    <x v="10"/>
    <x v="3"/>
    <x v="8"/>
    <x v="7"/>
    <x v="2"/>
    <x v="11"/>
    <x v="14"/>
    <x v="0"/>
    <x v="0"/>
    <x v="0"/>
    <x v="0"/>
    <x v="0"/>
  </r>
  <r>
    <x v="0"/>
    <x v="0"/>
    <x v="3"/>
    <x v="15"/>
    <x v="0"/>
    <x v="2"/>
    <x v="0"/>
    <x v="1"/>
    <x v="1"/>
    <x v="0"/>
    <x v="2"/>
    <x v="1"/>
    <x v="0"/>
    <x v="2"/>
    <x v="0"/>
    <x v="0"/>
    <x v="0"/>
    <x v="1"/>
    <x v="0"/>
    <x v="11"/>
    <x v="0"/>
    <x v="9"/>
    <x v="15"/>
    <x v="15"/>
    <x v="14"/>
    <x v="2"/>
    <x v="1"/>
    <x v="0"/>
    <x v="0"/>
    <x v="4"/>
    <x v="3"/>
    <x v="6"/>
    <x v="2"/>
    <x v="6"/>
    <x v="9"/>
    <x v="0"/>
    <x v="12"/>
    <x v="12"/>
    <x v="15"/>
    <x v="4"/>
    <x v="3"/>
    <x v="1"/>
    <x v="3"/>
    <x v="0"/>
  </r>
  <r>
    <x v="0"/>
    <x v="0"/>
    <x v="3"/>
    <x v="16"/>
    <x v="1"/>
    <x v="4"/>
    <x v="1"/>
    <x v="0"/>
    <x v="3"/>
    <x v="0"/>
    <x v="1"/>
    <x v="0"/>
    <x v="0"/>
    <x v="0"/>
    <x v="0"/>
    <x v="2"/>
    <x v="0"/>
    <x v="0"/>
    <x v="0"/>
    <x v="12"/>
    <x v="0"/>
    <x v="7"/>
    <x v="16"/>
    <x v="16"/>
    <x v="15"/>
    <x v="3"/>
    <x v="0"/>
    <x v="0"/>
    <x v="0"/>
    <x v="1"/>
    <x v="0"/>
    <x v="4"/>
    <x v="11"/>
    <x v="7"/>
    <x v="9"/>
    <x v="0"/>
    <x v="11"/>
    <x v="13"/>
    <x v="13"/>
    <x v="2"/>
    <x v="4"/>
    <x v="0"/>
    <x v="2"/>
    <x v="0"/>
  </r>
  <r>
    <x v="0"/>
    <x v="0"/>
    <x v="4"/>
    <x v="17"/>
    <x v="2"/>
    <x v="2"/>
    <x v="4"/>
    <x v="0"/>
    <x v="4"/>
    <x v="0"/>
    <x v="3"/>
    <x v="3"/>
    <x v="0"/>
    <x v="3"/>
    <x v="0"/>
    <x v="0"/>
    <x v="0"/>
    <x v="0"/>
    <x v="0"/>
    <x v="13"/>
    <x v="12"/>
    <x v="6"/>
    <x v="17"/>
    <x v="17"/>
    <x v="16"/>
    <x v="2"/>
    <x v="1"/>
    <x v="2"/>
    <x v="1"/>
    <x v="1"/>
    <x v="0"/>
    <x v="7"/>
    <x v="12"/>
    <x v="3"/>
    <x v="10"/>
    <x v="4"/>
    <x v="13"/>
    <x v="13"/>
    <x v="16"/>
    <x v="5"/>
    <x v="5"/>
    <x v="0"/>
    <x v="5"/>
    <x v="0"/>
  </r>
  <r>
    <x v="0"/>
    <x v="0"/>
    <x v="4"/>
    <x v="18"/>
    <x v="3"/>
    <x v="1"/>
    <x v="2"/>
    <x v="0"/>
    <x v="2"/>
    <x v="0"/>
    <x v="2"/>
    <x v="1"/>
    <x v="1"/>
    <x v="1"/>
    <x v="0"/>
    <x v="0"/>
    <x v="1"/>
    <x v="0"/>
    <x v="1"/>
    <x v="14"/>
    <x v="0"/>
    <x v="10"/>
    <x v="18"/>
    <x v="18"/>
    <x v="17"/>
    <x v="3"/>
    <x v="1"/>
    <x v="2"/>
    <x v="1"/>
    <x v="2"/>
    <x v="3"/>
    <x v="2"/>
    <x v="13"/>
    <x v="2"/>
    <x v="11"/>
    <x v="2"/>
    <x v="14"/>
    <x v="14"/>
    <x v="4"/>
    <x v="1"/>
    <x v="1"/>
    <x v="1"/>
    <x v="2"/>
    <x v="0"/>
  </r>
  <r>
    <x v="0"/>
    <x v="0"/>
    <x v="4"/>
    <x v="19"/>
    <x v="4"/>
    <x v="3"/>
    <x v="2"/>
    <x v="0"/>
    <x v="2"/>
    <x v="0"/>
    <x v="1"/>
    <x v="0"/>
    <x v="0"/>
    <x v="0"/>
    <x v="0"/>
    <x v="0"/>
    <x v="0"/>
    <x v="0"/>
    <x v="0"/>
    <x v="15"/>
    <x v="3"/>
    <x v="4"/>
    <x v="19"/>
    <x v="19"/>
    <x v="13"/>
    <x v="3"/>
    <x v="1"/>
    <x v="1"/>
    <x v="2"/>
    <x v="0"/>
    <x v="0"/>
    <x v="7"/>
    <x v="4"/>
    <x v="3"/>
    <x v="1"/>
    <x v="8"/>
    <x v="15"/>
    <x v="13"/>
    <x v="17"/>
    <x v="6"/>
    <x v="6"/>
    <x v="0"/>
    <x v="4"/>
    <x v="0"/>
  </r>
  <r>
    <x v="0"/>
    <x v="0"/>
    <x v="4"/>
    <x v="20"/>
    <x v="0"/>
    <x v="1"/>
    <x v="1"/>
    <x v="0"/>
    <x v="3"/>
    <x v="0"/>
    <x v="0"/>
    <x v="2"/>
    <x v="1"/>
    <x v="0"/>
    <x v="0"/>
    <x v="2"/>
    <x v="0"/>
    <x v="0"/>
    <x v="0"/>
    <x v="16"/>
    <x v="0"/>
    <x v="7"/>
    <x v="20"/>
    <x v="20"/>
    <x v="18"/>
    <x v="2"/>
    <x v="0"/>
    <x v="2"/>
    <x v="2"/>
    <x v="1"/>
    <x v="2"/>
    <x v="3"/>
    <x v="14"/>
    <x v="8"/>
    <x v="5"/>
    <x v="8"/>
    <x v="4"/>
    <x v="7"/>
    <x v="17"/>
    <x v="2"/>
    <x v="1"/>
    <x v="1"/>
    <x v="2"/>
    <x v="0"/>
  </r>
  <r>
    <x v="0"/>
    <x v="0"/>
    <x v="4"/>
    <x v="21"/>
    <x v="1"/>
    <x v="0"/>
    <x v="0"/>
    <x v="0"/>
    <x v="0"/>
    <x v="0"/>
    <x v="1"/>
    <x v="0"/>
    <x v="0"/>
    <x v="0"/>
    <x v="0"/>
    <x v="1"/>
    <x v="0"/>
    <x v="0"/>
    <x v="0"/>
    <x v="17"/>
    <x v="13"/>
    <x v="6"/>
    <x v="21"/>
    <x v="21"/>
    <x v="19"/>
    <x v="0"/>
    <x v="0"/>
    <x v="1"/>
    <x v="0"/>
    <x v="0"/>
    <x v="3"/>
    <x v="3"/>
    <x v="11"/>
    <x v="0"/>
    <x v="1"/>
    <x v="0"/>
    <x v="16"/>
    <x v="8"/>
    <x v="18"/>
    <x v="1"/>
    <x v="0"/>
    <x v="0"/>
    <x v="0"/>
    <x v="0"/>
  </r>
  <r>
    <x v="1"/>
    <x v="0"/>
    <x v="0"/>
    <x v="22"/>
    <x v="2"/>
    <x v="1"/>
    <x v="2"/>
    <x v="0"/>
    <x v="2"/>
    <x v="0"/>
    <x v="3"/>
    <x v="3"/>
    <x v="0"/>
    <x v="3"/>
    <x v="0"/>
    <x v="0"/>
    <x v="0"/>
    <x v="0"/>
    <x v="0"/>
    <x v="18"/>
    <x v="0"/>
    <x v="11"/>
    <x v="22"/>
    <x v="22"/>
    <x v="20"/>
    <x v="3"/>
    <x v="2"/>
    <x v="0"/>
    <x v="0"/>
    <x v="4"/>
    <x v="1"/>
    <x v="0"/>
    <x v="13"/>
    <x v="4"/>
    <x v="12"/>
    <x v="0"/>
    <x v="17"/>
    <x v="15"/>
    <x v="8"/>
    <x v="0"/>
    <x v="0"/>
    <x v="0"/>
    <x v="0"/>
    <x v="0"/>
  </r>
  <r>
    <x v="1"/>
    <x v="0"/>
    <x v="0"/>
    <x v="23"/>
    <x v="3"/>
    <x v="0"/>
    <x v="0"/>
    <x v="1"/>
    <x v="1"/>
    <x v="0"/>
    <x v="2"/>
    <x v="2"/>
    <x v="1"/>
    <x v="0"/>
    <x v="0"/>
    <x v="1"/>
    <x v="0"/>
    <x v="0"/>
    <x v="0"/>
    <x v="19"/>
    <x v="14"/>
    <x v="9"/>
    <x v="23"/>
    <x v="23"/>
    <x v="21"/>
    <x v="2"/>
    <x v="2"/>
    <x v="2"/>
    <x v="1"/>
    <x v="0"/>
    <x v="3"/>
    <x v="8"/>
    <x v="6"/>
    <x v="4"/>
    <x v="13"/>
    <x v="6"/>
    <x v="7"/>
    <x v="5"/>
    <x v="19"/>
    <x v="3"/>
    <x v="2"/>
    <x v="2"/>
    <x v="1"/>
    <x v="0"/>
  </r>
  <r>
    <x v="1"/>
    <x v="0"/>
    <x v="0"/>
    <x v="24"/>
    <x v="4"/>
    <x v="4"/>
    <x v="3"/>
    <x v="1"/>
    <x v="3"/>
    <x v="0"/>
    <x v="3"/>
    <x v="3"/>
    <x v="0"/>
    <x v="3"/>
    <x v="0"/>
    <x v="0"/>
    <x v="0"/>
    <x v="0"/>
    <x v="0"/>
    <x v="20"/>
    <x v="0"/>
    <x v="12"/>
    <x v="24"/>
    <x v="24"/>
    <x v="22"/>
    <x v="1"/>
    <x v="2"/>
    <x v="1"/>
    <x v="2"/>
    <x v="2"/>
    <x v="1"/>
    <x v="2"/>
    <x v="7"/>
    <x v="4"/>
    <x v="1"/>
    <x v="9"/>
    <x v="16"/>
    <x v="16"/>
    <x v="20"/>
    <x v="3"/>
    <x v="3"/>
    <x v="1"/>
    <x v="3"/>
    <x v="0"/>
  </r>
  <r>
    <x v="1"/>
    <x v="0"/>
    <x v="0"/>
    <x v="25"/>
    <x v="0"/>
    <x v="4"/>
    <x v="1"/>
    <x v="0"/>
    <x v="3"/>
    <x v="0"/>
    <x v="2"/>
    <x v="2"/>
    <x v="0"/>
    <x v="1"/>
    <x v="0"/>
    <x v="1"/>
    <x v="1"/>
    <x v="0"/>
    <x v="0"/>
    <x v="21"/>
    <x v="0"/>
    <x v="11"/>
    <x v="25"/>
    <x v="25"/>
    <x v="23"/>
    <x v="0"/>
    <x v="2"/>
    <x v="2"/>
    <x v="1"/>
    <x v="4"/>
    <x v="3"/>
    <x v="5"/>
    <x v="15"/>
    <x v="4"/>
    <x v="14"/>
    <x v="10"/>
    <x v="18"/>
    <x v="17"/>
    <x v="21"/>
    <x v="0"/>
    <x v="1"/>
    <x v="0"/>
    <x v="1"/>
    <x v="0"/>
  </r>
  <r>
    <x v="1"/>
    <x v="0"/>
    <x v="0"/>
    <x v="26"/>
    <x v="1"/>
    <x v="2"/>
    <x v="0"/>
    <x v="1"/>
    <x v="1"/>
    <x v="0"/>
    <x v="0"/>
    <x v="2"/>
    <x v="0"/>
    <x v="1"/>
    <x v="0"/>
    <x v="0"/>
    <x v="0"/>
    <x v="0"/>
    <x v="0"/>
    <x v="22"/>
    <x v="0"/>
    <x v="13"/>
    <x v="26"/>
    <x v="26"/>
    <x v="24"/>
    <x v="0"/>
    <x v="0"/>
    <x v="0"/>
    <x v="1"/>
    <x v="4"/>
    <x v="1"/>
    <x v="9"/>
    <x v="11"/>
    <x v="7"/>
    <x v="15"/>
    <x v="2"/>
    <x v="18"/>
    <x v="18"/>
    <x v="22"/>
    <x v="3"/>
    <x v="2"/>
    <x v="1"/>
    <x v="0"/>
    <x v="0"/>
  </r>
  <r>
    <x v="1"/>
    <x v="0"/>
    <x v="1"/>
    <x v="27"/>
    <x v="2"/>
    <x v="2"/>
    <x v="4"/>
    <x v="0"/>
    <x v="4"/>
    <x v="0"/>
    <x v="0"/>
    <x v="2"/>
    <x v="1"/>
    <x v="0"/>
    <x v="0"/>
    <x v="1"/>
    <x v="1"/>
    <x v="0"/>
    <x v="0"/>
    <x v="0"/>
    <x v="15"/>
    <x v="14"/>
    <x v="27"/>
    <x v="27"/>
    <x v="25"/>
    <x v="0"/>
    <x v="1"/>
    <x v="1"/>
    <x v="2"/>
    <x v="0"/>
    <x v="0"/>
    <x v="2"/>
    <x v="16"/>
    <x v="3"/>
    <x v="1"/>
    <x v="11"/>
    <x v="19"/>
    <x v="19"/>
    <x v="23"/>
    <x v="3"/>
    <x v="3"/>
    <x v="1"/>
    <x v="3"/>
    <x v="0"/>
  </r>
  <r>
    <x v="1"/>
    <x v="0"/>
    <x v="1"/>
    <x v="28"/>
    <x v="3"/>
    <x v="4"/>
    <x v="1"/>
    <x v="1"/>
    <x v="2"/>
    <x v="0"/>
    <x v="3"/>
    <x v="3"/>
    <x v="0"/>
    <x v="3"/>
    <x v="0"/>
    <x v="0"/>
    <x v="0"/>
    <x v="1"/>
    <x v="0"/>
    <x v="23"/>
    <x v="0"/>
    <x v="3"/>
    <x v="28"/>
    <x v="28"/>
    <x v="26"/>
    <x v="2"/>
    <x v="1"/>
    <x v="2"/>
    <x v="0"/>
    <x v="1"/>
    <x v="2"/>
    <x v="7"/>
    <x v="17"/>
    <x v="5"/>
    <x v="2"/>
    <x v="0"/>
    <x v="3"/>
    <x v="7"/>
    <x v="24"/>
    <x v="3"/>
    <x v="2"/>
    <x v="1"/>
    <x v="0"/>
    <x v="0"/>
  </r>
  <r>
    <x v="1"/>
    <x v="0"/>
    <x v="1"/>
    <x v="29"/>
    <x v="4"/>
    <x v="2"/>
    <x v="0"/>
    <x v="1"/>
    <x v="1"/>
    <x v="0"/>
    <x v="0"/>
    <x v="2"/>
    <x v="0"/>
    <x v="1"/>
    <x v="0"/>
    <x v="2"/>
    <x v="1"/>
    <x v="1"/>
    <x v="0"/>
    <x v="24"/>
    <x v="0"/>
    <x v="9"/>
    <x v="29"/>
    <x v="29"/>
    <x v="27"/>
    <x v="3"/>
    <x v="1"/>
    <x v="2"/>
    <x v="1"/>
    <x v="0"/>
    <x v="3"/>
    <x v="3"/>
    <x v="4"/>
    <x v="6"/>
    <x v="11"/>
    <x v="2"/>
    <x v="18"/>
    <x v="4"/>
    <x v="25"/>
    <x v="3"/>
    <x v="2"/>
    <x v="1"/>
    <x v="0"/>
    <x v="0"/>
  </r>
  <r>
    <x v="1"/>
    <x v="0"/>
    <x v="1"/>
    <x v="30"/>
    <x v="0"/>
    <x v="3"/>
    <x v="2"/>
    <x v="0"/>
    <x v="2"/>
    <x v="0"/>
    <x v="3"/>
    <x v="1"/>
    <x v="1"/>
    <x v="1"/>
    <x v="0"/>
    <x v="1"/>
    <x v="0"/>
    <x v="0"/>
    <x v="0"/>
    <x v="25"/>
    <x v="0"/>
    <x v="15"/>
    <x v="30"/>
    <x v="30"/>
    <x v="28"/>
    <x v="3"/>
    <x v="1"/>
    <x v="0"/>
    <x v="2"/>
    <x v="2"/>
    <x v="3"/>
    <x v="3"/>
    <x v="4"/>
    <x v="9"/>
    <x v="3"/>
    <x v="12"/>
    <x v="20"/>
    <x v="20"/>
    <x v="21"/>
    <x v="1"/>
    <x v="1"/>
    <x v="1"/>
    <x v="2"/>
    <x v="0"/>
  </r>
  <r>
    <x v="1"/>
    <x v="0"/>
    <x v="1"/>
    <x v="31"/>
    <x v="1"/>
    <x v="4"/>
    <x v="3"/>
    <x v="1"/>
    <x v="3"/>
    <x v="0"/>
    <x v="0"/>
    <x v="0"/>
    <x v="0"/>
    <x v="0"/>
    <x v="0"/>
    <x v="1"/>
    <x v="0"/>
    <x v="0"/>
    <x v="0"/>
    <x v="0"/>
    <x v="0"/>
    <x v="0"/>
    <x v="31"/>
    <x v="31"/>
    <x v="29"/>
    <x v="1"/>
    <x v="0"/>
    <x v="0"/>
    <x v="0"/>
    <x v="0"/>
    <x v="2"/>
    <x v="5"/>
    <x v="18"/>
    <x v="7"/>
    <x v="16"/>
    <x v="0"/>
    <x v="21"/>
    <x v="15"/>
    <x v="26"/>
    <x v="1"/>
    <x v="1"/>
    <x v="1"/>
    <x v="2"/>
    <x v="0"/>
  </r>
  <r>
    <x v="1"/>
    <x v="0"/>
    <x v="2"/>
    <x v="32"/>
    <x v="2"/>
    <x v="1"/>
    <x v="2"/>
    <x v="0"/>
    <x v="2"/>
    <x v="0"/>
    <x v="3"/>
    <x v="3"/>
    <x v="1"/>
    <x v="2"/>
    <x v="0"/>
    <x v="1"/>
    <x v="0"/>
    <x v="0"/>
    <x v="0"/>
    <x v="0"/>
    <x v="16"/>
    <x v="16"/>
    <x v="32"/>
    <x v="32"/>
    <x v="30"/>
    <x v="3"/>
    <x v="2"/>
    <x v="2"/>
    <x v="2"/>
    <x v="0"/>
    <x v="3"/>
    <x v="3"/>
    <x v="11"/>
    <x v="4"/>
    <x v="8"/>
    <x v="6"/>
    <x v="0"/>
    <x v="21"/>
    <x v="27"/>
    <x v="0"/>
    <x v="0"/>
    <x v="1"/>
    <x v="1"/>
    <x v="0"/>
  </r>
  <r>
    <x v="1"/>
    <x v="0"/>
    <x v="2"/>
    <x v="33"/>
    <x v="3"/>
    <x v="3"/>
    <x v="2"/>
    <x v="0"/>
    <x v="2"/>
    <x v="0"/>
    <x v="2"/>
    <x v="1"/>
    <x v="0"/>
    <x v="2"/>
    <x v="0"/>
    <x v="1"/>
    <x v="0"/>
    <x v="1"/>
    <x v="1"/>
    <x v="26"/>
    <x v="0"/>
    <x v="9"/>
    <x v="33"/>
    <x v="33"/>
    <x v="31"/>
    <x v="0"/>
    <x v="2"/>
    <x v="1"/>
    <x v="1"/>
    <x v="3"/>
    <x v="0"/>
    <x v="4"/>
    <x v="0"/>
    <x v="4"/>
    <x v="1"/>
    <x v="13"/>
    <x v="22"/>
    <x v="13"/>
    <x v="28"/>
    <x v="2"/>
    <x v="1"/>
    <x v="0"/>
    <x v="1"/>
    <x v="0"/>
  </r>
  <r>
    <x v="1"/>
    <x v="0"/>
    <x v="2"/>
    <x v="34"/>
    <x v="4"/>
    <x v="3"/>
    <x v="2"/>
    <x v="0"/>
    <x v="2"/>
    <x v="0"/>
    <x v="1"/>
    <x v="0"/>
    <x v="0"/>
    <x v="0"/>
    <x v="0"/>
    <x v="1"/>
    <x v="1"/>
    <x v="1"/>
    <x v="0"/>
    <x v="27"/>
    <x v="0"/>
    <x v="11"/>
    <x v="34"/>
    <x v="34"/>
    <x v="32"/>
    <x v="1"/>
    <x v="2"/>
    <x v="1"/>
    <x v="1"/>
    <x v="4"/>
    <x v="3"/>
    <x v="5"/>
    <x v="0"/>
    <x v="4"/>
    <x v="1"/>
    <x v="2"/>
    <x v="9"/>
    <x v="22"/>
    <x v="19"/>
    <x v="6"/>
    <x v="6"/>
    <x v="0"/>
    <x v="4"/>
    <x v="0"/>
  </r>
  <r>
    <x v="1"/>
    <x v="0"/>
    <x v="2"/>
    <x v="35"/>
    <x v="0"/>
    <x v="0"/>
    <x v="0"/>
    <x v="1"/>
    <x v="1"/>
    <x v="0"/>
    <x v="1"/>
    <x v="0"/>
    <x v="0"/>
    <x v="0"/>
    <x v="0"/>
    <x v="1"/>
    <x v="1"/>
    <x v="0"/>
    <x v="0"/>
    <x v="0"/>
    <x v="0"/>
    <x v="4"/>
    <x v="35"/>
    <x v="35"/>
    <x v="33"/>
    <x v="3"/>
    <x v="1"/>
    <x v="0"/>
    <x v="2"/>
    <x v="3"/>
    <x v="2"/>
    <x v="0"/>
    <x v="19"/>
    <x v="6"/>
    <x v="12"/>
    <x v="14"/>
    <x v="23"/>
    <x v="1"/>
    <x v="29"/>
    <x v="1"/>
    <x v="0"/>
    <x v="1"/>
    <x v="1"/>
    <x v="0"/>
  </r>
  <r>
    <x v="1"/>
    <x v="0"/>
    <x v="2"/>
    <x v="36"/>
    <x v="1"/>
    <x v="3"/>
    <x v="2"/>
    <x v="0"/>
    <x v="2"/>
    <x v="0"/>
    <x v="0"/>
    <x v="2"/>
    <x v="1"/>
    <x v="0"/>
    <x v="0"/>
    <x v="1"/>
    <x v="0"/>
    <x v="1"/>
    <x v="0"/>
    <x v="28"/>
    <x v="0"/>
    <x v="0"/>
    <x v="36"/>
    <x v="36"/>
    <x v="34"/>
    <x v="0"/>
    <x v="0"/>
    <x v="2"/>
    <x v="0"/>
    <x v="4"/>
    <x v="1"/>
    <x v="5"/>
    <x v="19"/>
    <x v="10"/>
    <x v="13"/>
    <x v="0"/>
    <x v="0"/>
    <x v="23"/>
    <x v="27"/>
    <x v="7"/>
    <x v="4"/>
    <x v="1"/>
    <x v="4"/>
    <x v="0"/>
  </r>
  <r>
    <x v="1"/>
    <x v="0"/>
    <x v="3"/>
    <x v="37"/>
    <x v="2"/>
    <x v="0"/>
    <x v="0"/>
    <x v="0"/>
    <x v="0"/>
    <x v="0"/>
    <x v="0"/>
    <x v="2"/>
    <x v="0"/>
    <x v="1"/>
    <x v="0"/>
    <x v="0"/>
    <x v="0"/>
    <x v="0"/>
    <x v="0"/>
    <x v="29"/>
    <x v="17"/>
    <x v="16"/>
    <x v="37"/>
    <x v="37"/>
    <x v="2"/>
    <x v="0"/>
    <x v="1"/>
    <x v="2"/>
    <x v="0"/>
    <x v="4"/>
    <x v="0"/>
    <x v="2"/>
    <x v="18"/>
    <x v="11"/>
    <x v="13"/>
    <x v="0"/>
    <x v="24"/>
    <x v="24"/>
    <x v="30"/>
    <x v="0"/>
    <x v="2"/>
    <x v="0"/>
    <x v="3"/>
    <x v="0"/>
  </r>
  <r>
    <x v="1"/>
    <x v="0"/>
    <x v="3"/>
    <x v="38"/>
    <x v="3"/>
    <x v="0"/>
    <x v="0"/>
    <x v="1"/>
    <x v="1"/>
    <x v="0"/>
    <x v="0"/>
    <x v="2"/>
    <x v="1"/>
    <x v="0"/>
    <x v="0"/>
    <x v="0"/>
    <x v="0"/>
    <x v="1"/>
    <x v="1"/>
    <x v="30"/>
    <x v="18"/>
    <x v="0"/>
    <x v="38"/>
    <x v="38"/>
    <x v="35"/>
    <x v="2"/>
    <x v="1"/>
    <x v="2"/>
    <x v="0"/>
    <x v="1"/>
    <x v="1"/>
    <x v="2"/>
    <x v="20"/>
    <x v="3"/>
    <x v="11"/>
    <x v="0"/>
    <x v="25"/>
    <x v="25"/>
    <x v="31"/>
    <x v="0"/>
    <x v="2"/>
    <x v="2"/>
    <x v="1"/>
    <x v="0"/>
  </r>
  <r>
    <x v="1"/>
    <x v="0"/>
    <x v="3"/>
    <x v="39"/>
    <x v="4"/>
    <x v="2"/>
    <x v="4"/>
    <x v="1"/>
    <x v="0"/>
    <x v="0"/>
    <x v="0"/>
    <x v="0"/>
    <x v="0"/>
    <x v="0"/>
    <x v="0"/>
    <x v="0"/>
    <x v="0"/>
    <x v="0"/>
    <x v="0"/>
    <x v="31"/>
    <x v="0"/>
    <x v="16"/>
    <x v="39"/>
    <x v="39"/>
    <x v="36"/>
    <x v="3"/>
    <x v="2"/>
    <x v="2"/>
    <x v="0"/>
    <x v="2"/>
    <x v="0"/>
    <x v="10"/>
    <x v="21"/>
    <x v="4"/>
    <x v="2"/>
    <x v="0"/>
    <x v="11"/>
    <x v="19"/>
    <x v="32"/>
    <x v="3"/>
    <x v="2"/>
    <x v="1"/>
    <x v="0"/>
    <x v="0"/>
  </r>
  <r>
    <x v="1"/>
    <x v="0"/>
    <x v="3"/>
    <x v="40"/>
    <x v="0"/>
    <x v="1"/>
    <x v="2"/>
    <x v="0"/>
    <x v="2"/>
    <x v="0"/>
    <x v="0"/>
    <x v="0"/>
    <x v="0"/>
    <x v="0"/>
    <x v="0"/>
    <x v="2"/>
    <x v="1"/>
    <x v="0"/>
    <x v="1"/>
    <x v="32"/>
    <x v="0"/>
    <x v="17"/>
    <x v="40"/>
    <x v="40"/>
    <x v="37"/>
    <x v="3"/>
    <x v="1"/>
    <x v="2"/>
    <x v="0"/>
    <x v="0"/>
    <x v="3"/>
    <x v="0"/>
    <x v="4"/>
    <x v="5"/>
    <x v="14"/>
    <x v="0"/>
    <x v="26"/>
    <x v="26"/>
    <x v="33"/>
    <x v="2"/>
    <x v="6"/>
    <x v="0"/>
    <x v="4"/>
    <x v="0"/>
  </r>
  <r>
    <x v="1"/>
    <x v="0"/>
    <x v="3"/>
    <x v="41"/>
    <x v="1"/>
    <x v="3"/>
    <x v="2"/>
    <x v="0"/>
    <x v="2"/>
    <x v="0"/>
    <x v="1"/>
    <x v="0"/>
    <x v="0"/>
    <x v="0"/>
    <x v="0"/>
    <x v="0"/>
    <x v="0"/>
    <x v="0"/>
    <x v="0"/>
    <x v="33"/>
    <x v="19"/>
    <x v="5"/>
    <x v="41"/>
    <x v="41"/>
    <x v="38"/>
    <x v="0"/>
    <x v="2"/>
    <x v="1"/>
    <x v="2"/>
    <x v="2"/>
    <x v="2"/>
    <x v="1"/>
    <x v="3"/>
    <x v="4"/>
    <x v="1"/>
    <x v="5"/>
    <x v="27"/>
    <x v="19"/>
    <x v="20"/>
    <x v="6"/>
    <x v="6"/>
    <x v="0"/>
    <x v="4"/>
    <x v="0"/>
  </r>
  <r>
    <x v="2"/>
    <x v="0"/>
    <x v="0"/>
    <x v="42"/>
    <x v="2"/>
    <x v="2"/>
    <x v="4"/>
    <x v="1"/>
    <x v="0"/>
    <x v="0"/>
    <x v="3"/>
    <x v="3"/>
    <x v="1"/>
    <x v="1"/>
    <x v="1"/>
    <x v="2"/>
    <x v="0"/>
    <x v="1"/>
    <x v="0"/>
    <x v="34"/>
    <x v="0"/>
    <x v="4"/>
    <x v="42"/>
    <x v="42"/>
    <x v="39"/>
    <x v="2"/>
    <x v="1"/>
    <x v="0"/>
    <x v="2"/>
    <x v="0"/>
    <x v="1"/>
    <x v="6"/>
    <x v="9"/>
    <x v="1"/>
    <x v="10"/>
    <x v="15"/>
    <x v="14"/>
    <x v="4"/>
    <x v="34"/>
    <x v="5"/>
    <x v="5"/>
    <x v="2"/>
    <x v="3"/>
    <x v="1"/>
  </r>
  <r>
    <x v="2"/>
    <x v="0"/>
    <x v="0"/>
    <x v="43"/>
    <x v="3"/>
    <x v="2"/>
    <x v="4"/>
    <x v="0"/>
    <x v="4"/>
    <x v="0"/>
    <x v="0"/>
    <x v="2"/>
    <x v="1"/>
    <x v="0"/>
    <x v="0"/>
    <x v="1"/>
    <x v="0"/>
    <x v="0"/>
    <x v="0"/>
    <x v="35"/>
    <x v="20"/>
    <x v="9"/>
    <x v="43"/>
    <x v="43"/>
    <x v="40"/>
    <x v="1"/>
    <x v="2"/>
    <x v="2"/>
    <x v="0"/>
    <x v="2"/>
    <x v="1"/>
    <x v="7"/>
    <x v="22"/>
    <x v="4"/>
    <x v="5"/>
    <x v="0"/>
    <x v="22"/>
    <x v="6"/>
    <x v="35"/>
    <x v="3"/>
    <x v="3"/>
    <x v="1"/>
    <x v="3"/>
    <x v="0"/>
  </r>
  <r>
    <x v="2"/>
    <x v="0"/>
    <x v="0"/>
    <x v="44"/>
    <x v="4"/>
    <x v="1"/>
    <x v="1"/>
    <x v="0"/>
    <x v="3"/>
    <x v="0"/>
    <x v="3"/>
    <x v="1"/>
    <x v="1"/>
    <x v="1"/>
    <x v="0"/>
    <x v="2"/>
    <x v="0"/>
    <x v="0"/>
    <x v="0"/>
    <x v="36"/>
    <x v="0"/>
    <x v="9"/>
    <x v="44"/>
    <x v="44"/>
    <x v="41"/>
    <x v="2"/>
    <x v="1"/>
    <x v="0"/>
    <x v="1"/>
    <x v="3"/>
    <x v="0"/>
    <x v="3"/>
    <x v="12"/>
    <x v="1"/>
    <x v="17"/>
    <x v="6"/>
    <x v="28"/>
    <x v="27"/>
    <x v="9"/>
    <x v="0"/>
    <x v="0"/>
    <x v="1"/>
    <x v="1"/>
    <x v="0"/>
  </r>
  <r>
    <x v="2"/>
    <x v="0"/>
    <x v="0"/>
    <x v="45"/>
    <x v="0"/>
    <x v="1"/>
    <x v="1"/>
    <x v="1"/>
    <x v="2"/>
    <x v="0"/>
    <x v="3"/>
    <x v="3"/>
    <x v="1"/>
    <x v="2"/>
    <x v="0"/>
    <x v="1"/>
    <x v="1"/>
    <x v="0"/>
    <x v="0"/>
    <x v="37"/>
    <x v="0"/>
    <x v="7"/>
    <x v="45"/>
    <x v="45"/>
    <x v="42"/>
    <x v="1"/>
    <x v="1"/>
    <x v="2"/>
    <x v="1"/>
    <x v="4"/>
    <x v="0"/>
    <x v="3"/>
    <x v="16"/>
    <x v="9"/>
    <x v="2"/>
    <x v="1"/>
    <x v="8"/>
    <x v="27"/>
    <x v="30"/>
    <x v="0"/>
    <x v="2"/>
    <x v="2"/>
    <x v="1"/>
    <x v="0"/>
  </r>
  <r>
    <x v="2"/>
    <x v="0"/>
    <x v="0"/>
    <x v="46"/>
    <x v="1"/>
    <x v="2"/>
    <x v="0"/>
    <x v="0"/>
    <x v="0"/>
    <x v="0"/>
    <x v="1"/>
    <x v="0"/>
    <x v="0"/>
    <x v="0"/>
    <x v="0"/>
    <x v="0"/>
    <x v="0"/>
    <x v="0"/>
    <x v="0"/>
    <x v="38"/>
    <x v="0"/>
    <x v="17"/>
    <x v="46"/>
    <x v="46"/>
    <x v="43"/>
    <x v="0"/>
    <x v="2"/>
    <x v="0"/>
    <x v="1"/>
    <x v="3"/>
    <x v="0"/>
    <x v="7"/>
    <x v="23"/>
    <x v="4"/>
    <x v="17"/>
    <x v="4"/>
    <x v="26"/>
    <x v="11"/>
    <x v="35"/>
    <x v="0"/>
    <x v="0"/>
    <x v="0"/>
    <x v="0"/>
    <x v="0"/>
  </r>
  <r>
    <x v="2"/>
    <x v="0"/>
    <x v="1"/>
    <x v="47"/>
    <x v="2"/>
    <x v="3"/>
    <x v="2"/>
    <x v="0"/>
    <x v="2"/>
    <x v="0"/>
    <x v="2"/>
    <x v="1"/>
    <x v="1"/>
    <x v="1"/>
    <x v="0"/>
    <x v="0"/>
    <x v="0"/>
    <x v="0"/>
    <x v="0"/>
    <x v="0"/>
    <x v="21"/>
    <x v="12"/>
    <x v="47"/>
    <x v="20"/>
    <x v="44"/>
    <x v="3"/>
    <x v="1"/>
    <x v="2"/>
    <x v="1"/>
    <x v="1"/>
    <x v="3"/>
    <x v="7"/>
    <x v="24"/>
    <x v="6"/>
    <x v="11"/>
    <x v="13"/>
    <x v="11"/>
    <x v="25"/>
    <x v="36"/>
    <x v="2"/>
    <x v="1"/>
    <x v="1"/>
    <x v="2"/>
    <x v="0"/>
  </r>
  <r>
    <x v="2"/>
    <x v="0"/>
    <x v="1"/>
    <x v="48"/>
    <x v="3"/>
    <x v="0"/>
    <x v="3"/>
    <x v="0"/>
    <x v="1"/>
    <x v="0"/>
    <x v="3"/>
    <x v="1"/>
    <x v="1"/>
    <x v="1"/>
    <x v="0"/>
    <x v="1"/>
    <x v="0"/>
    <x v="0"/>
    <x v="0"/>
    <x v="39"/>
    <x v="0"/>
    <x v="17"/>
    <x v="48"/>
    <x v="47"/>
    <x v="45"/>
    <x v="2"/>
    <x v="1"/>
    <x v="0"/>
    <x v="1"/>
    <x v="1"/>
    <x v="2"/>
    <x v="0"/>
    <x v="25"/>
    <x v="11"/>
    <x v="6"/>
    <x v="4"/>
    <x v="13"/>
    <x v="2"/>
    <x v="18"/>
    <x v="4"/>
    <x v="2"/>
    <x v="1"/>
    <x v="0"/>
    <x v="0"/>
  </r>
  <r>
    <x v="2"/>
    <x v="0"/>
    <x v="1"/>
    <x v="49"/>
    <x v="4"/>
    <x v="1"/>
    <x v="2"/>
    <x v="0"/>
    <x v="2"/>
    <x v="0"/>
    <x v="2"/>
    <x v="1"/>
    <x v="1"/>
    <x v="1"/>
    <x v="0"/>
    <x v="2"/>
    <x v="0"/>
    <x v="0"/>
    <x v="0"/>
    <x v="40"/>
    <x v="0"/>
    <x v="5"/>
    <x v="49"/>
    <x v="48"/>
    <x v="46"/>
    <x v="3"/>
    <x v="1"/>
    <x v="2"/>
    <x v="0"/>
    <x v="1"/>
    <x v="0"/>
    <x v="10"/>
    <x v="19"/>
    <x v="1"/>
    <x v="14"/>
    <x v="0"/>
    <x v="1"/>
    <x v="11"/>
    <x v="37"/>
    <x v="1"/>
    <x v="1"/>
    <x v="1"/>
    <x v="2"/>
    <x v="0"/>
  </r>
  <r>
    <x v="2"/>
    <x v="0"/>
    <x v="1"/>
    <x v="50"/>
    <x v="0"/>
    <x v="1"/>
    <x v="1"/>
    <x v="0"/>
    <x v="3"/>
    <x v="0"/>
    <x v="1"/>
    <x v="0"/>
    <x v="0"/>
    <x v="0"/>
    <x v="0"/>
    <x v="0"/>
    <x v="1"/>
    <x v="0"/>
    <x v="0"/>
    <x v="41"/>
    <x v="0"/>
    <x v="16"/>
    <x v="50"/>
    <x v="4"/>
    <x v="47"/>
    <x v="2"/>
    <x v="1"/>
    <x v="0"/>
    <x v="1"/>
    <x v="4"/>
    <x v="0"/>
    <x v="8"/>
    <x v="26"/>
    <x v="5"/>
    <x v="12"/>
    <x v="13"/>
    <x v="29"/>
    <x v="24"/>
    <x v="11"/>
    <x v="7"/>
    <x v="4"/>
    <x v="0"/>
    <x v="2"/>
    <x v="0"/>
  </r>
  <r>
    <x v="2"/>
    <x v="0"/>
    <x v="1"/>
    <x v="51"/>
    <x v="1"/>
    <x v="3"/>
    <x v="2"/>
    <x v="0"/>
    <x v="2"/>
    <x v="0"/>
    <x v="1"/>
    <x v="0"/>
    <x v="0"/>
    <x v="0"/>
    <x v="0"/>
    <x v="1"/>
    <x v="1"/>
    <x v="0"/>
    <x v="0"/>
    <x v="42"/>
    <x v="0"/>
    <x v="15"/>
    <x v="51"/>
    <x v="49"/>
    <x v="48"/>
    <x v="2"/>
    <x v="1"/>
    <x v="2"/>
    <x v="2"/>
    <x v="1"/>
    <x v="0"/>
    <x v="2"/>
    <x v="0"/>
    <x v="5"/>
    <x v="2"/>
    <x v="8"/>
    <x v="30"/>
    <x v="19"/>
    <x v="38"/>
    <x v="6"/>
    <x v="6"/>
    <x v="0"/>
    <x v="4"/>
    <x v="0"/>
  </r>
  <r>
    <x v="2"/>
    <x v="0"/>
    <x v="2"/>
    <x v="52"/>
    <x v="2"/>
    <x v="3"/>
    <x v="2"/>
    <x v="0"/>
    <x v="2"/>
    <x v="0"/>
    <x v="3"/>
    <x v="3"/>
    <x v="0"/>
    <x v="3"/>
    <x v="0"/>
    <x v="0"/>
    <x v="0"/>
    <x v="0"/>
    <x v="0"/>
    <x v="43"/>
    <x v="0"/>
    <x v="5"/>
    <x v="52"/>
    <x v="50"/>
    <x v="49"/>
    <x v="2"/>
    <x v="1"/>
    <x v="0"/>
    <x v="1"/>
    <x v="0"/>
    <x v="0"/>
    <x v="5"/>
    <x v="27"/>
    <x v="3"/>
    <x v="18"/>
    <x v="2"/>
    <x v="16"/>
    <x v="0"/>
    <x v="9"/>
    <x v="1"/>
    <x v="0"/>
    <x v="0"/>
    <x v="0"/>
    <x v="0"/>
  </r>
  <r>
    <x v="2"/>
    <x v="0"/>
    <x v="2"/>
    <x v="53"/>
    <x v="3"/>
    <x v="3"/>
    <x v="2"/>
    <x v="0"/>
    <x v="2"/>
    <x v="0"/>
    <x v="0"/>
    <x v="0"/>
    <x v="0"/>
    <x v="0"/>
    <x v="0"/>
    <x v="0"/>
    <x v="0"/>
    <x v="0"/>
    <x v="0"/>
    <x v="42"/>
    <x v="0"/>
    <x v="7"/>
    <x v="53"/>
    <x v="51"/>
    <x v="50"/>
    <x v="3"/>
    <x v="1"/>
    <x v="2"/>
    <x v="0"/>
    <x v="0"/>
    <x v="1"/>
    <x v="2"/>
    <x v="21"/>
    <x v="1"/>
    <x v="11"/>
    <x v="0"/>
    <x v="31"/>
    <x v="28"/>
    <x v="39"/>
    <x v="7"/>
    <x v="6"/>
    <x v="0"/>
    <x v="4"/>
    <x v="0"/>
  </r>
  <r>
    <x v="2"/>
    <x v="0"/>
    <x v="2"/>
    <x v="54"/>
    <x v="4"/>
    <x v="0"/>
    <x v="0"/>
    <x v="0"/>
    <x v="1"/>
    <x v="1"/>
    <x v="0"/>
    <x v="2"/>
    <x v="1"/>
    <x v="0"/>
    <x v="0"/>
    <x v="1"/>
    <x v="0"/>
    <x v="0"/>
    <x v="0"/>
    <x v="44"/>
    <x v="0"/>
    <x v="5"/>
    <x v="54"/>
    <x v="52"/>
    <x v="51"/>
    <x v="0"/>
    <x v="2"/>
    <x v="0"/>
    <x v="0"/>
    <x v="4"/>
    <x v="2"/>
    <x v="0"/>
    <x v="15"/>
    <x v="4"/>
    <x v="3"/>
    <x v="0"/>
    <x v="32"/>
    <x v="29"/>
    <x v="39"/>
    <x v="0"/>
    <x v="2"/>
    <x v="1"/>
    <x v="1"/>
    <x v="1"/>
  </r>
  <r>
    <x v="2"/>
    <x v="0"/>
    <x v="2"/>
    <x v="55"/>
    <x v="0"/>
    <x v="2"/>
    <x v="4"/>
    <x v="1"/>
    <x v="0"/>
    <x v="0"/>
    <x v="3"/>
    <x v="3"/>
    <x v="1"/>
    <x v="1"/>
    <x v="1"/>
    <x v="0"/>
    <x v="1"/>
    <x v="0"/>
    <x v="0"/>
    <x v="45"/>
    <x v="0"/>
    <x v="15"/>
    <x v="55"/>
    <x v="53"/>
    <x v="52"/>
    <x v="0"/>
    <x v="2"/>
    <x v="1"/>
    <x v="2"/>
    <x v="4"/>
    <x v="3"/>
    <x v="5"/>
    <x v="7"/>
    <x v="4"/>
    <x v="1"/>
    <x v="15"/>
    <x v="33"/>
    <x v="3"/>
    <x v="40"/>
    <x v="5"/>
    <x v="5"/>
    <x v="2"/>
    <x v="3"/>
    <x v="1"/>
  </r>
  <r>
    <x v="2"/>
    <x v="0"/>
    <x v="2"/>
    <x v="56"/>
    <x v="1"/>
    <x v="0"/>
    <x v="0"/>
    <x v="1"/>
    <x v="1"/>
    <x v="0"/>
    <x v="0"/>
    <x v="2"/>
    <x v="1"/>
    <x v="0"/>
    <x v="0"/>
    <x v="1"/>
    <x v="0"/>
    <x v="0"/>
    <x v="0"/>
    <x v="46"/>
    <x v="22"/>
    <x v="18"/>
    <x v="56"/>
    <x v="54"/>
    <x v="3"/>
    <x v="3"/>
    <x v="2"/>
    <x v="2"/>
    <x v="1"/>
    <x v="0"/>
    <x v="1"/>
    <x v="2"/>
    <x v="21"/>
    <x v="4"/>
    <x v="13"/>
    <x v="1"/>
    <x v="34"/>
    <x v="2"/>
    <x v="41"/>
    <x v="0"/>
    <x v="2"/>
    <x v="2"/>
    <x v="1"/>
    <x v="0"/>
  </r>
  <r>
    <x v="2"/>
    <x v="0"/>
    <x v="3"/>
    <x v="57"/>
    <x v="2"/>
    <x v="4"/>
    <x v="3"/>
    <x v="0"/>
    <x v="1"/>
    <x v="0"/>
    <x v="3"/>
    <x v="3"/>
    <x v="1"/>
    <x v="2"/>
    <x v="0"/>
    <x v="1"/>
    <x v="0"/>
    <x v="1"/>
    <x v="1"/>
    <x v="47"/>
    <x v="0"/>
    <x v="15"/>
    <x v="57"/>
    <x v="55"/>
    <x v="53"/>
    <x v="2"/>
    <x v="2"/>
    <x v="2"/>
    <x v="0"/>
    <x v="2"/>
    <x v="0"/>
    <x v="1"/>
    <x v="25"/>
    <x v="4"/>
    <x v="11"/>
    <x v="0"/>
    <x v="22"/>
    <x v="0"/>
    <x v="42"/>
    <x v="3"/>
    <x v="3"/>
    <x v="1"/>
    <x v="3"/>
    <x v="0"/>
  </r>
  <r>
    <x v="2"/>
    <x v="0"/>
    <x v="3"/>
    <x v="58"/>
    <x v="3"/>
    <x v="2"/>
    <x v="0"/>
    <x v="1"/>
    <x v="1"/>
    <x v="0"/>
    <x v="3"/>
    <x v="3"/>
    <x v="1"/>
    <x v="2"/>
    <x v="0"/>
    <x v="1"/>
    <x v="0"/>
    <x v="1"/>
    <x v="0"/>
    <x v="11"/>
    <x v="0"/>
    <x v="15"/>
    <x v="58"/>
    <x v="56"/>
    <x v="54"/>
    <x v="2"/>
    <x v="2"/>
    <x v="2"/>
    <x v="2"/>
    <x v="2"/>
    <x v="0"/>
    <x v="2"/>
    <x v="2"/>
    <x v="4"/>
    <x v="2"/>
    <x v="12"/>
    <x v="28"/>
    <x v="13"/>
    <x v="43"/>
    <x v="5"/>
    <x v="7"/>
    <x v="2"/>
    <x v="3"/>
    <x v="0"/>
  </r>
  <r>
    <x v="2"/>
    <x v="0"/>
    <x v="3"/>
    <x v="59"/>
    <x v="4"/>
    <x v="2"/>
    <x v="4"/>
    <x v="0"/>
    <x v="4"/>
    <x v="0"/>
    <x v="1"/>
    <x v="0"/>
    <x v="0"/>
    <x v="0"/>
    <x v="0"/>
    <x v="0"/>
    <x v="0"/>
    <x v="0"/>
    <x v="0"/>
    <x v="48"/>
    <x v="23"/>
    <x v="19"/>
    <x v="59"/>
    <x v="57"/>
    <x v="55"/>
    <x v="1"/>
    <x v="1"/>
    <x v="1"/>
    <x v="0"/>
    <x v="0"/>
    <x v="3"/>
    <x v="3"/>
    <x v="28"/>
    <x v="11"/>
    <x v="1"/>
    <x v="0"/>
    <x v="21"/>
    <x v="4"/>
    <x v="44"/>
    <x v="0"/>
    <x v="2"/>
    <x v="0"/>
    <x v="3"/>
    <x v="0"/>
  </r>
  <r>
    <x v="2"/>
    <x v="0"/>
    <x v="3"/>
    <x v="60"/>
    <x v="0"/>
    <x v="4"/>
    <x v="3"/>
    <x v="1"/>
    <x v="3"/>
    <x v="0"/>
    <x v="1"/>
    <x v="0"/>
    <x v="0"/>
    <x v="0"/>
    <x v="0"/>
    <x v="2"/>
    <x v="1"/>
    <x v="0"/>
    <x v="0"/>
    <x v="49"/>
    <x v="24"/>
    <x v="12"/>
    <x v="60"/>
    <x v="58"/>
    <x v="56"/>
    <x v="0"/>
    <x v="0"/>
    <x v="0"/>
    <x v="0"/>
    <x v="4"/>
    <x v="3"/>
    <x v="9"/>
    <x v="23"/>
    <x v="12"/>
    <x v="6"/>
    <x v="0"/>
    <x v="32"/>
    <x v="4"/>
    <x v="19"/>
    <x v="2"/>
    <x v="1"/>
    <x v="1"/>
    <x v="2"/>
    <x v="0"/>
  </r>
  <r>
    <x v="2"/>
    <x v="0"/>
    <x v="3"/>
    <x v="61"/>
    <x v="1"/>
    <x v="0"/>
    <x v="0"/>
    <x v="1"/>
    <x v="1"/>
    <x v="0"/>
    <x v="3"/>
    <x v="3"/>
    <x v="1"/>
    <x v="2"/>
    <x v="0"/>
    <x v="1"/>
    <x v="0"/>
    <x v="1"/>
    <x v="0"/>
    <x v="50"/>
    <x v="0"/>
    <x v="2"/>
    <x v="61"/>
    <x v="59"/>
    <x v="57"/>
    <x v="1"/>
    <x v="0"/>
    <x v="2"/>
    <x v="1"/>
    <x v="1"/>
    <x v="2"/>
    <x v="2"/>
    <x v="1"/>
    <x v="13"/>
    <x v="5"/>
    <x v="2"/>
    <x v="4"/>
    <x v="29"/>
    <x v="24"/>
    <x v="4"/>
    <x v="7"/>
    <x v="2"/>
    <x v="3"/>
    <x v="0"/>
  </r>
  <r>
    <x v="2"/>
    <x v="0"/>
    <x v="4"/>
    <x v="62"/>
    <x v="2"/>
    <x v="4"/>
    <x v="3"/>
    <x v="1"/>
    <x v="3"/>
    <x v="0"/>
    <x v="1"/>
    <x v="0"/>
    <x v="0"/>
    <x v="0"/>
    <x v="0"/>
    <x v="0"/>
    <x v="1"/>
    <x v="0"/>
    <x v="0"/>
    <x v="51"/>
    <x v="0"/>
    <x v="10"/>
    <x v="62"/>
    <x v="60"/>
    <x v="58"/>
    <x v="3"/>
    <x v="2"/>
    <x v="0"/>
    <x v="2"/>
    <x v="1"/>
    <x v="3"/>
    <x v="2"/>
    <x v="13"/>
    <x v="4"/>
    <x v="2"/>
    <x v="4"/>
    <x v="35"/>
    <x v="30"/>
    <x v="45"/>
    <x v="2"/>
    <x v="1"/>
    <x v="1"/>
    <x v="2"/>
    <x v="0"/>
  </r>
  <r>
    <x v="2"/>
    <x v="0"/>
    <x v="4"/>
    <x v="63"/>
    <x v="3"/>
    <x v="3"/>
    <x v="2"/>
    <x v="0"/>
    <x v="2"/>
    <x v="0"/>
    <x v="2"/>
    <x v="1"/>
    <x v="1"/>
    <x v="1"/>
    <x v="0"/>
    <x v="2"/>
    <x v="0"/>
    <x v="1"/>
    <x v="0"/>
    <x v="52"/>
    <x v="16"/>
    <x v="15"/>
    <x v="63"/>
    <x v="61"/>
    <x v="24"/>
    <x v="3"/>
    <x v="2"/>
    <x v="0"/>
    <x v="0"/>
    <x v="0"/>
    <x v="3"/>
    <x v="0"/>
    <x v="13"/>
    <x v="4"/>
    <x v="13"/>
    <x v="0"/>
    <x v="27"/>
    <x v="17"/>
    <x v="46"/>
    <x v="2"/>
    <x v="1"/>
    <x v="1"/>
    <x v="2"/>
    <x v="0"/>
  </r>
  <r>
    <x v="3"/>
    <x v="1"/>
    <x v="0"/>
    <x v="64"/>
    <x v="4"/>
    <x v="1"/>
    <x v="1"/>
    <x v="0"/>
    <x v="3"/>
    <x v="0"/>
    <x v="0"/>
    <x v="2"/>
    <x v="0"/>
    <x v="1"/>
    <x v="0"/>
    <x v="1"/>
    <x v="0"/>
    <x v="0"/>
    <x v="0"/>
    <x v="53"/>
    <x v="0"/>
    <x v="7"/>
    <x v="64"/>
    <x v="62"/>
    <x v="59"/>
    <x v="2"/>
    <x v="1"/>
    <x v="1"/>
    <x v="2"/>
    <x v="3"/>
    <x v="1"/>
    <x v="5"/>
    <x v="25"/>
    <x v="3"/>
    <x v="1"/>
    <x v="9"/>
    <x v="36"/>
    <x v="23"/>
    <x v="7"/>
    <x v="2"/>
    <x v="1"/>
    <x v="0"/>
    <x v="1"/>
    <x v="0"/>
  </r>
  <r>
    <x v="3"/>
    <x v="1"/>
    <x v="0"/>
    <x v="65"/>
    <x v="0"/>
    <x v="2"/>
    <x v="4"/>
    <x v="0"/>
    <x v="4"/>
    <x v="0"/>
    <x v="2"/>
    <x v="1"/>
    <x v="1"/>
    <x v="1"/>
    <x v="0"/>
    <x v="1"/>
    <x v="0"/>
    <x v="0"/>
    <x v="0"/>
    <x v="54"/>
    <x v="25"/>
    <x v="18"/>
    <x v="65"/>
    <x v="63"/>
    <x v="60"/>
    <x v="1"/>
    <x v="1"/>
    <x v="2"/>
    <x v="1"/>
    <x v="0"/>
    <x v="3"/>
    <x v="8"/>
    <x v="27"/>
    <x v="2"/>
    <x v="2"/>
    <x v="9"/>
    <x v="33"/>
    <x v="26"/>
    <x v="47"/>
    <x v="4"/>
    <x v="7"/>
    <x v="1"/>
    <x v="6"/>
    <x v="0"/>
  </r>
  <r>
    <x v="3"/>
    <x v="1"/>
    <x v="0"/>
    <x v="66"/>
    <x v="1"/>
    <x v="0"/>
    <x v="3"/>
    <x v="1"/>
    <x v="3"/>
    <x v="0"/>
    <x v="1"/>
    <x v="0"/>
    <x v="0"/>
    <x v="0"/>
    <x v="0"/>
    <x v="0"/>
    <x v="0"/>
    <x v="0"/>
    <x v="0"/>
    <x v="55"/>
    <x v="0"/>
    <x v="16"/>
    <x v="66"/>
    <x v="64"/>
    <x v="61"/>
    <x v="1"/>
    <x v="1"/>
    <x v="2"/>
    <x v="0"/>
    <x v="1"/>
    <x v="0"/>
    <x v="4"/>
    <x v="7"/>
    <x v="6"/>
    <x v="11"/>
    <x v="0"/>
    <x v="30"/>
    <x v="13"/>
    <x v="48"/>
    <x v="1"/>
    <x v="1"/>
    <x v="1"/>
    <x v="2"/>
    <x v="0"/>
  </r>
  <r>
    <x v="3"/>
    <x v="1"/>
    <x v="1"/>
    <x v="67"/>
    <x v="2"/>
    <x v="3"/>
    <x v="2"/>
    <x v="0"/>
    <x v="2"/>
    <x v="0"/>
    <x v="0"/>
    <x v="0"/>
    <x v="0"/>
    <x v="0"/>
    <x v="0"/>
    <x v="0"/>
    <x v="0"/>
    <x v="0"/>
    <x v="1"/>
    <x v="56"/>
    <x v="26"/>
    <x v="3"/>
    <x v="67"/>
    <x v="65"/>
    <x v="62"/>
    <x v="3"/>
    <x v="1"/>
    <x v="1"/>
    <x v="1"/>
    <x v="3"/>
    <x v="0"/>
    <x v="4"/>
    <x v="19"/>
    <x v="3"/>
    <x v="1"/>
    <x v="10"/>
    <x v="26"/>
    <x v="24"/>
    <x v="41"/>
    <x v="7"/>
    <x v="6"/>
    <x v="0"/>
    <x v="4"/>
    <x v="0"/>
  </r>
  <r>
    <x v="3"/>
    <x v="1"/>
    <x v="1"/>
    <x v="68"/>
    <x v="3"/>
    <x v="2"/>
    <x v="0"/>
    <x v="0"/>
    <x v="0"/>
    <x v="0"/>
    <x v="0"/>
    <x v="2"/>
    <x v="0"/>
    <x v="1"/>
    <x v="0"/>
    <x v="1"/>
    <x v="0"/>
    <x v="0"/>
    <x v="0"/>
    <x v="57"/>
    <x v="0"/>
    <x v="4"/>
    <x v="68"/>
    <x v="27"/>
    <x v="51"/>
    <x v="1"/>
    <x v="2"/>
    <x v="2"/>
    <x v="0"/>
    <x v="1"/>
    <x v="1"/>
    <x v="1"/>
    <x v="8"/>
    <x v="4"/>
    <x v="10"/>
    <x v="0"/>
    <x v="3"/>
    <x v="5"/>
    <x v="49"/>
    <x v="3"/>
    <x v="2"/>
    <x v="0"/>
    <x v="3"/>
    <x v="0"/>
  </r>
  <r>
    <x v="3"/>
    <x v="1"/>
    <x v="1"/>
    <x v="69"/>
    <x v="4"/>
    <x v="3"/>
    <x v="2"/>
    <x v="0"/>
    <x v="2"/>
    <x v="0"/>
    <x v="1"/>
    <x v="0"/>
    <x v="0"/>
    <x v="0"/>
    <x v="0"/>
    <x v="1"/>
    <x v="1"/>
    <x v="1"/>
    <x v="0"/>
    <x v="58"/>
    <x v="0"/>
    <x v="5"/>
    <x v="69"/>
    <x v="66"/>
    <x v="39"/>
    <x v="3"/>
    <x v="2"/>
    <x v="2"/>
    <x v="0"/>
    <x v="0"/>
    <x v="1"/>
    <x v="7"/>
    <x v="21"/>
    <x v="4"/>
    <x v="5"/>
    <x v="0"/>
    <x v="27"/>
    <x v="14"/>
    <x v="50"/>
    <x v="6"/>
    <x v="6"/>
    <x v="0"/>
    <x v="4"/>
    <x v="0"/>
  </r>
  <r>
    <x v="3"/>
    <x v="1"/>
    <x v="1"/>
    <x v="70"/>
    <x v="0"/>
    <x v="2"/>
    <x v="4"/>
    <x v="1"/>
    <x v="0"/>
    <x v="0"/>
    <x v="0"/>
    <x v="2"/>
    <x v="1"/>
    <x v="0"/>
    <x v="0"/>
    <x v="1"/>
    <x v="0"/>
    <x v="0"/>
    <x v="0"/>
    <x v="59"/>
    <x v="0"/>
    <x v="17"/>
    <x v="70"/>
    <x v="67"/>
    <x v="56"/>
    <x v="3"/>
    <x v="1"/>
    <x v="1"/>
    <x v="1"/>
    <x v="1"/>
    <x v="2"/>
    <x v="11"/>
    <x v="29"/>
    <x v="3"/>
    <x v="1"/>
    <x v="3"/>
    <x v="25"/>
    <x v="29"/>
    <x v="51"/>
    <x v="3"/>
    <x v="3"/>
    <x v="2"/>
    <x v="0"/>
    <x v="0"/>
  </r>
  <r>
    <x v="3"/>
    <x v="1"/>
    <x v="1"/>
    <x v="71"/>
    <x v="1"/>
    <x v="2"/>
    <x v="0"/>
    <x v="1"/>
    <x v="1"/>
    <x v="0"/>
    <x v="2"/>
    <x v="1"/>
    <x v="1"/>
    <x v="1"/>
    <x v="0"/>
    <x v="0"/>
    <x v="0"/>
    <x v="1"/>
    <x v="0"/>
    <x v="60"/>
    <x v="0"/>
    <x v="0"/>
    <x v="71"/>
    <x v="68"/>
    <x v="63"/>
    <x v="1"/>
    <x v="0"/>
    <x v="0"/>
    <x v="1"/>
    <x v="0"/>
    <x v="3"/>
    <x v="6"/>
    <x v="2"/>
    <x v="14"/>
    <x v="13"/>
    <x v="10"/>
    <x v="37"/>
    <x v="31"/>
    <x v="52"/>
    <x v="4"/>
    <x v="3"/>
    <x v="2"/>
    <x v="0"/>
    <x v="0"/>
  </r>
  <r>
    <x v="3"/>
    <x v="1"/>
    <x v="2"/>
    <x v="72"/>
    <x v="2"/>
    <x v="4"/>
    <x v="3"/>
    <x v="0"/>
    <x v="1"/>
    <x v="0"/>
    <x v="1"/>
    <x v="0"/>
    <x v="0"/>
    <x v="0"/>
    <x v="0"/>
    <x v="1"/>
    <x v="0"/>
    <x v="0"/>
    <x v="0"/>
    <x v="61"/>
    <x v="27"/>
    <x v="12"/>
    <x v="72"/>
    <x v="69"/>
    <x v="64"/>
    <x v="0"/>
    <x v="0"/>
    <x v="2"/>
    <x v="0"/>
    <x v="3"/>
    <x v="2"/>
    <x v="2"/>
    <x v="16"/>
    <x v="15"/>
    <x v="14"/>
    <x v="0"/>
    <x v="27"/>
    <x v="7"/>
    <x v="43"/>
    <x v="2"/>
    <x v="1"/>
    <x v="0"/>
    <x v="1"/>
    <x v="0"/>
  </r>
  <r>
    <x v="3"/>
    <x v="1"/>
    <x v="2"/>
    <x v="73"/>
    <x v="3"/>
    <x v="1"/>
    <x v="1"/>
    <x v="1"/>
    <x v="2"/>
    <x v="0"/>
    <x v="2"/>
    <x v="1"/>
    <x v="0"/>
    <x v="2"/>
    <x v="0"/>
    <x v="2"/>
    <x v="0"/>
    <x v="0"/>
    <x v="0"/>
    <x v="62"/>
    <x v="0"/>
    <x v="0"/>
    <x v="73"/>
    <x v="70"/>
    <x v="65"/>
    <x v="2"/>
    <x v="1"/>
    <x v="0"/>
    <x v="0"/>
    <x v="4"/>
    <x v="1"/>
    <x v="9"/>
    <x v="30"/>
    <x v="2"/>
    <x v="10"/>
    <x v="0"/>
    <x v="12"/>
    <x v="32"/>
    <x v="53"/>
    <x v="1"/>
    <x v="0"/>
    <x v="1"/>
    <x v="1"/>
    <x v="0"/>
  </r>
  <r>
    <x v="3"/>
    <x v="1"/>
    <x v="2"/>
    <x v="74"/>
    <x v="4"/>
    <x v="0"/>
    <x v="0"/>
    <x v="1"/>
    <x v="1"/>
    <x v="0"/>
    <x v="0"/>
    <x v="2"/>
    <x v="0"/>
    <x v="1"/>
    <x v="0"/>
    <x v="1"/>
    <x v="0"/>
    <x v="0"/>
    <x v="0"/>
    <x v="63"/>
    <x v="0"/>
    <x v="13"/>
    <x v="74"/>
    <x v="56"/>
    <x v="66"/>
    <x v="1"/>
    <x v="2"/>
    <x v="0"/>
    <x v="0"/>
    <x v="1"/>
    <x v="3"/>
    <x v="2"/>
    <x v="8"/>
    <x v="4"/>
    <x v="17"/>
    <x v="0"/>
    <x v="13"/>
    <x v="9"/>
    <x v="35"/>
    <x v="0"/>
    <x v="2"/>
    <x v="1"/>
    <x v="0"/>
    <x v="0"/>
  </r>
  <r>
    <x v="3"/>
    <x v="1"/>
    <x v="2"/>
    <x v="75"/>
    <x v="0"/>
    <x v="3"/>
    <x v="2"/>
    <x v="0"/>
    <x v="2"/>
    <x v="0"/>
    <x v="2"/>
    <x v="1"/>
    <x v="0"/>
    <x v="2"/>
    <x v="0"/>
    <x v="1"/>
    <x v="1"/>
    <x v="0"/>
    <x v="0"/>
    <x v="64"/>
    <x v="0"/>
    <x v="13"/>
    <x v="75"/>
    <x v="71"/>
    <x v="67"/>
    <x v="0"/>
    <x v="2"/>
    <x v="2"/>
    <x v="2"/>
    <x v="2"/>
    <x v="2"/>
    <x v="7"/>
    <x v="7"/>
    <x v="4"/>
    <x v="14"/>
    <x v="10"/>
    <x v="2"/>
    <x v="4"/>
    <x v="3"/>
    <x v="2"/>
    <x v="1"/>
    <x v="0"/>
    <x v="1"/>
    <x v="0"/>
  </r>
  <r>
    <x v="3"/>
    <x v="1"/>
    <x v="2"/>
    <x v="76"/>
    <x v="1"/>
    <x v="1"/>
    <x v="1"/>
    <x v="0"/>
    <x v="3"/>
    <x v="0"/>
    <x v="0"/>
    <x v="2"/>
    <x v="1"/>
    <x v="0"/>
    <x v="0"/>
    <x v="1"/>
    <x v="0"/>
    <x v="1"/>
    <x v="0"/>
    <x v="65"/>
    <x v="28"/>
    <x v="13"/>
    <x v="76"/>
    <x v="72"/>
    <x v="68"/>
    <x v="2"/>
    <x v="2"/>
    <x v="2"/>
    <x v="0"/>
    <x v="2"/>
    <x v="1"/>
    <x v="2"/>
    <x v="20"/>
    <x v="4"/>
    <x v="5"/>
    <x v="0"/>
    <x v="23"/>
    <x v="16"/>
    <x v="23"/>
    <x v="2"/>
    <x v="1"/>
    <x v="1"/>
    <x v="2"/>
    <x v="0"/>
  </r>
  <r>
    <x v="3"/>
    <x v="1"/>
    <x v="3"/>
    <x v="77"/>
    <x v="2"/>
    <x v="2"/>
    <x v="4"/>
    <x v="1"/>
    <x v="0"/>
    <x v="0"/>
    <x v="0"/>
    <x v="2"/>
    <x v="1"/>
    <x v="0"/>
    <x v="0"/>
    <x v="1"/>
    <x v="0"/>
    <x v="0"/>
    <x v="0"/>
    <x v="66"/>
    <x v="29"/>
    <x v="8"/>
    <x v="77"/>
    <x v="73"/>
    <x v="69"/>
    <x v="0"/>
    <x v="2"/>
    <x v="0"/>
    <x v="1"/>
    <x v="1"/>
    <x v="0"/>
    <x v="4"/>
    <x v="11"/>
    <x v="4"/>
    <x v="2"/>
    <x v="10"/>
    <x v="4"/>
    <x v="13"/>
    <x v="54"/>
    <x v="3"/>
    <x v="3"/>
    <x v="2"/>
    <x v="0"/>
    <x v="0"/>
  </r>
  <r>
    <x v="3"/>
    <x v="1"/>
    <x v="3"/>
    <x v="78"/>
    <x v="3"/>
    <x v="0"/>
    <x v="0"/>
    <x v="0"/>
    <x v="0"/>
    <x v="0"/>
    <x v="3"/>
    <x v="1"/>
    <x v="0"/>
    <x v="2"/>
    <x v="0"/>
    <x v="0"/>
    <x v="0"/>
    <x v="0"/>
    <x v="0"/>
    <x v="0"/>
    <x v="30"/>
    <x v="4"/>
    <x v="78"/>
    <x v="74"/>
    <x v="6"/>
    <x v="3"/>
    <x v="1"/>
    <x v="0"/>
    <x v="0"/>
    <x v="2"/>
    <x v="2"/>
    <x v="1"/>
    <x v="29"/>
    <x v="9"/>
    <x v="17"/>
    <x v="0"/>
    <x v="16"/>
    <x v="4"/>
    <x v="4"/>
    <x v="4"/>
    <x v="3"/>
    <x v="0"/>
    <x v="6"/>
    <x v="0"/>
  </r>
  <r>
    <x v="3"/>
    <x v="1"/>
    <x v="3"/>
    <x v="79"/>
    <x v="4"/>
    <x v="1"/>
    <x v="1"/>
    <x v="0"/>
    <x v="3"/>
    <x v="0"/>
    <x v="1"/>
    <x v="0"/>
    <x v="0"/>
    <x v="0"/>
    <x v="0"/>
    <x v="0"/>
    <x v="0"/>
    <x v="0"/>
    <x v="0"/>
    <x v="67"/>
    <x v="0"/>
    <x v="8"/>
    <x v="79"/>
    <x v="75"/>
    <x v="70"/>
    <x v="2"/>
    <x v="1"/>
    <x v="2"/>
    <x v="0"/>
    <x v="3"/>
    <x v="2"/>
    <x v="0"/>
    <x v="9"/>
    <x v="2"/>
    <x v="13"/>
    <x v="0"/>
    <x v="2"/>
    <x v="19"/>
    <x v="9"/>
    <x v="7"/>
    <x v="4"/>
    <x v="0"/>
    <x v="2"/>
    <x v="0"/>
  </r>
  <r>
    <x v="3"/>
    <x v="1"/>
    <x v="3"/>
    <x v="80"/>
    <x v="0"/>
    <x v="0"/>
    <x v="0"/>
    <x v="0"/>
    <x v="0"/>
    <x v="0"/>
    <x v="0"/>
    <x v="2"/>
    <x v="1"/>
    <x v="0"/>
    <x v="0"/>
    <x v="0"/>
    <x v="0"/>
    <x v="1"/>
    <x v="0"/>
    <x v="68"/>
    <x v="31"/>
    <x v="8"/>
    <x v="80"/>
    <x v="76"/>
    <x v="71"/>
    <x v="2"/>
    <x v="0"/>
    <x v="2"/>
    <x v="0"/>
    <x v="3"/>
    <x v="1"/>
    <x v="5"/>
    <x v="16"/>
    <x v="15"/>
    <x v="5"/>
    <x v="0"/>
    <x v="19"/>
    <x v="32"/>
    <x v="55"/>
    <x v="0"/>
    <x v="2"/>
    <x v="1"/>
    <x v="0"/>
    <x v="0"/>
  </r>
  <r>
    <x v="3"/>
    <x v="1"/>
    <x v="3"/>
    <x v="81"/>
    <x v="1"/>
    <x v="3"/>
    <x v="2"/>
    <x v="0"/>
    <x v="2"/>
    <x v="0"/>
    <x v="0"/>
    <x v="2"/>
    <x v="1"/>
    <x v="0"/>
    <x v="0"/>
    <x v="2"/>
    <x v="0"/>
    <x v="0"/>
    <x v="0"/>
    <x v="69"/>
    <x v="32"/>
    <x v="15"/>
    <x v="81"/>
    <x v="77"/>
    <x v="72"/>
    <x v="1"/>
    <x v="2"/>
    <x v="2"/>
    <x v="1"/>
    <x v="0"/>
    <x v="2"/>
    <x v="0"/>
    <x v="31"/>
    <x v="4"/>
    <x v="8"/>
    <x v="2"/>
    <x v="26"/>
    <x v="1"/>
    <x v="3"/>
    <x v="7"/>
    <x v="4"/>
    <x v="1"/>
    <x v="4"/>
    <x v="0"/>
  </r>
  <r>
    <x v="3"/>
    <x v="1"/>
    <x v="4"/>
    <x v="82"/>
    <x v="2"/>
    <x v="2"/>
    <x v="0"/>
    <x v="0"/>
    <x v="0"/>
    <x v="0"/>
    <x v="3"/>
    <x v="3"/>
    <x v="1"/>
    <x v="2"/>
    <x v="0"/>
    <x v="0"/>
    <x v="1"/>
    <x v="0"/>
    <x v="0"/>
    <x v="0"/>
    <x v="33"/>
    <x v="13"/>
    <x v="82"/>
    <x v="78"/>
    <x v="70"/>
    <x v="0"/>
    <x v="1"/>
    <x v="2"/>
    <x v="2"/>
    <x v="2"/>
    <x v="2"/>
    <x v="2"/>
    <x v="15"/>
    <x v="2"/>
    <x v="11"/>
    <x v="9"/>
    <x v="3"/>
    <x v="33"/>
    <x v="45"/>
    <x v="5"/>
    <x v="7"/>
    <x v="1"/>
    <x v="6"/>
    <x v="0"/>
  </r>
  <r>
    <x v="3"/>
    <x v="1"/>
    <x v="4"/>
    <x v="83"/>
    <x v="3"/>
    <x v="0"/>
    <x v="0"/>
    <x v="1"/>
    <x v="1"/>
    <x v="0"/>
    <x v="1"/>
    <x v="0"/>
    <x v="0"/>
    <x v="0"/>
    <x v="0"/>
    <x v="0"/>
    <x v="0"/>
    <x v="0"/>
    <x v="0"/>
    <x v="70"/>
    <x v="34"/>
    <x v="11"/>
    <x v="83"/>
    <x v="79"/>
    <x v="19"/>
    <x v="0"/>
    <x v="2"/>
    <x v="2"/>
    <x v="1"/>
    <x v="3"/>
    <x v="3"/>
    <x v="0"/>
    <x v="11"/>
    <x v="4"/>
    <x v="13"/>
    <x v="4"/>
    <x v="38"/>
    <x v="34"/>
    <x v="56"/>
    <x v="1"/>
    <x v="0"/>
    <x v="1"/>
    <x v="1"/>
    <x v="0"/>
  </r>
  <r>
    <x v="3"/>
    <x v="1"/>
    <x v="4"/>
    <x v="84"/>
    <x v="4"/>
    <x v="2"/>
    <x v="4"/>
    <x v="0"/>
    <x v="4"/>
    <x v="0"/>
    <x v="0"/>
    <x v="0"/>
    <x v="0"/>
    <x v="0"/>
    <x v="0"/>
    <x v="1"/>
    <x v="1"/>
    <x v="1"/>
    <x v="0"/>
    <x v="71"/>
    <x v="0"/>
    <x v="5"/>
    <x v="84"/>
    <x v="80"/>
    <x v="67"/>
    <x v="1"/>
    <x v="2"/>
    <x v="1"/>
    <x v="0"/>
    <x v="3"/>
    <x v="1"/>
    <x v="7"/>
    <x v="32"/>
    <x v="4"/>
    <x v="1"/>
    <x v="0"/>
    <x v="26"/>
    <x v="18"/>
    <x v="3"/>
    <x v="3"/>
    <x v="2"/>
    <x v="0"/>
    <x v="3"/>
    <x v="0"/>
  </r>
  <r>
    <x v="3"/>
    <x v="1"/>
    <x v="4"/>
    <x v="85"/>
    <x v="0"/>
    <x v="3"/>
    <x v="2"/>
    <x v="0"/>
    <x v="2"/>
    <x v="0"/>
    <x v="0"/>
    <x v="0"/>
    <x v="0"/>
    <x v="0"/>
    <x v="0"/>
    <x v="2"/>
    <x v="0"/>
    <x v="1"/>
    <x v="0"/>
    <x v="72"/>
    <x v="35"/>
    <x v="12"/>
    <x v="85"/>
    <x v="81"/>
    <x v="73"/>
    <x v="0"/>
    <x v="1"/>
    <x v="2"/>
    <x v="1"/>
    <x v="4"/>
    <x v="1"/>
    <x v="5"/>
    <x v="0"/>
    <x v="16"/>
    <x v="4"/>
    <x v="6"/>
    <x v="39"/>
    <x v="23"/>
    <x v="11"/>
    <x v="7"/>
    <x v="6"/>
    <x v="0"/>
    <x v="4"/>
    <x v="0"/>
  </r>
  <r>
    <x v="4"/>
    <x v="1"/>
    <x v="0"/>
    <x v="86"/>
    <x v="1"/>
    <x v="0"/>
    <x v="0"/>
    <x v="1"/>
    <x v="1"/>
    <x v="0"/>
    <x v="3"/>
    <x v="1"/>
    <x v="0"/>
    <x v="2"/>
    <x v="0"/>
    <x v="0"/>
    <x v="0"/>
    <x v="0"/>
    <x v="0"/>
    <x v="73"/>
    <x v="36"/>
    <x v="5"/>
    <x v="86"/>
    <x v="82"/>
    <x v="74"/>
    <x v="2"/>
    <x v="0"/>
    <x v="2"/>
    <x v="2"/>
    <x v="0"/>
    <x v="1"/>
    <x v="6"/>
    <x v="33"/>
    <x v="6"/>
    <x v="13"/>
    <x v="16"/>
    <x v="14"/>
    <x v="35"/>
    <x v="57"/>
    <x v="4"/>
    <x v="3"/>
    <x v="1"/>
    <x v="3"/>
    <x v="0"/>
  </r>
  <r>
    <x v="4"/>
    <x v="1"/>
    <x v="1"/>
    <x v="87"/>
    <x v="2"/>
    <x v="0"/>
    <x v="3"/>
    <x v="0"/>
    <x v="1"/>
    <x v="0"/>
    <x v="2"/>
    <x v="1"/>
    <x v="1"/>
    <x v="1"/>
    <x v="0"/>
    <x v="0"/>
    <x v="0"/>
    <x v="1"/>
    <x v="0"/>
    <x v="74"/>
    <x v="37"/>
    <x v="6"/>
    <x v="87"/>
    <x v="83"/>
    <x v="75"/>
    <x v="0"/>
    <x v="2"/>
    <x v="1"/>
    <x v="0"/>
    <x v="4"/>
    <x v="2"/>
    <x v="7"/>
    <x v="7"/>
    <x v="4"/>
    <x v="1"/>
    <x v="0"/>
    <x v="40"/>
    <x v="29"/>
    <x v="42"/>
    <x v="3"/>
    <x v="2"/>
    <x v="1"/>
    <x v="0"/>
    <x v="0"/>
  </r>
  <r>
    <x v="4"/>
    <x v="1"/>
    <x v="1"/>
    <x v="88"/>
    <x v="3"/>
    <x v="0"/>
    <x v="0"/>
    <x v="1"/>
    <x v="1"/>
    <x v="0"/>
    <x v="3"/>
    <x v="3"/>
    <x v="1"/>
    <x v="2"/>
    <x v="0"/>
    <x v="0"/>
    <x v="0"/>
    <x v="0"/>
    <x v="0"/>
    <x v="20"/>
    <x v="0"/>
    <x v="0"/>
    <x v="88"/>
    <x v="84"/>
    <x v="76"/>
    <x v="3"/>
    <x v="0"/>
    <x v="2"/>
    <x v="1"/>
    <x v="1"/>
    <x v="2"/>
    <x v="1"/>
    <x v="13"/>
    <x v="16"/>
    <x v="2"/>
    <x v="9"/>
    <x v="30"/>
    <x v="2"/>
    <x v="36"/>
    <x v="4"/>
    <x v="7"/>
    <x v="2"/>
    <x v="3"/>
    <x v="0"/>
  </r>
  <r>
    <x v="4"/>
    <x v="1"/>
    <x v="1"/>
    <x v="89"/>
    <x v="4"/>
    <x v="2"/>
    <x v="4"/>
    <x v="1"/>
    <x v="0"/>
    <x v="0"/>
    <x v="3"/>
    <x v="3"/>
    <x v="1"/>
    <x v="2"/>
    <x v="0"/>
    <x v="0"/>
    <x v="0"/>
    <x v="0"/>
    <x v="0"/>
    <x v="0"/>
    <x v="38"/>
    <x v="3"/>
    <x v="89"/>
    <x v="85"/>
    <x v="77"/>
    <x v="3"/>
    <x v="0"/>
    <x v="0"/>
    <x v="1"/>
    <x v="3"/>
    <x v="1"/>
    <x v="3"/>
    <x v="19"/>
    <x v="17"/>
    <x v="6"/>
    <x v="13"/>
    <x v="26"/>
    <x v="4"/>
    <x v="44"/>
    <x v="5"/>
    <x v="5"/>
    <x v="2"/>
    <x v="6"/>
    <x v="0"/>
  </r>
  <r>
    <x v="4"/>
    <x v="1"/>
    <x v="1"/>
    <x v="90"/>
    <x v="0"/>
    <x v="4"/>
    <x v="3"/>
    <x v="0"/>
    <x v="1"/>
    <x v="0"/>
    <x v="3"/>
    <x v="3"/>
    <x v="0"/>
    <x v="3"/>
    <x v="0"/>
    <x v="1"/>
    <x v="1"/>
    <x v="1"/>
    <x v="0"/>
    <x v="75"/>
    <x v="0"/>
    <x v="17"/>
    <x v="90"/>
    <x v="86"/>
    <x v="4"/>
    <x v="3"/>
    <x v="1"/>
    <x v="0"/>
    <x v="0"/>
    <x v="3"/>
    <x v="0"/>
    <x v="1"/>
    <x v="21"/>
    <x v="3"/>
    <x v="2"/>
    <x v="0"/>
    <x v="41"/>
    <x v="36"/>
    <x v="58"/>
    <x v="3"/>
    <x v="3"/>
    <x v="0"/>
    <x v="6"/>
    <x v="0"/>
  </r>
  <r>
    <x v="4"/>
    <x v="1"/>
    <x v="1"/>
    <x v="91"/>
    <x v="1"/>
    <x v="3"/>
    <x v="2"/>
    <x v="0"/>
    <x v="2"/>
    <x v="0"/>
    <x v="1"/>
    <x v="0"/>
    <x v="0"/>
    <x v="0"/>
    <x v="0"/>
    <x v="2"/>
    <x v="0"/>
    <x v="0"/>
    <x v="0"/>
    <x v="76"/>
    <x v="0"/>
    <x v="7"/>
    <x v="91"/>
    <x v="87"/>
    <x v="70"/>
    <x v="3"/>
    <x v="2"/>
    <x v="0"/>
    <x v="0"/>
    <x v="0"/>
    <x v="0"/>
    <x v="1"/>
    <x v="24"/>
    <x v="4"/>
    <x v="13"/>
    <x v="0"/>
    <x v="26"/>
    <x v="19"/>
    <x v="59"/>
    <x v="6"/>
    <x v="6"/>
    <x v="0"/>
    <x v="4"/>
    <x v="0"/>
  </r>
  <r>
    <x v="4"/>
    <x v="1"/>
    <x v="2"/>
    <x v="92"/>
    <x v="2"/>
    <x v="1"/>
    <x v="1"/>
    <x v="1"/>
    <x v="2"/>
    <x v="0"/>
    <x v="1"/>
    <x v="0"/>
    <x v="0"/>
    <x v="0"/>
    <x v="0"/>
    <x v="0"/>
    <x v="0"/>
    <x v="0"/>
    <x v="0"/>
    <x v="76"/>
    <x v="0"/>
    <x v="8"/>
    <x v="92"/>
    <x v="88"/>
    <x v="78"/>
    <x v="0"/>
    <x v="0"/>
    <x v="0"/>
    <x v="0"/>
    <x v="3"/>
    <x v="3"/>
    <x v="5"/>
    <x v="15"/>
    <x v="7"/>
    <x v="13"/>
    <x v="0"/>
    <x v="18"/>
    <x v="37"/>
    <x v="60"/>
    <x v="7"/>
    <x v="4"/>
    <x v="1"/>
    <x v="4"/>
    <x v="0"/>
  </r>
  <r>
    <x v="4"/>
    <x v="1"/>
    <x v="2"/>
    <x v="93"/>
    <x v="3"/>
    <x v="0"/>
    <x v="0"/>
    <x v="0"/>
    <x v="0"/>
    <x v="0"/>
    <x v="2"/>
    <x v="2"/>
    <x v="0"/>
    <x v="1"/>
    <x v="0"/>
    <x v="1"/>
    <x v="0"/>
    <x v="0"/>
    <x v="0"/>
    <x v="77"/>
    <x v="39"/>
    <x v="17"/>
    <x v="93"/>
    <x v="89"/>
    <x v="79"/>
    <x v="2"/>
    <x v="1"/>
    <x v="0"/>
    <x v="1"/>
    <x v="1"/>
    <x v="3"/>
    <x v="5"/>
    <x v="27"/>
    <x v="1"/>
    <x v="9"/>
    <x v="1"/>
    <x v="11"/>
    <x v="33"/>
    <x v="18"/>
    <x v="3"/>
    <x v="2"/>
    <x v="0"/>
    <x v="3"/>
    <x v="0"/>
  </r>
  <r>
    <x v="4"/>
    <x v="1"/>
    <x v="2"/>
    <x v="94"/>
    <x v="4"/>
    <x v="1"/>
    <x v="2"/>
    <x v="0"/>
    <x v="2"/>
    <x v="0"/>
    <x v="2"/>
    <x v="1"/>
    <x v="0"/>
    <x v="2"/>
    <x v="0"/>
    <x v="1"/>
    <x v="0"/>
    <x v="0"/>
    <x v="0"/>
    <x v="78"/>
    <x v="40"/>
    <x v="11"/>
    <x v="94"/>
    <x v="90"/>
    <x v="80"/>
    <x v="0"/>
    <x v="1"/>
    <x v="2"/>
    <x v="0"/>
    <x v="3"/>
    <x v="2"/>
    <x v="7"/>
    <x v="18"/>
    <x v="11"/>
    <x v="5"/>
    <x v="0"/>
    <x v="24"/>
    <x v="7"/>
    <x v="2"/>
    <x v="1"/>
    <x v="1"/>
    <x v="0"/>
    <x v="1"/>
    <x v="0"/>
  </r>
  <r>
    <x v="4"/>
    <x v="1"/>
    <x v="2"/>
    <x v="95"/>
    <x v="0"/>
    <x v="4"/>
    <x v="3"/>
    <x v="1"/>
    <x v="3"/>
    <x v="0"/>
    <x v="0"/>
    <x v="2"/>
    <x v="1"/>
    <x v="0"/>
    <x v="0"/>
    <x v="1"/>
    <x v="1"/>
    <x v="0"/>
    <x v="1"/>
    <x v="79"/>
    <x v="0"/>
    <x v="13"/>
    <x v="95"/>
    <x v="91"/>
    <x v="8"/>
    <x v="1"/>
    <x v="1"/>
    <x v="2"/>
    <x v="2"/>
    <x v="2"/>
    <x v="2"/>
    <x v="0"/>
    <x v="34"/>
    <x v="9"/>
    <x v="10"/>
    <x v="8"/>
    <x v="11"/>
    <x v="2"/>
    <x v="0"/>
    <x v="1"/>
    <x v="0"/>
    <x v="2"/>
    <x v="2"/>
    <x v="0"/>
  </r>
  <r>
    <x v="4"/>
    <x v="1"/>
    <x v="2"/>
    <x v="96"/>
    <x v="1"/>
    <x v="4"/>
    <x v="1"/>
    <x v="1"/>
    <x v="2"/>
    <x v="0"/>
    <x v="1"/>
    <x v="0"/>
    <x v="0"/>
    <x v="0"/>
    <x v="0"/>
    <x v="1"/>
    <x v="0"/>
    <x v="0"/>
    <x v="0"/>
    <x v="80"/>
    <x v="0"/>
    <x v="8"/>
    <x v="96"/>
    <x v="92"/>
    <x v="81"/>
    <x v="0"/>
    <x v="0"/>
    <x v="2"/>
    <x v="0"/>
    <x v="0"/>
    <x v="1"/>
    <x v="3"/>
    <x v="3"/>
    <x v="18"/>
    <x v="5"/>
    <x v="0"/>
    <x v="31"/>
    <x v="2"/>
    <x v="60"/>
    <x v="2"/>
    <x v="4"/>
    <x v="1"/>
    <x v="4"/>
    <x v="0"/>
  </r>
  <r>
    <x v="4"/>
    <x v="1"/>
    <x v="3"/>
    <x v="97"/>
    <x v="2"/>
    <x v="3"/>
    <x v="2"/>
    <x v="0"/>
    <x v="2"/>
    <x v="0"/>
    <x v="0"/>
    <x v="2"/>
    <x v="1"/>
    <x v="0"/>
    <x v="0"/>
    <x v="0"/>
    <x v="0"/>
    <x v="1"/>
    <x v="0"/>
    <x v="81"/>
    <x v="0"/>
    <x v="18"/>
    <x v="97"/>
    <x v="93"/>
    <x v="82"/>
    <x v="3"/>
    <x v="1"/>
    <x v="1"/>
    <x v="0"/>
    <x v="2"/>
    <x v="1"/>
    <x v="4"/>
    <x v="24"/>
    <x v="1"/>
    <x v="1"/>
    <x v="0"/>
    <x v="42"/>
    <x v="10"/>
    <x v="61"/>
    <x v="7"/>
    <x v="4"/>
    <x v="1"/>
    <x v="4"/>
    <x v="0"/>
  </r>
  <r>
    <x v="4"/>
    <x v="1"/>
    <x v="3"/>
    <x v="98"/>
    <x v="3"/>
    <x v="1"/>
    <x v="1"/>
    <x v="1"/>
    <x v="2"/>
    <x v="0"/>
    <x v="2"/>
    <x v="1"/>
    <x v="0"/>
    <x v="2"/>
    <x v="0"/>
    <x v="1"/>
    <x v="0"/>
    <x v="1"/>
    <x v="0"/>
    <x v="12"/>
    <x v="0"/>
    <x v="13"/>
    <x v="98"/>
    <x v="94"/>
    <x v="83"/>
    <x v="2"/>
    <x v="1"/>
    <x v="1"/>
    <x v="1"/>
    <x v="3"/>
    <x v="2"/>
    <x v="0"/>
    <x v="35"/>
    <x v="16"/>
    <x v="1"/>
    <x v="9"/>
    <x v="2"/>
    <x v="37"/>
    <x v="62"/>
    <x v="1"/>
    <x v="0"/>
    <x v="1"/>
    <x v="1"/>
    <x v="0"/>
  </r>
  <r>
    <x v="4"/>
    <x v="1"/>
    <x v="3"/>
    <x v="99"/>
    <x v="4"/>
    <x v="1"/>
    <x v="2"/>
    <x v="0"/>
    <x v="2"/>
    <x v="0"/>
    <x v="0"/>
    <x v="2"/>
    <x v="0"/>
    <x v="1"/>
    <x v="0"/>
    <x v="2"/>
    <x v="0"/>
    <x v="0"/>
    <x v="1"/>
    <x v="82"/>
    <x v="0"/>
    <x v="3"/>
    <x v="99"/>
    <x v="95"/>
    <x v="14"/>
    <x v="2"/>
    <x v="2"/>
    <x v="1"/>
    <x v="0"/>
    <x v="2"/>
    <x v="2"/>
    <x v="1"/>
    <x v="33"/>
    <x v="4"/>
    <x v="1"/>
    <x v="0"/>
    <x v="3"/>
    <x v="4"/>
    <x v="63"/>
    <x v="2"/>
    <x v="4"/>
    <x v="0"/>
    <x v="2"/>
    <x v="0"/>
  </r>
  <r>
    <x v="4"/>
    <x v="1"/>
    <x v="3"/>
    <x v="100"/>
    <x v="0"/>
    <x v="0"/>
    <x v="3"/>
    <x v="0"/>
    <x v="1"/>
    <x v="0"/>
    <x v="3"/>
    <x v="1"/>
    <x v="0"/>
    <x v="2"/>
    <x v="0"/>
    <x v="0"/>
    <x v="0"/>
    <x v="0"/>
    <x v="1"/>
    <x v="83"/>
    <x v="0"/>
    <x v="10"/>
    <x v="100"/>
    <x v="96"/>
    <x v="37"/>
    <x v="2"/>
    <x v="2"/>
    <x v="2"/>
    <x v="0"/>
    <x v="3"/>
    <x v="1"/>
    <x v="0"/>
    <x v="22"/>
    <x v="4"/>
    <x v="8"/>
    <x v="0"/>
    <x v="28"/>
    <x v="38"/>
    <x v="16"/>
    <x v="4"/>
    <x v="2"/>
    <x v="0"/>
    <x v="3"/>
    <x v="0"/>
  </r>
  <r>
    <x v="4"/>
    <x v="1"/>
    <x v="3"/>
    <x v="101"/>
    <x v="1"/>
    <x v="3"/>
    <x v="2"/>
    <x v="0"/>
    <x v="2"/>
    <x v="0"/>
    <x v="3"/>
    <x v="1"/>
    <x v="1"/>
    <x v="1"/>
    <x v="0"/>
    <x v="2"/>
    <x v="0"/>
    <x v="1"/>
    <x v="0"/>
    <x v="84"/>
    <x v="0"/>
    <x v="6"/>
    <x v="101"/>
    <x v="97"/>
    <x v="75"/>
    <x v="2"/>
    <x v="2"/>
    <x v="0"/>
    <x v="2"/>
    <x v="2"/>
    <x v="1"/>
    <x v="5"/>
    <x v="0"/>
    <x v="4"/>
    <x v="17"/>
    <x v="7"/>
    <x v="14"/>
    <x v="2"/>
    <x v="17"/>
    <x v="1"/>
    <x v="1"/>
    <x v="1"/>
    <x v="2"/>
    <x v="0"/>
  </r>
  <r>
    <x v="4"/>
    <x v="1"/>
    <x v="4"/>
    <x v="102"/>
    <x v="2"/>
    <x v="3"/>
    <x v="2"/>
    <x v="0"/>
    <x v="2"/>
    <x v="0"/>
    <x v="1"/>
    <x v="0"/>
    <x v="0"/>
    <x v="0"/>
    <x v="0"/>
    <x v="0"/>
    <x v="0"/>
    <x v="0"/>
    <x v="0"/>
    <x v="85"/>
    <x v="0"/>
    <x v="6"/>
    <x v="102"/>
    <x v="98"/>
    <x v="84"/>
    <x v="3"/>
    <x v="2"/>
    <x v="2"/>
    <x v="0"/>
    <x v="0"/>
    <x v="0"/>
    <x v="4"/>
    <x v="29"/>
    <x v="4"/>
    <x v="13"/>
    <x v="0"/>
    <x v="0"/>
    <x v="7"/>
    <x v="13"/>
    <x v="6"/>
    <x v="6"/>
    <x v="0"/>
    <x v="4"/>
    <x v="0"/>
  </r>
  <r>
    <x v="4"/>
    <x v="1"/>
    <x v="4"/>
    <x v="103"/>
    <x v="3"/>
    <x v="4"/>
    <x v="3"/>
    <x v="0"/>
    <x v="1"/>
    <x v="0"/>
    <x v="0"/>
    <x v="2"/>
    <x v="0"/>
    <x v="1"/>
    <x v="0"/>
    <x v="1"/>
    <x v="0"/>
    <x v="0"/>
    <x v="0"/>
    <x v="86"/>
    <x v="41"/>
    <x v="5"/>
    <x v="103"/>
    <x v="99"/>
    <x v="16"/>
    <x v="1"/>
    <x v="2"/>
    <x v="1"/>
    <x v="1"/>
    <x v="0"/>
    <x v="1"/>
    <x v="0"/>
    <x v="27"/>
    <x v="4"/>
    <x v="1"/>
    <x v="10"/>
    <x v="40"/>
    <x v="25"/>
    <x v="64"/>
    <x v="1"/>
    <x v="0"/>
    <x v="0"/>
    <x v="0"/>
    <x v="0"/>
  </r>
  <r>
    <x v="4"/>
    <x v="1"/>
    <x v="4"/>
    <x v="104"/>
    <x v="4"/>
    <x v="3"/>
    <x v="2"/>
    <x v="0"/>
    <x v="2"/>
    <x v="0"/>
    <x v="0"/>
    <x v="0"/>
    <x v="0"/>
    <x v="0"/>
    <x v="0"/>
    <x v="1"/>
    <x v="1"/>
    <x v="0"/>
    <x v="0"/>
    <x v="87"/>
    <x v="42"/>
    <x v="17"/>
    <x v="104"/>
    <x v="100"/>
    <x v="85"/>
    <x v="3"/>
    <x v="0"/>
    <x v="1"/>
    <x v="0"/>
    <x v="4"/>
    <x v="3"/>
    <x v="3"/>
    <x v="29"/>
    <x v="8"/>
    <x v="1"/>
    <x v="0"/>
    <x v="12"/>
    <x v="10"/>
    <x v="6"/>
    <x v="7"/>
    <x v="6"/>
    <x v="0"/>
    <x v="4"/>
    <x v="0"/>
  </r>
  <r>
    <x v="4"/>
    <x v="1"/>
    <x v="4"/>
    <x v="105"/>
    <x v="0"/>
    <x v="4"/>
    <x v="3"/>
    <x v="1"/>
    <x v="3"/>
    <x v="0"/>
    <x v="2"/>
    <x v="1"/>
    <x v="1"/>
    <x v="1"/>
    <x v="0"/>
    <x v="1"/>
    <x v="1"/>
    <x v="0"/>
    <x v="0"/>
    <x v="80"/>
    <x v="0"/>
    <x v="14"/>
    <x v="105"/>
    <x v="101"/>
    <x v="86"/>
    <x v="1"/>
    <x v="1"/>
    <x v="0"/>
    <x v="0"/>
    <x v="3"/>
    <x v="1"/>
    <x v="3"/>
    <x v="36"/>
    <x v="11"/>
    <x v="18"/>
    <x v="0"/>
    <x v="36"/>
    <x v="4"/>
    <x v="22"/>
    <x v="0"/>
    <x v="2"/>
    <x v="2"/>
    <x v="1"/>
    <x v="0"/>
  </r>
  <r>
    <x v="4"/>
    <x v="1"/>
    <x v="4"/>
    <x v="106"/>
    <x v="1"/>
    <x v="1"/>
    <x v="1"/>
    <x v="1"/>
    <x v="2"/>
    <x v="0"/>
    <x v="2"/>
    <x v="1"/>
    <x v="1"/>
    <x v="1"/>
    <x v="0"/>
    <x v="0"/>
    <x v="0"/>
    <x v="0"/>
    <x v="0"/>
    <x v="70"/>
    <x v="0"/>
    <x v="15"/>
    <x v="106"/>
    <x v="10"/>
    <x v="59"/>
    <x v="3"/>
    <x v="2"/>
    <x v="0"/>
    <x v="1"/>
    <x v="3"/>
    <x v="0"/>
    <x v="1"/>
    <x v="11"/>
    <x v="4"/>
    <x v="16"/>
    <x v="2"/>
    <x v="41"/>
    <x v="7"/>
    <x v="4"/>
    <x v="1"/>
    <x v="0"/>
    <x v="2"/>
    <x v="2"/>
    <x v="0"/>
  </r>
  <r>
    <x v="5"/>
    <x v="1"/>
    <x v="0"/>
    <x v="107"/>
    <x v="2"/>
    <x v="3"/>
    <x v="2"/>
    <x v="0"/>
    <x v="2"/>
    <x v="0"/>
    <x v="0"/>
    <x v="2"/>
    <x v="1"/>
    <x v="0"/>
    <x v="0"/>
    <x v="1"/>
    <x v="0"/>
    <x v="0"/>
    <x v="0"/>
    <x v="88"/>
    <x v="0"/>
    <x v="11"/>
    <x v="107"/>
    <x v="102"/>
    <x v="23"/>
    <x v="0"/>
    <x v="1"/>
    <x v="2"/>
    <x v="2"/>
    <x v="1"/>
    <x v="1"/>
    <x v="2"/>
    <x v="3"/>
    <x v="1"/>
    <x v="2"/>
    <x v="17"/>
    <x v="30"/>
    <x v="1"/>
    <x v="45"/>
    <x v="7"/>
    <x v="4"/>
    <x v="1"/>
    <x v="4"/>
    <x v="0"/>
  </r>
  <r>
    <x v="5"/>
    <x v="1"/>
    <x v="0"/>
    <x v="108"/>
    <x v="3"/>
    <x v="4"/>
    <x v="3"/>
    <x v="1"/>
    <x v="3"/>
    <x v="0"/>
    <x v="0"/>
    <x v="2"/>
    <x v="0"/>
    <x v="1"/>
    <x v="0"/>
    <x v="1"/>
    <x v="0"/>
    <x v="1"/>
    <x v="0"/>
    <x v="89"/>
    <x v="0"/>
    <x v="9"/>
    <x v="108"/>
    <x v="103"/>
    <x v="59"/>
    <x v="0"/>
    <x v="1"/>
    <x v="2"/>
    <x v="0"/>
    <x v="0"/>
    <x v="3"/>
    <x v="3"/>
    <x v="3"/>
    <x v="1"/>
    <x v="11"/>
    <x v="0"/>
    <x v="16"/>
    <x v="33"/>
    <x v="1"/>
    <x v="1"/>
    <x v="0"/>
    <x v="1"/>
    <x v="1"/>
    <x v="0"/>
  </r>
  <r>
    <x v="5"/>
    <x v="1"/>
    <x v="0"/>
    <x v="109"/>
    <x v="4"/>
    <x v="2"/>
    <x v="4"/>
    <x v="1"/>
    <x v="1"/>
    <x v="1"/>
    <x v="3"/>
    <x v="3"/>
    <x v="1"/>
    <x v="2"/>
    <x v="0"/>
    <x v="1"/>
    <x v="1"/>
    <x v="0"/>
    <x v="0"/>
    <x v="73"/>
    <x v="0"/>
    <x v="3"/>
    <x v="109"/>
    <x v="104"/>
    <x v="87"/>
    <x v="3"/>
    <x v="2"/>
    <x v="0"/>
    <x v="1"/>
    <x v="4"/>
    <x v="1"/>
    <x v="3"/>
    <x v="11"/>
    <x v="4"/>
    <x v="18"/>
    <x v="10"/>
    <x v="18"/>
    <x v="32"/>
    <x v="27"/>
    <x v="5"/>
    <x v="5"/>
    <x v="2"/>
    <x v="3"/>
    <x v="1"/>
  </r>
  <r>
    <x v="5"/>
    <x v="1"/>
    <x v="0"/>
    <x v="110"/>
    <x v="0"/>
    <x v="1"/>
    <x v="1"/>
    <x v="1"/>
    <x v="2"/>
    <x v="0"/>
    <x v="3"/>
    <x v="1"/>
    <x v="1"/>
    <x v="1"/>
    <x v="0"/>
    <x v="0"/>
    <x v="0"/>
    <x v="0"/>
    <x v="0"/>
    <x v="0"/>
    <x v="0"/>
    <x v="6"/>
    <x v="110"/>
    <x v="105"/>
    <x v="88"/>
    <x v="0"/>
    <x v="1"/>
    <x v="0"/>
    <x v="0"/>
    <x v="4"/>
    <x v="3"/>
    <x v="8"/>
    <x v="23"/>
    <x v="3"/>
    <x v="3"/>
    <x v="0"/>
    <x v="9"/>
    <x v="39"/>
    <x v="65"/>
    <x v="0"/>
    <x v="0"/>
    <x v="2"/>
    <x v="2"/>
    <x v="0"/>
  </r>
  <r>
    <x v="5"/>
    <x v="1"/>
    <x v="0"/>
    <x v="111"/>
    <x v="1"/>
    <x v="1"/>
    <x v="2"/>
    <x v="0"/>
    <x v="2"/>
    <x v="0"/>
    <x v="0"/>
    <x v="0"/>
    <x v="0"/>
    <x v="0"/>
    <x v="0"/>
    <x v="1"/>
    <x v="0"/>
    <x v="0"/>
    <x v="0"/>
    <x v="90"/>
    <x v="0"/>
    <x v="2"/>
    <x v="111"/>
    <x v="106"/>
    <x v="89"/>
    <x v="1"/>
    <x v="2"/>
    <x v="1"/>
    <x v="0"/>
    <x v="1"/>
    <x v="3"/>
    <x v="1"/>
    <x v="33"/>
    <x v="4"/>
    <x v="1"/>
    <x v="0"/>
    <x v="13"/>
    <x v="20"/>
    <x v="2"/>
    <x v="2"/>
    <x v="6"/>
    <x v="0"/>
    <x v="4"/>
    <x v="0"/>
  </r>
  <r>
    <x v="5"/>
    <x v="1"/>
    <x v="1"/>
    <x v="112"/>
    <x v="2"/>
    <x v="4"/>
    <x v="1"/>
    <x v="1"/>
    <x v="2"/>
    <x v="0"/>
    <x v="2"/>
    <x v="1"/>
    <x v="1"/>
    <x v="1"/>
    <x v="0"/>
    <x v="1"/>
    <x v="0"/>
    <x v="0"/>
    <x v="1"/>
    <x v="79"/>
    <x v="43"/>
    <x v="10"/>
    <x v="112"/>
    <x v="107"/>
    <x v="90"/>
    <x v="1"/>
    <x v="2"/>
    <x v="2"/>
    <x v="0"/>
    <x v="0"/>
    <x v="0"/>
    <x v="7"/>
    <x v="35"/>
    <x v="4"/>
    <x v="2"/>
    <x v="0"/>
    <x v="24"/>
    <x v="7"/>
    <x v="25"/>
    <x v="0"/>
    <x v="0"/>
    <x v="2"/>
    <x v="2"/>
    <x v="0"/>
  </r>
  <r>
    <x v="5"/>
    <x v="1"/>
    <x v="1"/>
    <x v="113"/>
    <x v="3"/>
    <x v="3"/>
    <x v="2"/>
    <x v="0"/>
    <x v="2"/>
    <x v="0"/>
    <x v="3"/>
    <x v="3"/>
    <x v="1"/>
    <x v="2"/>
    <x v="0"/>
    <x v="0"/>
    <x v="0"/>
    <x v="1"/>
    <x v="0"/>
    <x v="91"/>
    <x v="0"/>
    <x v="6"/>
    <x v="113"/>
    <x v="108"/>
    <x v="84"/>
    <x v="1"/>
    <x v="0"/>
    <x v="0"/>
    <x v="1"/>
    <x v="3"/>
    <x v="1"/>
    <x v="8"/>
    <x v="32"/>
    <x v="7"/>
    <x v="16"/>
    <x v="13"/>
    <x v="22"/>
    <x v="2"/>
    <x v="60"/>
    <x v="1"/>
    <x v="0"/>
    <x v="1"/>
    <x v="1"/>
    <x v="0"/>
  </r>
  <r>
    <x v="5"/>
    <x v="1"/>
    <x v="1"/>
    <x v="114"/>
    <x v="4"/>
    <x v="4"/>
    <x v="3"/>
    <x v="1"/>
    <x v="3"/>
    <x v="0"/>
    <x v="3"/>
    <x v="3"/>
    <x v="0"/>
    <x v="2"/>
    <x v="1"/>
    <x v="1"/>
    <x v="1"/>
    <x v="0"/>
    <x v="0"/>
    <x v="0"/>
    <x v="0"/>
    <x v="17"/>
    <x v="114"/>
    <x v="109"/>
    <x v="91"/>
    <x v="0"/>
    <x v="1"/>
    <x v="1"/>
    <x v="0"/>
    <x v="2"/>
    <x v="3"/>
    <x v="7"/>
    <x v="7"/>
    <x v="9"/>
    <x v="1"/>
    <x v="0"/>
    <x v="28"/>
    <x v="6"/>
    <x v="45"/>
    <x v="3"/>
    <x v="3"/>
    <x v="1"/>
    <x v="0"/>
    <x v="1"/>
  </r>
  <r>
    <x v="5"/>
    <x v="1"/>
    <x v="1"/>
    <x v="115"/>
    <x v="0"/>
    <x v="4"/>
    <x v="3"/>
    <x v="0"/>
    <x v="1"/>
    <x v="0"/>
    <x v="0"/>
    <x v="0"/>
    <x v="0"/>
    <x v="0"/>
    <x v="0"/>
    <x v="0"/>
    <x v="0"/>
    <x v="1"/>
    <x v="0"/>
    <x v="92"/>
    <x v="44"/>
    <x v="15"/>
    <x v="115"/>
    <x v="110"/>
    <x v="45"/>
    <x v="2"/>
    <x v="2"/>
    <x v="0"/>
    <x v="0"/>
    <x v="1"/>
    <x v="1"/>
    <x v="2"/>
    <x v="32"/>
    <x v="4"/>
    <x v="15"/>
    <x v="0"/>
    <x v="3"/>
    <x v="15"/>
    <x v="16"/>
    <x v="1"/>
    <x v="1"/>
    <x v="0"/>
    <x v="1"/>
    <x v="0"/>
  </r>
  <r>
    <x v="5"/>
    <x v="1"/>
    <x v="1"/>
    <x v="116"/>
    <x v="1"/>
    <x v="4"/>
    <x v="3"/>
    <x v="1"/>
    <x v="3"/>
    <x v="0"/>
    <x v="1"/>
    <x v="0"/>
    <x v="0"/>
    <x v="0"/>
    <x v="0"/>
    <x v="0"/>
    <x v="1"/>
    <x v="0"/>
    <x v="1"/>
    <x v="93"/>
    <x v="45"/>
    <x v="10"/>
    <x v="116"/>
    <x v="111"/>
    <x v="69"/>
    <x v="2"/>
    <x v="0"/>
    <x v="0"/>
    <x v="0"/>
    <x v="2"/>
    <x v="0"/>
    <x v="0"/>
    <x v="16"/>
    <x v="8"/>
    <x v="3"/>
    <x v="0"/>
    <x v="11"/>
    <x v="36"/>
    <x v="3"/>
    <x v="2"/>
    <x v="1"/>
    <x v="1"/>
    <x v="2"/>
    <x v="0"/>
  </r>
  <r>
    <x v="5"/>
    <x v="1"/>
    <x v="2"/>
    <x v="117"/>
    <x v="2"/>
    <x v="3"/>
    <x v="2"/>
    <x v="0"/>
    <x v="2"/>
    <x v="0"/>
    <x v="0"/>
    <x v="2"/>
    <x v="0"/>
    <x v="1"/>
    <x v="0"/>
    <x v="1"/>
    <x v="0"/>
    <x v="0"/>
    <x v="0"/>
    <x v="0"/>
    <x v="0"/>
    <x v="6"/>
    <x v="117"/>
    <x v="112"/>
    <x v="92"/>
    <x v="0"/>
    <x v="1"/>
    <x v="0"/>
    <x v="1"/>
    <x v="1"/>
    <x v="1"/>
    <x v="2"/>
    <x v="7"/>
    <x v="11"/>
    <x v="2"/>
    <x v="4"/>
    <x v="35"/>
    <x v="6"/>
    <x v="30"/>
    <x v="7"/>
    <x v="4"/>
    <x v="0"/>
    <x v="2"/>
    <x v="0"/>
  </r>
  <r>
    <x v="5"/>
    <x v="1"/>
    <x v="2"/>
    <x v="118"/>
    <x v="3"/>
    <x v="0"/>
    <x v="0"/>
    <x v="0"/>
    <x v="0"/>
    <x v="0"/>
    <x v="2"/>
    <x v="1"/>
    <x v="1"/>
    <x v="1"/>
    <x v="0"/>
    <x v="2"/>
    <x v="1"/>
    <x v="1"/>
    <x v="0"/>
    <x v="0"/>
    <x v="46"/>
    <x v="16"/>
    <x v="118"/>
    <x v="113"/>
    <x v="93"/>
    <x v="3"/>
    <x v="1"/>
    <x v="0"/>
    <x v="1"/>
    <x v="2"/>
    <x v="0"/>
    <x v="1"/>
    <x v="11"/>
    <x v="1"/>
    <x v="4"/>
    <x v="2"/>
    <x v="42"/>
    <x v="27"/>
    <x v="66"/>
    <x v="3"/>
    <x v="3"/>
    <x v="1"/>
    <x v="3"/>
    <x v="0"/>
  </r>
  <r>
    <x v="5"/>
    <x v="1"/>
    <x v="2"/>
    <x v="119"/>
    <x v="4"/>
    <x v="3"/>
    <x v="2"/>
    <x v="0"/>
    <x v="2"/>
    <x v="0"/>
    <x v="1"/>
    <x v="0"/>
    <x v="0"/>
    <x v="0"/>
    <x v="0"/>
    <x v="1"/>
    <x v="0"/>
    <x v="0"/>
    <x v="0"/>
    <x v="0"/>
    <x v="47"/>
    <x v="16"/>
    <x v="119"/>
    <x v="114"/>
    <x v="94"/>
    <x v="1"/>
    <x v="2"/>
    <x v="0"/>
    <x v="1"/>
    <x v="3"/>
    <x v="1"/>
    <x v="3"/>
    <x v="7"/>
    <x v="4"/>
    <x v="3"/>
    <x v="4"/>
    <x v="36"/>
    <x v="29"/>
    <x v="46"/>
    <x v="6"/>
    <x v="6"/>
    <x v="0"/>
    <x v="4"/>
    <x v="0"/>
  </r>
  <r>
    <x v="5"/>
    <x v="1"/>
    <x v="2"/>
    <x v="120"/>
    <x v="0"/>
    <x v="0"/>
    <x v="0"/>
    <x v="0"/>
    <x v="0"/>
    <x v="0"/>
    <x v="0"/>
    <x v="0"/>
    <x v="0"/>
    <x v="0"/>
    <x v="0"/>
    <x v="1"/>
    <x v="0"/>
    <x v="1"/>
    <x v="0"/>
    <x v="94"/>
    <x v="0"/>
    <x v="4"/>
    <x v="120"/>
    <x v="115"/>
    <x v="31"/>
    <x v="0"/>
    <x v="0"/>
    <x v="2"/>
    <x v="0"/>
    <x v="2"/>
    <x v="1"/>
    <x v="2"/>
    <x v="28"/>
    <x v="18"/>
    <x v="13"/>
    <x v="0"/>
    <x v="14"/>
    <x v="34"/>
    <x v="67"/>
    <x v="0"/>
    <x v="0"/>
    <x v="0"/>
    <x v="0"/>
    <x v="0"/>
  </r>
  <r>
    <x v="5"/>
    <x v="1"/>
    <x v="2"/>
    <x v="121"/>
    <x v="1"/>
    <x v="0"/>
    <x v="3"/>
    <x v="1"/>
    <x v="3"/>
    <x v="0"/>
    <x v="0"/>
    <x v="2"/>
    <x v="1"/>
    <x v="0"/>
    <x v="0"/>
    <x v="0"/>
    <x v="1"/>
    <x v="1"/>
    <x v="0"/>
    <x v="95"/>
    <x v="42"/>
    <x v="18"/>
    <x v="121"/>
    <x v="116"/>
    <x v="95"/>
    <x v="0"/>
    <x v="1"/>
    <x v="2"/>
    <x v="1"/>
    <x v="1"/>
    <x v="1"/>
    <x v="7"/>
    <x v="7"/>
    <x v="2"/>
    <x v="2"/>
    <x v="1"/>
    <x v="30"/>
    <x v="4"/>
    <x v="68"/>
    <x v="0"/>
    <x v="0"/>
    <x v="2"/>
    <x v="2"/>
    <x v="0"/>
  </r>
  <r>
    <x v="5"/>
    <x v="1"/>
    <x v="3"/>
    <x v="122"/>
    <x v="2"/>
    <x v="1"/>
    <x v="1"/>
    <x v="1"/>
    <x v="2"/>
    <x v="0"/>
    <x v="2"/>
    <x v="1"/>
    <x v="0"/>
    <x v="2"/>
    <x v="0"/>
    <x v="1"/>
    <x v="0"/>
    <x v="0"/>
    <x v="0"/>
    <x v="96"/>
    <x v="0"/>
    <x v="10"/>
    <x v="122"/>
    <x v="117"/>
    <x v="40"/>
    <x v="1"/>
    <x v="1"/>
    <x v="2"/>
    <x v="1"/>
    <x v="4"/>
    <x v="1"/>
    <x v="8"/>
    <x v="10"/>
    <x v="2"/>
    <x v="4"/>
    <x v="1"/>
    <x v="12"/>
    <x v="38"/>
    <x v="69"/>
    <x v="1"/>
    <x v="0"/>
    <x v="1"/>
    <x v="1"/>
    <x v="0"/>
  </r>
  <r>
    <x v="5"/>
    <x v="1"/>
    <x v="3"/>
    <x v="123"/>
    <x v="3"/>
    <x v="1"/>
    <x v="1"/>
    <x v="0"/>
    <x v="3"/>
    <x v="0"/>
    <x v="1"/>
    <x v="0"/>
    <x v="0"/>
    <x v="0"/>
    <x v="0"/>
    <x v="1"/>
    <x v="0"/>
    <x v="1"/>
    <x v="0"/>
    <x v="0"/>
    <x v="48"/>
    <x v="2"/>
    <x v="123"/>
    <x v="118"/>
    <x v="47"/>
    <x v="0"/>
    <x v="1"/>
    <x v="0"/>
    <x v="0"/>
    <x v="4"/>
    <x v="3"/>
    <x v="8"/>
    <x v="31"/>
    <x v="9"/>
    <x v="17"/>
    <x v="0"/>
    <x v="19"/>
    <x v="3"/>
    <x v="17"/>
    <x v="7"/>
    <x v="4"/>
    <x v="0"/>
    <x v="2"/>
    <x v="0"/>
  </r>
  <r>
    <x v="5"/>
    <x v="1"/>
    <x v="3"/>
    <x v="124"/>
    <x v="4"/>
    <x v="2"/>
    <x v="4"/>
    <x v="0"/>
    <x v="4"/>
    <x v="0"/>
    <x v="3"/>
    <x v="3"/>
    <x v="1"/>
    <x v="2"/>
    <x v="0"/>
    <x v="1"/>
    <x v="0"/>
    <x v="0"/>
    <x v="0"/>
    <x v="97"/>
    <x v="49"/>
    <x v="6"/>
    <x v="124"/>
    <x v="119"/>
    <x v="96"/>
    <x v="1"/>
    <x v="0"/>
    <x v="2"/>
    <x v="2"/>
    <x v="0"/>
    <x v="3"/>
    <x v="6"/>
    <x v="23"/>
    <x v="0"/>
    <x v="13"/>
    <x v="5"/>
    <x v="0"/>
    <x v="40"/>
    <x v="15"/>
    <x v="5"/>
    <x v="5"/>
    <x v="1"/>
    <x v="7"/>
    <x v="0"/>
  </r>
  <r>
    <x v="5"/>
    <x v="1"/>
    <x v="3"/>
    <x v="125"/>
    <x v="0"/>
    <x v="4"/>
    <x v="1"/>
    <x v="0"/>
    <x v="3"/>
    <x v="0"/>
    <x v="0"/>
    <x v="2"/>
    <x v="0"/>
    <x v="1"/>
    <x v="0"/>
    <x v="0"/>
    <x v="1"/>
    <x v="0"/>
    <x v="0"/>
    <x v="98"/>
    <x v="0"/>
    <x v="17"/>
    <x v="125"/>
    <x v="120"/>
    <x v="97"/>
    <x v="0"/>
    <x v="1"/>
    <x v="1"/>
    <x v="1"/>
    <x v="3"/>
    <x v="1"/>
    <x v="2"/>
    <x v="3"/>
    <x v="11"/>
    <x v="1"/>
    <x v="2"/>
    <x v="19"/>
    <x v="25"/>
    <x v="70"/>
    <x v="1"/>
    <x v="1"/>
    <x v="0"/>
    <x v="1"/>
    <x v="0"/>
  </r>
  <r>
    <x v="5"/>
    <x v="1"/>
    <x v="3"/>
    <x v="126"/>
    <x v="1"/>
    <x v="0"/>
    <x v="0"/>
    <x v="1"/>
    <x v="1"/>
    <x v="0"/>
    <x v="1"/>
    <x v="0"/>
    <x v="0"/>
    <x v="0"/>
    <x v="0"/>
    <x v="1"/>
    <x v="1"/>
    <x v="1"/>
    <x v="0"/>
    <x v="5"/>
    <x v="0"/>
    <x v="7"/>
    <x v="126"/>
    <x v="121"/>
    <x v="98"/>
    <x v="2"/>
    <x v="1"/>
    <x v="1"/>
    <x v="1"/>
    <x v="3"/>
    <x v="1"/>
    <x v="3"/>
    <x v="33"/>
    <x v="5"/>
    <x v="1"/>
    <x v="4"/>
    <x v="41"/>
    <x v="34"/>
    <x v="39"/>
    <x v="1"/>
    <x v="0"/>
    <x v="1"/>
    <x v="1"/>
    <x v="0"/>
  </r>
  <r>
    <x v="5"/>
    <x v="1"/>
    <x v="4"/>
    <x v="127"/>
    <x v="2"/>
    <x v="3"/>
    <x v="2"/>
    <x v="0"/>
    <x v="2"/>
    <x v="0"/>
    <x v="0"/>
    <x v="2"/>
    <x v="0"/>
    <x v="1"/>
    <x v="0"/>
    <x v="2"/>
    <x v="1"/>
    <x v="0"/>
    <x v="0"/>
    <x v="99"/>
    <x v="0"/>
    <x v="12"/>
    <x v="127"/>
    <x v="122"/>
    <x v="55"/>
    <x v="0"/>
    <x v="1"/>
    <x v="0"/>
    <x v="0"/>
    <x v="3"/>
    <x v="0"/>
    <x v="7"/>
    <x v="7"/>
    <x v="3"/>
    <x v="6"/>
    <x v="0"/>
    <x v="7"/>
    <x v="27"/>
    <x v="1"/>
    <x v="7"/>
    <x v="4"/>
    <x v="0"/>
    <x v="2"/>
    <x v="0"/>
  </r>
  <r>
    <x v="5"/>
    <x v="1"/>
    <x v="4"/>
    <x v="128"/>
    <x v="3"/>
    <x v="0"/>
    <x v="0"/>
    <x v="1"/>
    <x v="1"/>
    <x v="0"/>
    <x v="2"/>
    <x v="2"/>
    <x v="0"/>
    <x v="1"/>
    <x v="0"/>
    <x v="0"/>
    <x v="1"/>
    <x v="0"/>
    <x v="1"/>
    <x v="49"/>
    <x v="0"/>
    <x v="3"/>
    <x v="128"/>
    <x v="123"/>
    <x v="99"/>
    <x v="3"/>
    <x v="1"/>
    <x v="0"/>
    <x v="1"/>
    <x v="2"/>
    <x v="3"/>
    <x v="0"/>
    <x v="29"/>
    <x v="3"/>
    <x v="9"/>
    <x v="2"/>
    <x v="2"/>
    <x v="2"/>
    <x v="38"/>
    <x v="3"/>
    <x v="2"/>
    <x v="1"/>
    <x v="0"/>
    <x v="0"/>
  </r>
  <r>
    <x v="6"/>
    <x v="2"/>
    <x v="0"/>
    <x v="129"/>
    <x v="4"/>
    <x v="2"/>
    <x v="4"/>
    <x v="0"/>
    <x v="4"/>
    <x v="0"/>
    <x v="2"/>
    <x v="1"/>
    <x v="0"/>
    <x v="2"/>
    <x v="0"/>
    <x v="0"/>
    <x v="0"/>
    <x v="0"/>
    <x v="0"/>
    <x v="100"/>
    <x v="50"/>
    <x v="5"/>
    <x v="129"/>
    <x v="124"/>
    <x v="100"/>
    <x v="1"/>
    <x v="0"/>
    <x v="0"/>
    <x v="0"/>
    <x v="0"/>
    <x v="2"/>
    <x v="5"/>
    <x v="16"/>
    <x v="6"/>
    <x v="13"/>
    <x v="0"/>
    <x v="34"/>
    <x v="16"/>
    <x v="38"/>
    <x v="4"/>
    <x v="7"/>
    <x v="0"/>
    <x v="7"/>
    <x v="0"/>
  </r>
  <r>
    <x v="6"/>
    <x v="2"/>
    <x v="0"/>
    <x v="130"/>
    <x v="0"/>
    <x v="3"/>
    <x v="2"/>
    <x v="0"/>
    <x v="2"/>
    <x v="0"/>
    <x v="2"/>
    <x v="1"/>
    <x v="1"/>
    <x v="1"/>
    <x v="0"/>
    <x v="1"/>
    <x v="1"/>
    <x v="0"/>
    <x v="0"/>
    <x v="101"/>
    <x v="0"/>
    <x v="7"/>
    <x v="130"/>
    <x v="125"/>
    <x v="75"/>
    <x v="3"/>
    <x v="2"/>
    <x v="0"/>
    <x v="1"/>
    <x v="3"/>
    <x v="3"/>
    <x v="0"/>
    <x v="13"/>
    <x v="4"/>
    <x v="10"/>
    <x v="2"/>
    <x v="5"/>
    <x v="3"/>
    <x v="43"/>
    <x v="2"/>
    <x v="1"/>
    <x v="1"/>
    <x v="2"/>
    <x v="0"/>
  </r>
  <r>
    <x v="6"/>
    <x v="2"/>
    <x v="0"/>
    <x v="131"/>
    <x v="1"/>
    <x v="0"/>
    <x v="0"/>
    <x v="1"/>
    <x v="3"/>
    <x v="1"/>
    <x v="0"/>
    <x v="2"/>
    <x v="0"/>
    <x v="1"/>
    <x v="0"/>
    <x v="1"/>
    <x v="1"/>
    <x v="0"/>
    <x v="0"/>
    <x v="102"/>
    <x v="0"/>
    <x v="18"/>
    <x v="131"/>
    <x v="126"/>
    <x v="101"/>
    <x v="2"/>
    <x v="1"/>
    <x v="1"/>
    <x v="0"/>
    <x v="0"/>
    <x v="3"/>
    <x v="5"/>
    <x v="36"/>
    <x v="5"/>
    <x v="1"/>
    <x v="0"/>
    <x v="27"/>
    <x v="28"/>
    <x v="39"/>
    <x v="0"/>
    <x v="2"/>
    <x v="1"/>
    <x v="1"/>
    <x v="1"/>
  </r>
  <r>
    <x v="6"/>
    <x v="2"/>
    <x v="1"/>
    <x v="132"/>
    <x v="2"/>
    <x v="1"/>
    <x v="1"/>
    <x v="1"/>
    <x v="2"/>
    <x v="0"/>
    <x v="1"/>
    <x v="0"/>
    <x v="0"/>
    <x v="0"/>
    <x v="0"/>
    <x v="1"/>
    <x v="0"/>
    <x v="0"/>
    <x v="0"/>
    <x v="0"/>
    <x v="0"/>
    <x v="8"/>
    <x v="132"/>
    <x v="127"/>
    <x v="102"/>
    <x v="1"/>
    <x v="0"/>
    <x v="0"/>
    <x v="0"/>
    <x v="4"/>
    <x v="2"/>
    <x v="8"/>
    <x v="27"/>
    <x v="0"/>
    <x v="19"/>
    <x v="0"/>
    <x v="19"/>
    <x v="3"/>
    <x v="71"/>
    <x v="7"/>
    <x v="4"/>
    <x v="1"/>
    <x v="4"/>
    <x v="0"/>
  </r>
  <r>
    <x v="6"/>
    <x v="2"/>
    <x v="1"/>
    <x v="133"/>
    <x v="3"/>
    <x v="4"/>
    <x v="3"/>
    <x v="0"/>
    <x v="1"/>
    <x v="0"/>
    <x v="0"/>
    <x v="2"/>
    <x v="1"/>
    <x v="0"/>
    <x v="0"/>
    <x v="0"/>
    <x v="0"/>
    <x v="0"/>
    <x v="0"/>
    <x v="103"/>
    <x v="0"/>
    <x v="14"/>
    <x v="133"/>
    <x v="128"/>
    <x v="103"/>
    <x v="0"/>
    <x v="1"/>
    <x v="2"/>
    <x v="0"/>
    <x v="2"/>
    <x v="1"/>
    <x v="7"/>
    <x v="3"/>
    <x v="16"/>
    <x v="11"/>
    <x v="0"/>
    <x v="20"/>
    <x v="14"/>
    <x v="30"/>
    <x v="1"/>
    <x v="0"/>
    <x v="1"/>
    <x v="1"/>
    <x v="0"/>
  </r>
  <r>
    <x v="6"/>
    <x v="2"/>
    <x v="1"/>
    <x v="134"/>
    <x v="4"/>
    <x v="3"/>
    <x v="2"/>
    <x v="0"/>
    <x v="2"/>
    <x v="0"/>
    <x v="1"/>
    <x v="0"/>
    <x v="0"/>
    <x v="0"/>
    <x v="0"/>
    <x v="0"/>
    <x v="0"/>
    <x v="0"/>
    <x v="0"/>
    <x v="104"/>
    <x v="0"/>
    <x v="16"/>
    <x v="134"/>
    <x v="129"/>
    <x v="104"/>
    <x v="2"/>
    <x v="1"/>
    <x v="2"/>
    <x v="0"/>
    <x v="0"/>
    <x v="1"/>
    <x v="5"/>
    <x v="5"/>
    <x v="6"/>
    <x v="14"/>
    <x v="0"/>
    <x v="14"/>
    <x v="38"/>
    <x v="18"/>
    <x v="6"/>
    <x v="6"/>
    <x v="0"/>
    <x v="4"/>
    <x v="0"/>
  </r>
  <r>
    <x v="6"/>
    <x v="2"/>
    <x v="1"/>
    <x v="135"/>
    <x v="0"/>
    <x v="4"/>
    <x v="3"/>
    <x v="1"/>
    <x v="3"/>
    <x v="0"/>
    <x v="2"/>
    <x v="1"/>
    <x v="1"/>
    <x v="1"/>
    <x v="0"/>
    <x v="2"/>
    <x v="0"/>
    <x v="1"/>
    <x v="0"/>
    <x v="27"/>
    <x v="0"/>
    <x v="18"/>
    <x v="135"/>
    <x v="130"/>
    <x v="105"/>
    <x v="2"/>
    <x v="2"/>
    <x v="0"/>
    <x v="2"/>
    <x v="1"/>
    <x v="1"/>
    <x v="3"/>
    <x v="37"/>
    <x v="4"/>
    <x v="6"/>
    <x v="10"/>
    <x v="13"/>
    <x v="15"/>
    <x v="33"/>
    <x v="0"/>
    <x v="2"/>
    <x v="2"/>
    <x v="1"/>
    <x v="0"/>
  </r>
  <r>
    <x v="6"/>
    <x v="2"/>
    <x v="1"/>
    <x v="136"/>
    <x v="1"/>
    <x v="0"/>
    <x v="0"/>
    <x v="1"/>
    <x v="1"/>
    <x v="0"/>
    <x v="0"/>
    <x v="0"/>
    <x v="0"/>
    <x v="0"/>
    <x v="0"/>
    <x v="1"/>
    <x v="1"/>
    <x v="0"/>
    <x v="0"/>
    <x v="105"/>
    <x v="0"/>
    <x v="19"/>
    <x v="136"/>
    <x v="131"/>
    <x v="95"/>
    <x v="3"/>
    <x v="1"/>
    <x v="2"/>
    <x v="0"/>
    <x v="2"/>
    <x v="2"/>
    <x v="4"/>
    <x v="21"/>
    <x v="9"/>
    <x v="4"/>
    <x v="0"/>
    <x v="28"/>
    <x v="18"/>
    <x v="66"/>
    <x v="0"/>
    <x v="0"/>
    <x v="1"/>
    <x v="1"/>
    <x v="0"/>
  </r>
  <r>
    <x v="6"/>
    <x v="2"/>
    <x v="2"/>
    <x v="137"/>
    <x v="2"/>
    <x v="2"/>
    <x v="0"/>
    <x v="1"/>
    <x v="1"/>
    <x v="0"/>
    <x v="0"/>
    <x v="0"/>
    <x v="0"/>
    <x v="0"/>
    <x v="0"/>
    <x v="0"/>
    <x v="0"/>
    <x v="1"/>
    <x v="0"/>
    <x v="106"/>
    <x v="0"/>
    <x v="3"/>
    <x v="137"/>
    <x v="132"/>
    <x v="106"/>
    <x v="2"/>
    <x v="2"/>
    <x v="0"/>
    <x v="0"/>
    <x v="0"/>
    <x v="0"/>
    <x v="0"/>
    <x v="20"/>
    <x v="4"/>
    <x v="13"/>
    <x v="0"/>
    <x v="40"/>
    <x v="24"/>
    <x v="33"/>
    <x v="3"/>
    <x v="0"/>
    <x v="1"/>
    <x v="1"/>
    <x v="0"/>
  </r>
  <r>
    <x v="6"/>
    <x v="2"/>
    <x v="2"/>
    <x v="138"/>
    <x v="3"/>
    <x v="1"/>
    <x v="1"/>
    <x v="0"/>
    <x v="3"/>
    <x v="0"/>
    <x v="0"/>
    <x v="2"/>
    <x v="1"/>
    <x v="0"/>
    <x v="0"/>
    <x v="1"/>
    <x v="0"/>
    <x v="0"/>
    <x v="0"/>
    <x v="107"/>
    <x v="0"/>
    <x v="7"/>
    <x v="138"/>
    <x v="133"/>
    <x v="107"/>
    <x v="3"/>
    <x v="1"/>
    <x v="0"/>
    <x v="1"/>
    <x v="4"/>
    <x v="0"/>
    <x v="0"/>
    <x v="11"/>
    <x v="16"/>
    <x v="0"/>
    <x v="13"/>
    <x v="37"/>
    <x v="36"/>
    <x v="44"/>
    <x v="2"/>
    <x v="1"/>
    <x v="1"/>
    <x v="2"/>
    <x v="0"/>
  </r>
  <r>
    <x v="6"/>
    <x v="2"/>
    <x v="2"/>
    <x v="139"/>
    <x v="4"/>
    <x v="3"/>
    <x v="2"/>
    <x v="0"/>
    <x v="2"/>
    <x v="0"/>
    <x v="2"/>
    <x v="1"/>
    <x v="0"/>
    <x v="2"/>
    <x v="0"/>
    <x v="0"/>
    <x v="0"/>
    <x v="0"/>
    <x v="0"/>
    <x v="108"/>
    <x v="51"/>
    <x v="2"/>
    <x v="139"/>
    <x v="134"/>
    <x v="81"/>
    <x v="2"/>
    <x v="2"/>
    <x v="0"/>
    <x v="0"/>
    <x v="1"/>
    <x v="0"/>
    <x v="1"/>
    <x v="32"/>
    <x v="4"/>
    <x v="7"/>
    <x v="0"/>
    <x v="3"/>
    <x v="7"/>
    <x v="4"/>
    <x v="2"/>
    <x v="1"/>
    <x v="0"/>
    <x v="1"/>
    <x v="0"/>
  </r>
  <r>
    <x v="6"/>
    <x v="2"/>
    <x v="2"/>
    <x v="140"/>
    <x v="0"/>
    <x v="0"/>
    <x v="0"/>
    <x v="1"/>
    <x v="1"/>
    <x v="0"/>
    <x v="0"/>
    <x v="2"/>
    <x v="1"/>
    <x v="0"/>
    <x v="0"/>
    <x v="0"/>
    <x v="1"/>
    <x v="0"/>
    <x v="0"/>
    <x v="109"/>
    <x v="52"/>
    <x v="15"/>
    <x v="140"/>
    <x v="135"/>
    <x v="108"/>
    <x v="3"/>
    <x v="2"/>
    <x v="2"/>
    <x v="2"/>
    <x v="3"/>
    <x v="2"/>
    <x v="7"/>
    <x v="21"/>
    <x v="4"/>
    <x v="11"/>
    <x v="9"/>
    <x v="20"/>
    <x v="15"/>
    <x v="50"/>
    <x v="0"/>
    <x v="2"/>
    <x v="2"/>
    <x v="1"/>
    <x v="0"/>
  </r>
  <r>
    <x v="6"/>
    <x v="2"/>
    <x v="2"/>
    <x v="141"/>
    <x v="1"/>
    <x v="2"/>
    <x v="4"/>
    <x v="0"/>
    <x v="0"/>
    <x v="1"/>
    <x v="1"/>
    <x v="0"/>
    <x v="0"/>
    <x v="0"/>
    <x v="0"/>
    <x v="2"/>
    <x v="0"/>
    <x v="0"/>
    <x v="0"/>
    <x v="110"/>
    <x v="0"/>
    <x v="13"/>
    <x v="141"/>
    <x v="2"/>
    <x v="109"/>
    <x v="3"/>
    <x v="2"/>
    <x v="2"/>
    <x v="1"/>
    <x v="0"/>
    <x v="1"/>
    <x v="2"/>
    <x v="3"/>
    <x v="4"/>
    <x v="4"/>
    <x v="9"/>
    <x v="5"/>
    <x v="15"/>
    <x v="25"/>
    <x v="0"/>
    <x v="2"/>
    <x v="0"/>
    <x v="0"/>
    <x v="1"/>
  </r>
  <r>
    <x v="6"/>
    <x v="2"/>
    <x v="3"/>
    <x v="142"/>
    <x v="2"/>
    <x v="2"/>
    <x v="4"/>
    <x v="0"/>
    <x v="4"/>
    <x v="0"/>
    <x v="0"/>
    <x v="0"/>
    <x v="0"/>
    <x v="0"/>
    <x v="0"/>
    <x v="1"/>
    <x v="0"/>
    <x v="0"/>
    <x v="0"/>
    <x v="111"/>
    <x v="53"/>
    <x v="3"/>
    <x v="142"/>
    <x v="136"/>
    <x v="60"/>
    <x v="2"/>
    <x v="0"/>
    <x v="0"/>
    <x v="0"/>
    <x v="0"/>
    <x v="1"/>
    <x v="9"/>
    <x v="16"/>
    <x v="18"/>
    <x v="15"/>
    <x v="0"/>
    <x v="20"/>
    <x v="16"/>
    <x v="9"/>
    <x v="3"/>
    <x v="2"/>
    <x v="0"/>
    <x v="3"/>
    <x v="0"/>
  </r>
  <r>
    <x v="6"/>
    <x v="2"/>
    <x v="3"/>
    <x v="143"/>
    <x v="3"/>
    <x v="4"/>
    <x v="3"/>
    <x v="0"/>
    <x v="1"/>
    <x v="0"/>
    <x v="3"/>
    <x v="3"/>
    <x v="1"/>
    <x v="2"/>
    <x v="0"/>
    <x v="1"/>
    <x v="1"/>
    <x v="0"/>
    <x v="1"/>
    <x v="112"/>
    <x v="0"/>
    <x v="15"/>
    <x v="143"/>
    <x v="137"/>
    <x v="5"/>
    <x v="1"/>
    <x v="2"/>
    <x v="0"/>
    <x v="0"/>
    <x v="2"/>
    <x v="0"/>
    <x v="1"/>
    <x v="2"/>
    <x v="4"/>
    <x v="18"/>
    <x v="0"/>
    <x v="43"/>
    <x v="13"/>
    <x v="2"/>
    <x v="3"/>
    <x v="3"/>
    <x v="1"/>
    <x v="3"/>
    <x v="0"/>
  </r>
  <r>
    <x v="6"/>
    <x v="2"/>
    <x v="3"/>
    <x v="144"/>
    <x v="4"/>
    <x v="1"/>
    <x v="1"/>
    <x v="0"/>
    <x v="3"/>
    <x v="0"/>
    <x v="1"/>
    <x v="0"/>
    <x v="0"/>
    <x v="0"/>
    <x v="0"/>
    <x v="1"/>
    <x v="0"/>
    <x v="0"/>
    <x v="0"/>
    <x v="113"/>
    <x v="0"/>
    <x v="0"/>
    <x v="144"/>
    <x v="138"/>
    <x v="36"/>
    <x v="1"/>
    <x v="0"/>
    <x v="0"/>
    <x v="0"/>
    <x v="2"/>
    <x v="2"/>
    <x v="0"/>
    <x v="31"/>
    <x v="14"/>
    <x v="7"/>
    <x v="0"/>
    <x v="27"/>
    <x v="7"/>
    <x v="29"/>
    <x v="7"/>
    <x v="4"/>
    <x v="0"/>
    <x v="2"/>
    <x v="0"/>
  </r>
  <r>
    <x v="6"/>
    <x v="2"/>
    <x v="3"/>
    <x v="145"/>
    <x v="0"/>
    <x v="1"/>
    <x v="1"/>
    <x v="0"/>
    <x v="3"/>
    <x v="0"/>
    <x v="1"/>
    <x v="0"/>
    <x v="0"/>
    <x v="0"/>
    <x v="0"/>
    <x v="0"/>
    <x v="0"/>
    <x v="0"/>
    <x v="0"/>
    <x v="114"/>
    <x v="0"/>
    <x v="8"/>
    <x v="145"/>
    <x v="139"/>
    <x v="19"/>
    <x v="2"/>
    <x v="2"/>
    <x v="0"/>
    <x v="0"/>
    <x v="4"/>
    <x v="2"/>
    <x v="5"/>
    <x v="38"/>
    <x v="4"/>
    <x v="18"/>
    <x v="0"/>
    <x v="27"/>
    <x v="37"/>
    <x v="72"/>
    <x v="7"/>
    <x v="4"/>
    <x v="0"/>
    <x v="2"/>
    <x v="0"/>
  </r>
  <r>
    <x v="6"/>
    <x v="2"/>
    <x v="3"/>
    <x v="146"/>
    <x v="1"/>
    <x v="0"/>
    <x v="0"/>
    <x v="1"/>
    <x v="1"/>
    <x v="0"/>
    <x v="2"/>
    <x v="1"/>
    <x v="0"/>
    <x v="2"/>
    <x v="0"/>
    <x v="1"/>
    <x v="1"/>
    <x v="1"/>
    <x v="0"/>
    <x v="115"/>
    <x v="0"/>
    <x v="0"/>
    <x v="146"/>
    <x v="140"/>
    <x v="14"/>
    <x v="0"/>
    <x v="0"/>
    <x v="1"/>
    <x v="0"/>
    <x v="2"/>
    <x v="1"/>
    <x v="7"/>
    <x v="18"/>
    <x v="10"/>
    <x v="1"/>
    <x v="0"/>
    <x v="3"/>
    <x v="28"/>
    <x v="24"/>
    <x v="3"/>
    <x v="3"/>
    <x v="1"/>
    <x v="3"/>
    <x v="0"/>
  </r>
  <r>
    <x v="6"/>
    <x v="2"/>
    <x v="4"/>
    <x v="147"/>
    <x v="2"/>
    <x v="3"/>
    <x v="2"/>
    <x v="0"/>
    <x v="2"/>
    <x v="0"/>
    <x v="3"/>
    <x v="3"/>
    <x v="1"/>
    <x v="2"/>
    <x v="0"/>
    <x v="0"/>
    <x v="0"/>
    <x v="0"/>
    <x v="0"/>
    <x v="0"/>
    <x v="0"/>
    <x v="8"/>
    <x v="147"/>
    <x v="141"/>
    <x v="110"/>
    <x v="1"/>
    <x v="1"/>
    <x v="2"/>
    <x v="0"/>
    <x v="3"/>
    <x v="1"/>
    <x v="0"/>
    <x v="36"/>
    <x v="1"/>
    <x v="5"/>
    <x v="0"/>
    <x v="36"/>
    <x v="10"/>
    <x v="73"/>
    <x v="1"/>
    <x v="0"/>
    <x v="1"/>
    <x v="1"/>
    <x v="0"/>
  </r>
  <r>
    <x v="6"/>
    <x v="2"/>
    <x v="4"/>
    <x v="148"/>
    <x v="3"/>
    <x v="3"/>
    <x v="2"/>
    <x v="0"/>
    <x v="2"/>
    <x v="0"/>
    <x v="2"/>
    <x v="1"/>
    <x v="0"/>
    <x v="2"/>
    <x v="0"/>
    <x v="1"/>
    <x v="0"/>
    <x v="1"/>
    <x v="0"/>
    <x v="78"/>
    <x v="54"/>
    <x v="10"/>
    <x v="148"/>
    <x v="142"/>
    <x v="46"/>
    <x v="0"/>
    <x v="2"/>
    <x v="1"/>
    <x v="1"/>
    <x v="0"/>
    <x v="3"/>
    <x v="0"/>
    <x v="23"/>
    <x v="4"/>
    <x v="1"/>
    <x v="4"/>
    <x v="38"/>
    <x v="22"/>
    <x v="44"/>
    <x v="2"/>
    <x v="1"/>
    <x v="0"/>
    <x v="1"/>
    <x v="0"/>
  </r>
  <r>
    <x v="6"/>
    <x v="2"/>
    <x v="4"/>
    <x v="149"/>
    <x v="4"/>
    <x v="0"/>
    <x v="3"/>
    <x v="1"/>
    <x v="3"/>
    <x v="0"/>
    <x v="0"/>
    <x v="2"/>
    <x v="1"/>
    <x v="0"/>
    <x v="0"/>
    <x v="0"/>
    <x v="0"/>
    <x v="1"/>
    <x v="0"/>
    <x v="116"/>
    <x v="0"/>
    <x v="17"/>
    <x v="149"/>
    <x v="143"/>
    <x v="25"/>
    <x v="1"/>
    <x v="0"/>
    <x v="1"/>
    <x v="1"/>
    <x v="2"/>
    <x v="3"/>
    <x v="3"/>
    <x v="8"/>
    <x v="19"/>
    <x v="1"/>
    <x v="6"/>
    <x v="42"/>
    <x v="4"/>
    <x v="43"/>
    <x v="0"/>
    <x v="0"/>
    <x v="2"/>
    <x v="2"/>
    <x v="0"/>
  </r>
  <r>
    <x v="6"/>
    <x v="2"/>
    <x v="4"/>
    <x v="150"/>
    <x v="0"/>
    <x v="3"/>
    <x v="2"/>
    <x v="0"/>
    <x v="2"/>
    <x v="0"/>
    <x v="1"/>
    <x v="0"/>
    <x v="0"/>
    <x v="0"/>
    <x v="0"/>
    <x v="1"/>
    <x v="0"/>
    <x v="1"/>
    <x v="0"/>
    <x v="117"/>
    <x v="55"/>
    <x v="19"/>
    <x v="150"/>
    <x v="144"/>
    <x v="75"/>
    <x v="1"/>
    <x v="2"/>
    <x v="0"/>
    <x v="2"/>
    <x v="0"/>
    <x v="1"/>
    <x v="8"/>
    <x v="2"/>
    <x v="4"/>
    <x v="13"/>
    <x v="18"/>
    <x v="10"/>
    <x v="38"/>
    <x v="65"/>
    <x v="6"/>
    <x v="6"/>
    <x v="0"/>
    <x v="4"/>
    <x v="0"/>
  </r>
  <r>
    <x v="6"/>
    <x v="2"/>
    <x v="4"/>
    <x v="151"/>
    <x v="1"/>
    <x v="3"/>
    <x v="2"/>
    <x v="0"/>
    <x v="2"/>
    <x v="0"/>
    <x v="3"/>
    <x v="3"/>
    <x v="0"/>
    <x v="3"/>
    <x v="0"/>
    <x v="1"/>
    <x v="1"/>
    <x v="0"/>
    <x v="1"/>
    <x v="118"/>
    <x v="0"/>
    <x v="16"/>
    <x v="151"/>
    <x v="145"/>
    <x v="111"/>
    <x v="3"/>
    <x v="1"/>
    <x v="2"/>
    <x v="2"/>
    <x v="2"/>
    <x v="1"/>
    <x v="2"/>
    <x v="11"/>
    <x v="6"/>
    <x v="14"/>
    <x v="16"/>
    <x v="23"/>
    <x v="6"/>
    <x v="74"/>
    <x v="1"/>
    <x v="0"/>
    <x v="0"/>
    <x v="0"/>
    <x v="0"/>
  </r>
  <r>
    <x v="7"/>
    <x v="2"/>
    <x v="0"/>
    <x v="152"/>
    <x v="2"/>
    <x v="0"/>
    <x v="0"/>
    <x v="0"/>
    <x v="0"/>
    <x v="0"/>
    <x v="2"/>
    <x v="1"/>
    <x v="1"/>
    <x v="1"/>
    <x v="0"/>
    <x v="2"/>
    <x v="0"/>
    <x v="0"/>
    <x v="0"/>
    <x v="119"/>
    <x v="0"/>
    <x v="17"/>
    <x v="152"/>
    <x v="146"/>
    <x v="103"/>
    <x v="3"/>
    <x v="0"/>
    <x v="2"/>
    <x v="2"/>
    <x v="0"/>
    <x v="1"/>
    <x v="5"/>
    <x v="24"/>
    <x v="7"/>
    <x v="10"/>
    <x v="17"/>
    <x v="19"/>
    <x v="4"/>
    <x v="39"/>
    <x v="3"/>
    <x v="3"/>
    <x v="1"/>
    <x v="3"/>
    <x v="0"/>
  </r>
  <r>
    <x v="7"/>
    <x v="2"/>
    <x v="0"/>
    <x v="153"/>
    <x v="3"/>
    <x v="4"/>
    <x v="3"/>
    <x v="1"/>
    <x v="3"/>
    <x v="0"/>
    <x v="1"/>
    <x v="0"/>
    <x v="0"/>
    <x v="0"/>
    <x v="0"/>
    <x v="1"/>
    <x v="0"/>
    <x v="0"/>
    <x v="0"/>
    <x v="120"/>
    <x v="0"/>
    <x v="6"/>
    <x v="153"/>
    <x v="147"/>
    <x v="67"/>
    <x v="0"/>
    <x v="1"/>
    <x v="0"/>
    <x v="0"/>
    <x v="4"/>
    <x v="3"/>
    <x v="8"/>
    <x v="31"/>
    <x v="6"/>
    <x v="3"/>
    <x v="0"/>
    <x v="24"/>
    <x v="15"/>
    <x v="6"/>
    <x v="2"/>
    <x v="1"/>
    <x v="1"/>
    <x v="2"/>
    <x v="0"/>
  </r>
  <r>
    <x v="7"/>
    <x v="2"/>
    <x v="0"/>
    <x v="154"/>
    <x v="4"/>
    <x v="1"/>
    <x v="2"/>
    <x v="0"/>
    <x v="2"/>
    <x v="0"/>
    <x v="2"/>
    <x v="2"/>
    <x v="1"/>
    <x v="0"/>
    <x v="0"/>
    <x v="1"/>
    <x v="0"/>
    <x v="0"/>
    <x v="1"/>
    <x v="0"/>
    <x v="0"/>
    <x v="17"/>
    <x v="154"/>
    <x v="148"/>
    <x v="112"/>
    <x v="1"/>
    <x v="0"/>
    <x v="2"/>
    <x v="1"/>
    <x v="3"/>
    <x v="2"/>
    <x v="3"/>
    <x v="34"/>
    <x v="7"/>
    <x v="11"/>
    <x v="9"/>
    <x v="2"/>
    <x v="29"/>
    <x v="64"/>
    <x v="1"/>
    <x v="4"/>
    <x v="1"/>
    <x v="4"/>
    <x v="0"/>
  </r>
  <r>
    <x v="7"/>
    <x v="2"/>
    <x v="0"/>
    <x v="155"/>
    <x v="0"/>
    <x v="0"/>
    <x v="0"/>
    <x v="0"/>
    <x v="0"/>
    <x v="0"/>
    <x v="2"/>
    <x v="1"/>
    <x v="1"/>
    <x v="1"/>
    <x v="0"/>
    <x v="0"/>
    <x v="0"/>
    <x v="0"/>
    <x v="0"/>
    <x v="121"/>
    <x v="56"/>
    <x v="14"/>
    <x v="155"/>
    <x v="149"/>
    <x v="113"/>
    <x v="0"/>
    <x v="2"/>
    <x v="0"/>
    <x v="1"/>
    <x v="2"/>
    <x v="1"/>
    <x v="2"/>
    <x v="5"/>
    <x v="4"/>
    <x v="13"/>
    <x v="2"/>
    <x v="42"/>
    <x v="18"/>
    <x v="42"/>
    <x v="3"/>
    <x v="3"/>
    <x v="1"/>
    <x v="3"/>
    <x v="0"/>
  </r>
  <r>
    <x v="7"/>
    <x v="2"/>
    <x v="0"/>
    <x v="156"/>
    <x v="1"/>
    <x v="3"/>
    <x v="2"/>
    <x v="0"/>
    <x v="2"/>
    <x v="0"/>
    <x v="3"/>
    <x v="1"/>
    <x v="1"/>
    <x v="1"/>
    <x v="0"/>
    <x v="1"/>
    <x v="0"/>
    <x v="0"/>
    <x v="0"/>
    <x v="74"/>
    <x v="57"/>
    <x v="9"/>
    <x v="156"/>
    <x v="150"/>
    <x v="114"/>
    <x v="1"/>
    <x v="2"/>
    <x v="1"/>
    <x v="0"/>
    <x v="2"/>
    <x v="0"/>
    <x v="11"/>
    <x v="28"/>
    <x v="4"/>
    <x v="1"/>
    <x v="0"/>
    <x v="23"/>
    <x v="24"/>
    <x v="75"/>
    <x v="1"/>
    <x v="1"/>
    <x v="1"/>
    <x v="2"/>
    <x v="0"/>
  </r>
  <r>
    <x v="7"/>
    <x v="2"/>
    <x v="1"/>
    <x v="157"/>
    <x v="2"/>
    <x v="2"/>
    <x v="4"/>
    <x v="1"/>
    <x v="0"/>
    <x v="0"/>
    <x v="2"/>
    <x v="1"/>
    <x v="1"/>
    <x v="1"/>
    <x v="0"/>
    <x v="0"/>
    <x v="0"/>
    <x v="1"/>
    <x v="0"/>
    <x v="4"/>
    <x v="58"/>
    <x v="5"/>
    <x v="157"/>
    <x v="151"/>
    <x v="115"/>
    <x v="1"/>
    <x v="2"/>
    <x v="2"/>
    <x v="2"/>
    <x v="2"/>
    <x v="2"/>
    <x v="2"/>
    <x v="32"/>
    <x v="4"/>
    <x v="10"/>
    <x v="5"/>
    <x v="3"/>
    <x v="37"/>
    <x v="25"/>
    <x v="4"/>
    <x v="7"/>
    <x v="2"/>
    <x v="3"/>
    <x v="0"/>
  </r>
  <r>
    <x v="7"/>
    <x v="2"/>
    <x v="1"/>
    <x v="158"/>
    <x v="3"/>
    <x v="2"/>
    <x v="4"/>
    <x v="1"/>
    <x v="0"/>
    <x v="0"/>
    <x v="0"/>
    <x v="2"/>
    <x v="1"/>
    <x v="0"/>
    <x v="0"/>
    <x v="0"/>
    <x v="0"/>
    <x v="0"/>
    <x v="0"/>
    <x v="4"/>
    <x v="0"/>
    <x v="0"/>
    <x v="158"/>
    <x v="152"/>
    <x v="116"/>
    <x v="2"/>
    <x v="0"/>
    <x v="0"/>
    <x v="1"/>
    <x v="4"/>
    <x v="3"/>
    <x v="12"/>
    <x v="20"/>
    <x v="14"/>
    <x v="17"/>
    <x v="10"/>
    <x v="8"/>
    <x v="37"/>
    <x v="76"/>
    <x v="3"/>
    <x v="3"/>
    <x v="2"/>
    <x v="0"/>
    <x v="0"/>
  </r>
  <r>
    <x v="7"/>
    <x v="2"/>
    <x v="1"/>
    <x v="159"/>
    <x v="4"/>
    <x v="0"/>
    <x v="0"/>
    <x v="1"/>
    <x v="1"/>
    <x v="0"/>
    <x v="3"/>
    <x v="3"/>
    <x v="0"/>
    <x v="3"/>
    <x v="0"/>
    <x v="2"/>
    <x v="0"/>
    <x v="1"/>
    <x v="0"/>
    <x v="122"/>
    <x v="0"/>
    <x v="3"/>
    <x v="159"/>
    <x v="153"/>
    <x v="117"/>
    <x v="2"/>
    <x v="2"/>
    <x v="2"/>
    <x v="2"/>
    <x v="4"/>
    <x v="0"/>
    <x v="5"/>
    <x v="17"/>
    <x v="4"/>
    <x v="5"/>
    <x v="17"/>
    <x v="10"/>
    <x v="24"/>
    <x v="26"/>
    <x v="4"/>
    <x v="7"/>
    <x v="1"/>
    <x v="6"/>
    <x v="0"/>
  </r>
  <r>
    <x v="7"/>
    <x v="2"/>
    <x v="1"/>
    <x v="160"/>
    <x v="0"/>
    <x v="2"/>
    <x v="4"/>
    <x v="1"/>
    <x v="0"/>
    <x v="0"/>
    <x v="3"/>
    <x v="3"/>
    <x v="0"/>
    <x v="3"/>
    <x v="0"/>
    <x v="1"/>
    <x v="0"/>
    <x v="1"/>
    <x v="0"/>
    <x v="0"/>
    <x v="0"/>
    <x v="4"/>
    <x v="160"/>
    <x v="154"/>
    <x v="118"/>
    <x v="1"/>
    <x v="1"/>
    <x v="0"/>
    <x v="1"/>
    <x v="4"/>
    <x v="3"/>
    <x v="6"/>
    <x v="31"/>
    <x v="9"/>
    <x v="9"/>
    <x v="10"/>
    <x v="44"/>
    <x v="20"/>
    <x v="77"/>
    <x v="5"/>
    <x v="5"/>
    <x v="1"/>
    <x v="7"/>
    <x v="0"/>
  </r>
  <r>
    <x v="7"/>
    <x v="2"/>
    <x v="1"/>
    <x v="161"/>
    <x v="1"/>
    <x v="0"/>
    <x v="0"/>
    <x v="1"/>
    <x v="1"/>
    <x v="0"/>
    <x v="3"/>
    <x v="3"/>
    <x v="0"/>
    <x v="3"/>
    <x v="0"/>
    <x v="1"/>
    <x v="0"/>
    <x v="0"/>
    <x v="1"/>
    <x v="0"/>
    <x v="0"/>
    <x v="11"/>
    <x v="161"/>
    <x v="155"/>
    <x v="76"/>
    <x v="0"/>
    <x v="2"/>
    <x v="2"/>
    <x v="2"/>
    <x v="2"/>
    <x v="3"/>
    <x v="0"/>
    <x v="0"/>
    <x v="4"/>
    <x v="4"/>
    <x v="11"/>
    <x v="34"/>
    <x v="17"/>
    <x v="21"/>
    <x v="4"/>
    <x v="7"/>
    <x v="1"/>
    <x v="6"/>
    <x v="0"/>
  </r>
  <r>
    <x v="7"/>
    <x v="2"/>
    <x v="2"/>
    <x v="162"/>
    <x v="2"/>
    <x v="0"/>
    <x v="0"/>
    <x v="1"/>
    <x v="1"/>
    <x v="0"/>
    <x v="0"/>
    <x v="2"/>
    <x v="1"/>
    <x v="0"/>
    <x v="0"/>
    <x v="0"/>
    <x v="0"/>
    <x v="0"/>
    <x v="1"/>
    <x v="123"/>
    <x v="31"/>
    <x v="1"/>
    <x v="162"/>
    <x v="156"/>
    <x v="59"/>
    <x v="3"/>
    <x v="1"/>
    <x v="2"/>
    <x v="0"/>
    <x v="1"/>
    <x v="2"/>
    <x v="11"/>
    <x v="29"/>
    <x v="11"/>
    <x v="10"/>
    <x v="0"/>
    <x v="11"/>
    <x v="33"/>
    <x v="61"/>
    <x v="0"/>
    <x v="2"/>
    <x v="2"/>
    <x v="1"/>
    <x v="0"/>
  </r>
  <r>
    <x v="7"/>
    <x v="2"/>
    <x v="2"/>
    <x v="163"/>
    <x v="3"/>
    <x v="0"/>
    <x v="0"/>
    <x v="1"/>
    <x v="1"/>
    <x v="0"/>
    <x v="1"/>
    <x v="0"/>
    <x v="0"/>
    <x v="0"/>
    <x v="0"/>
    <x v="0"/>
    <x v="0"/>
    <x v="0"/>
    <x v="0"/>
    <x v="0"/>
    <x v="0"/>
    <x v="17"/>
    <x v="163"/>
    <x v="157"/>
    <x v="119"/>
    <x v="0"/>
    <x v="2"/>
    <x v="2"/>
    <x v="1"/>
    <x v="1"/>
    <x v="2"/>
    <x v="4"/>
    <x v="15"/>
    <x v="4"/>
    <x v="4"/>
    <x v="4"/>
    <x v="1"/>
    <x v="33"/>
    <x v="45"/>
    <x v="1"/>
    <x v="0"/>
    <x v="1"/>
    <x v="1"/>
    <x v="0"/>
  </r>
  <r>
    <x v="7"/>
    <x v="2"/>
    <x v="2"/>
    <x v="164"/>
    <x v="4"/>
    <x v="4"/>
    <x v="3"/>
    <x v="0"/>
    <x v="1"/>
    <x v="0"/>
    <x v="3"/>
    <x v="1"/>
    <x v="0"/>
    <x v="2"/>
    <x v="0"/>
    <x v="2"/>
    <x v="0"/>
    <x v="0"/>
    <x v="0"/>
    <x v="0"/>
    <x v="0"/>
    <x v="13"/>
    <x v="164"/>
    <x v="158"/>
    <x v="120"/>
    <x v="2"/>
    <x v="1"/>
    <x v="0"/>
    <x v="2"/>
    <x v="1"/>
    <x v="3"/>
    <x v="8"/>
    <x v="26"/>
    <x v="1"/>
    <x v="10"/>
    <x v="10"/>
    <x v="3"/>
    <x v="22"/>
    <x v="26"/>
    <x v="3"/>
    <x v="2"/>
    <x v="0"/>
    <x v="3"/>
    <x v="0"/>
  </r>
  <r>
    <x v="7"/>
    <x v="2"/>
    <x v="2"/>
    <x v="165"/>
    <x v="0"/>
    <x v="3"/>
    <x v="2"/>
    <x v="0"/>
    <x v="2"/>
    <x v="0"/>
    <x v="2"/>
    <x v="2"/>
    <x v="0"/>
    <x v="1"/>
    <x v="0"/>
    <x v="0"/>
    <x v="0"/>
    <x v="0"/>
    <x v="0"/>
    <x v="124"/>
    <x v="28"/>
    <x v="6"/>
    <x v="165"/>
    <x v="153"/>
    <x v="121"/>
    <x v="2"/>
    <x v="1"/>
    <x v="1"/>
    <x v="0"/>
    <x v="4"/>
    <x v="2"/>
    <x v="3"/>
    <x v="36"/>
    <x v="2"/>
    <x v="1"/>
    <x v="0"/>
    <x v="6"/>
    <x v="29"/>
    <x v="31"/>
    <x v="2"/>
    <x v="4"/>
    <x v="0"/>
    <x v="2"/>
    <x v="0"/>
  </r>
  <r>
    <x v="7"/>
    <x v="2"/>
    <x v="2"/>
    <x v="166"/>
    <x v="1"/>
    <x v="3"/>
    <x v="2"/>
    <x v="0"/>
    <x v="2"/>
    <x v="0"/>
    <x v="1"/>
    <x v="0"/>
    <x v="0"/>
    <x v="0"/>
    <x v="0"/>
    <x v="1"/>
    <x v="1"/>
    <x v="0"/>
    <x v="0"/>
    <x v="125"/>
    <x v="59"/>
    <x v="18"/>
    <x v="166"/>
    <x v="159"/>
    <x v="122"/>
    <x v="3"/>
    <x v="2"/>
    <x v="1"/>
    <x v="1"/>
    <x v="2"/>
    <x v="2"/>
    <x v="11"/>
    <x v="29"/>
    <x v="4"/>
    <x v="1"/>
    <x v="3"/>
    <x v="28"/>
    <x v="29"/>
    <x v="78"/>
    <x v="6"/>
    <x v="6"/>
    <x v="0"/>
    <x v="4"/>
    <x v="0"/>
  </r>
  <r>
    <x v="7"/>
    <x v="2"/>
    <x v="3"/>
    <x v="167"/>
    <x v="2"/>
    <x v="4"/>
    <x v="3"/>
    <x v="0"/>
    <x v="1"/>
    <x v="0"/>
    <x v="2"/>
    <x v="2"/>
    <x v="1"/>
    <x v="0"/>
    <x v="0"/>
    <x v="2"/>
    <x v="0"/>
    <x v="0"/>
    <x v="0"/>
    <x v="126"/>
    <x v="0"/>
    <x v="17"/>
    <x v="167"/>
    <x v="160"/>
    <x v="113"/>
    <x v="0"/>
    <x v="2"/>
    <x v="0"/>
    <x v="1"/>
    <x v="2"/>
    <x v="2"/>
    <x v="7"/>
    <x v="15"/>
    <x v="4"/>
    <x v="18"/>
    <x v="2"/>
    <x v="22"/>
    <x v="37"/>
    <x v="43"/>
    <x v="0"/>
    <x v="0"/>
    <x v="1"/>
    <x v="1"/>
    <x v="0"/>
  </r>
  <r>
    <x v="7"/>
    <x v="2"/>
    <x v="3"/>
    <x v="168"/>
    <x v="3"/>
    <x v="3"/>
    <x v="2"/>
    <x v="0"/>
    <x v="2"/>
    <x v="0"/>
    <x v="3"/>
    <x v="3"/>
    <x v="1"/>
    <x v="2"/>
    <x v="0"/>
    <x v="0"/>
    <x v="0"/>
    <x v="1"/>
    <x v="0"/>
    <x v="127"/>
    <x v="60"/>
    <x v="14"/>
    <x v="168"/>
    <x v="161"/>
    <x v="22"/>
    <x v="2"/>
    <x v="1"/>
    <x v="1"/>
    <x v="1"/>
    <x v="2"/>
    <x v="1"/>
    <x v="0"/>
    <x v="22"/>
    <x v="3"/>
    <x v="1"/>
    <x v="2"/>
    <x v="16"/>
    <x v="18"/>
    <x v="70"/>
    <x v="1"/>
    <x v="0"/>
    <x v="1"/>
    <x v="1"/>
    <x v="0"/>
  </r>
  <r>
    <x v="7"/>
    <x v="2"/>
    <x v="3"/>
    <x v="169"/>
    <x v="4"/>
    <x v="0"/>
    <x v="0"/>
    <x v="0"/>
    <x v="0"/>
    <x v="0"/>
    <x v="3"/>
    <x v="3"/>
    <x v="0"/>
    <x v="3"/>
    <x v="0"/>
    <x v="1"/>
    <x v="0"/>
    <x v="0"/>
    <x v="0"/>
    <x v="128"/>
    <x v="0"/>
    <x v="1"/>
    <x v="169"/>
    <x v="162"/>
    <x v="68"/>
    <x v="3"/>
    <x v="1"/>
    <x v="0"/>
    <x v="2"/>
    <x v="1"/>
    <x v="3"/>
    <x v="0"/>
    <x v="13"/>
    <x v="2"/>
    <x v="9"/>
    <x v="16"/>
    <x v="13"/>
    <x v="3"/>
    <x v="35"/>
    <x v="4"/>
    <x v="7"/>
    <x v="0"/>
    <x v="7"/>
    <x v="0"/>
  </r>
  <r>
    <x v="7"/>
    <x v="2"/>
    <x v="3"/>
    <x v="170"/>
    <x v="0"/>
    <x v="2"/>
    <x v="0"/>
    <x v="0"/>
    <x v="0"/>
    <x v="0"/>
    <x v="2"/>
    <x v="2"/>
    <x v="0"/>
    <x v="1"/>
    <x v="0"/>
    <x v="1"/>
    <x v="0"/>
    <x v="1"/>
    <x v="0"/>
    <x v="129"/>
    <x v="0"/>
    <x v="15"/>
    <x v="170"/>
    <x v="163"/>
    <x v="123"/>
    <x v="3"/>
    <x v="2"/>
    <x v="0"/>
    <x v="2"/>
    <x v="4"/>
    <x v="3"/>
    <x v="8"/>
    <x v="11"/>
    <x v="4"/>
    <x v="3"/>
    <x v="16"/>
    <x v="32"/>
    <x v="22"/>
    <x v="79"/>
    <x v="4"/>
    <x v="2"/>
    <x v="0"/>
    <x v="3"/>
    <x v="0"/>
  </r>
  <r>
    <x v="7"/>
    <x v="2"/>
    <x v="3"/>
    <x v="171"/>
    <x v="1"/>
    <x v="3"/>
    <x v="2"/>
    <x v="0"/>
    <x v="2"/>
    <x v="0"/>
    <x v="0"/>
    <x v="2"/>
    <x v="0"/>
    <x v="1"/>
    <x v="0"/>
    <x v="1"/>
    <x v="0"/>
    <x v="1"/>
    <x v="1"/>
    <x v="130"/>
    <x v="0"/>
    <x v="19"/>
    <x v="171"/>
    <x v="164"/>
    <x v="85"/>
    <x v="2"/>
    <x v="0"/>
    <x v="0"/>
    <x v="0"/>
    <x v="4"/>
    <x v="3"/>
    <x v="13"/>
    <x v="22"/>
    <x v="1"/>
    <x v="15"/>
    <x v="0"/>
    <x v="45"/>
    <x v="17"/>
    <x v="80"/>
    <x v="7"/>
    <x v="4"/>
    <x v="0"/>
    <x v="2"/>
    <x v="0"/>
  </r>
  <r>
    <x v="7"/>
    <x v="2"/>
    <x v="4"/>
    <x v="172"/>
    <x v="2"/>
    <x v="4"/>
    <x v="3"/>
    <x v="1"/>
    <x v="3"/>
    <x v="0"/>
    <x v="2"/>
    <x v="2"/>
    <x v="0"/>
    <x v="1"/>
    <x v="0"/>
    <x v="0"/>
    <x v="1"/>
    <x v="0"/>
    <x v="0"/>
    <x v="131"/>
    <x v="0"/>
    <x v="5"/>
    <x v="172"/>
    <x v="165"/>
    <x v="116"/>
    <x v="1"/>
    <x v="0"/>
    <x v="2"/>
    <x v="1"/>
    <x v="0"/>
    <x v="3"/>
    <x v="9"/>
    <x v="14"/>
    <x v="17"/>
    <x v="2"/>
    <x v="9"/>
    <x v="7"/>
    <x v="30"/>
    <x v="71"/>
    <x v="0"/>
    <x v="0"/>
    <x v="1"/>
    <x v="1"/>
    <x v="0"/>
  </r>
  <r>
    <x v="8"/>
    <x v="2"/>
    <x v="0"/>
    <x v="173"/>
    <x v="3"/>
    <x v="2"/>
    <x v="4"/>
    <x v="0"/>
    <x v="4"/>
    <x v="0"/>
    <x v="0"/>
    <x v="2"/>
    <x v="1"/>
    <x v="0"/>
    <x v="0"/>
    <x v="1"/>
    <x v="1"/>
    <x v="1"/>
    <x v="0"/>
    <x v="132"/>
    <x v="61"/>
    <x v="18"/>
    <x v="173"/>
    <x v="166"/>
    <x v="101"/>
    <x v="2"/>
    <x v="2"/>
    <x v="1"/>
    <x v="0"/>
    <x v="2"/>
    <x v="1"/>
    <x v="7"/>
    <x v="28"/>
    <x v="4"/>
    <x v="1"/>
    <x v="0"/>
    <x v="3"/>
    <x v="25"/>
    <x v="50"/>
    <x v="3"/>
    <x v="3"/>
    <x v="1"/>
    <x v="3"/>
    <x v="0"/>
  </r>
  <r>
    <x v="8"/>
    <x v="2"/>
    <x v="0"/>
    <x v="174"/>
    <x v="4"/>
    <x v="3"/>
    <x v="2"/>
    <x v="0"/>
    <x v="2"/>
    <x v="0"/>
    <x v="0"/>
    <x v="0"/>
    <x v="0"/>
    <x v="0"/>
    <x v="0"/>
    <x v="1"/>
    <x v="0"/>
    <x v="0"/>
    <x v="0"/>
    <x v="73"/>
    <x v="0"/>
    <x v="3"/>
    <x v="174"/>
    <x v="167"/>
    <x v="40"/>
    <x v="1"/>
    <x v="1"/>
    <x v="0"/>
    <x v="1"/>
    <x v="1"/>
    <x v="2"/>
    <x v="2"/>
    <x v="35"/>
    <x v="3"/>
    <x v="9"/>
    <x v="1"/>
    <x v="25"/>
    <x v="37"/>
    <x v="40"/>
    <x v="7"/>
    <x v="6"/>
    <x v="0"/>
    <x v="4"/>
    <x v="0"/>
  </r>
  <r>
    <x v="8"/>
    <x v="2"/>
    <x v="0"/>
    <x v="175"/>
    <x v="0"/>
    <x v="0"/>
    <x v="0"/>
    <x v="1"/>
    <x v="1"/>
    <x v="0"/>
    <x v="0"/>
    <x v="2"/>
    <x v="1"/>
    <x v="0"/>
    <x v="0"/>
    <x v="1"/>
    <x v="0"/>
    <x v="1"/>
    <x v="0"/>
    <x v="0"/>
    <x v="62"/>
    <x v="10"/>
    <x v="175"/>
    <x v="73"/>
    <x v="84"/>
    <x v="2"/>
    <x v="2"/>
    <x v="0"/>
    <x v="1"/>
    <x v="4"/>
    <x v="2"/>
    <x v="8"/>
    <x v="1"/>
    <x v="4"/>
    <x v="16"/>
    <x v="4"/>
    <x v="9"/>
    <x v="16"/>
    <x v="81"/>
    <x v="0"/>
    <x v="2"/>
    <x v="2"/>
    <x v="1"/>
    <x v="0"/>
  </r>
  <r>
    <x v="8"/>
    <x v="2"/>
    <x v="0"/>
    <x v="176"/>
    <x v="1"/>
    <x v="4"/>
    <x v="3"/>
    <x v="0"/>
    <x v="1"/>
    <x v="0"/>
    <x v="2"/>
    <x v="1"/>
    <x v="0"/>
    <x v="2"/>
    <x v="0"/>
    <x v="2"/>
    <x v="0"/>
    <x v="1"/>
    <x v="0"/>
    <x v="133"/>
    <x v="0"/>
    <x v="11"/>
    <x v="176"/>
    <x v="168"/>
    <x v="124"/>
    <x v="0"/>
    <x v="1"/>
    <x v="0"/>
    <x v="0"/>
    <x v="1"/>
    <x v="0"/>
    <x v="4"/>
    <x v="15"/>
    <x v="9"/>
    <x v="2"/>
    <x v="0"/>
    <x v="4"/>
    <x v="36"/>
    <x v="48"/>
    <x v="0"/>
    <x v="2"/>
    <x v="0"/>
    <x v="3"/>
    <x v="0"/>
  </r>
  <r>
    <x v="8"/>
    <x v="2"/>
    <x v="1"/>
    <x v="177"/>
    <x v="2"/>
    <x v="2"/>
    <x v="4"/>
    <x v="0"/>
    <x v="4"/>
    <x v="0"/>
    <x v="2"/>
    <x v="2"/>
    <x v="1"/>
    <x v="0"/>
    <x v="0"/>
    <x v="1"/>
    <x v="1"/>
    <x v="1"/>
    <x v="0"/>
    <x v="134"/>
    <x v="63"/>
    <x v="6"/>
    <x v="177"/>
    <x v="169"/>
    <x v="125"/>
    <x v="0"/>
    <x v="0"/>
    <x v="2"/>
    <x v="0"/>
    <x v="4"/>
    <x v="2"/>
    <x v="3"/>
    <x v="5"/>
    <x v="7"/>
    <x v="10"/>
    <x v="0"/>
    <x v="0"/>
    <x v="7"/>
    <x v="64"/>
    <x v="4"/>
    <x v="3"/>
    <x v="1"/>
    <x v="3"/>
    <x v="0"/>
  </r>
  <r>
    <x v="8"/>
    <x v="2"/>
    <x v="1"/>
    <x v="178"/>
    <x v="3"/>
    <x v="0"/>
    <x v="3"/>
    <x v="0"/>
    <x v="1"/>
    <x v="0"/>
    <x v="1"/>
    <x v="0"/>
    <x v="0"/>
    <x v="0"/>
    <x v="0"/>
    <x v="1"/>
    <x v="0"/>
    <x v="0"/>
    <x v="0"/>
    <x v="129"/>
    <x v="0"/>
    <x v="8"/>
    <x v="178"/>
    <x v="170"/>
    <x v="126"/>
    <x v="2"/>
    <x v="1"/>
    <x v="0"/>
    <x v="2"/>
    <x v="2"/>
    <x v="3"/>
    <x v="9"/>
    <x v="27"/>
    <x v="9"/>
    <x v="12"/>
    <x v="15"/>
    <x v="16"/>
    <x v="20"/>
    <x v="65"/>
    <x v="1"/>
    <x v="1"/>
    <x v="0"/>
    <x v="1"/>
    <x v="0"/>
  </r>
  <r>
    <x v="8"/>
    <x v="2"/>
    <x v="1"/>
    <x v="179"/>
    <x v="4"/>
    <x v="0"/>
    <x v="0"/>
    <x v="1"/>
    <x v="1"/>
    <x v="0"/>
    <x v="1"/>
    <x v="0"/>
    <x v="0"/>
    <x v="0"/>
    <x v="0"/>
    <x v="1"/>
    <x v="1"/>
    <x v="1"/>
    <x v="0"/>
    <x v="135"/>
    <x v="0"/>
    <x v="7"/>
    <x v="179"/>
    <x v="171"/>
    <x v="7"/>
    <x v="0"/>
    <x v="0"/>
    <x v="2"/>
    <x v="1"/>
    <x v="1"/>
    <x v="3"/>
    <x v="0"/>
    <x v="28"/>
    <x v="0"/>
    <x v="11"/>
    <x v="10"/>
    <x v="4"/>
    <x v="33"/>
    <x v="46"/>
    <x v="1"/>
    <x v="0"/>
    <x v="1"/>
    <x v="1"/>
    <x v="0"/>
  </r>
  <r>
    <x v="8"/>
    <x v="2"/>
    <x v="1"/>
    <x v="180"/>
    <x v="0"/>
    <x v="1"/>
    <x v="1"/>
    <x v="1"/>
    <x v="2"/>
    <x v="0"/>
    <x v="2"/>
    <x v="2"/>
    <x v="0"/>
    <x v="1"/>
    <x v="0"/>
    <x v="1"/>
    <x v="0"/>
    <x v="0"/>
    <x v="0"/>
    <x v="136"/>
    <x v="64"/>
    <x v="8"/>
    <x v="180"/>
    <x v="172"/>
    <x v="81"/>
    <x v="2"/>
    <x v="1"/>
    <x v="0"/>
    <x v="1"/>
    <x v="2"/>
    <x v="3"/>
    <x v="8"/>
    <x v="33"/>
    <x v="6"/>
    <x v="6"/>
    <x v="4"/>
    <x v="14"/>
    <x v="25"/>
    <x v="64"/>
    <x v="1"/>
    <x v="1"/>
    <x v="1"/>
    <x v="2"/>
    <x v="0"/>
  </r>
  <r>
    <x v="8"/>
    <x v="2"/>
    <x v="1"/>
    <x v="181"/>
    <x v="1"/>
    <x v="1"/>
    <x v="1"/>
    <x v="0"/>
    <x v="3"/>
    <x v="0"/>
    <x v="1"/>
    <x v="0"/>
    <x v="0"/>
    <x v="0"/>
    <x v="0"/>
    <x v="0"/>
    <x v="1"/>
    <x v="0"/>
    <x v="1"/>
    <x v="0"/>
    <x v="0"/>
    <x v="15"/>
    <x v="181"/>
    <x v="173"/>
    <x v="127"/>
    <x v="1"/>
    <x v="1"/>
    <x v="0"/>
    <x v="2"/>
    <x v="2"/>
    <x v="3"/>
    <x v="8"/>
    <x v="32"/>
    <x v="5"/>
    <x v="6"/>
    <x v="16"/>
    <x v="2"/>
    <x v="9"/>
    <x v="82"/>
    <x v="7"/>
    <x v="4"/>
    <x v="0"/>
    <x v="2"/>
    <x v="0"/>
  </r>
  <r>
    <x v="8"/>
    <x v="2"/>
    <x v="2"/>
    <x v="182"/>
    <x v="2"/>
    <x v="4"/>
    <x v="1"/>
    <x v="0"/>
    <x v="3"/>
    <x v="0"/>
    <x v="1"/>
    <x v="0"/>
    <x v="0"/>
    <x v="0"/>
    <x v="0"/>
    <x v="0"/>
    <x v="1"/>
    <x v="1"/>
    <x v="0"/>
    <x v="33"/>
    <x v="0"/>
    <x v="13"/>
    <x v="182"/>
    <x v="174"/>
    <x v="19"/>
    <x v="0"/>
    <x v="1"/>
    <x v="2"/>
    <x v="1"/>
    <x v="0"/>
    <x v="2"/>
    <x v="0"/>
    <x v="0"/>
    <x v="11"/>
    <x v="8"/>
    <x v="1"/>
    <x v="20"/>
    <x v="19"/>
    <x v="41"/>
    <x v="2"/>
    <x v="4"/>
    <x v="0"/>
    <x v="2"/>
    <x v="0"/>
  </r>
  <r>
    <x v="8"/>
    <x v="2"/>
    <x v="2"/>
    <x v="183"/>
    <x v="3"/>
    <x v="4"/>
    <x v="1"/>
    <x v="0"/>
    <x v="3"/>
    <x v="0"/>
    <x v="0"/>
    <x v="2"/>
    <x v="1"/>
    <x v="0"/>
    <x v="0"/>
    <x v="0"/>
    <x v="0"/>
    <x v="0"/>
    <x v="0"/>
    <x v="132"/>
    <x v="0"/>
    <x v="4"/>
    <x v="183"/>
    <x v="175"/>
    <x v="128"/>
    <x v="2"/>
    <x v="2"/>
    <x v="1"/>
    <x v="2"/>
    <x v="1"/>
    <x v="2"/>
    <x v="7"/>
    <x v="39"/>
    <x v="4"/>
    <x v="1"/>
    <x v="17"/>
    <x v="1"/>
    <x v="14"/>
    <x v="39"/>
    <x v="1"/>
    <x v="1"/>
    <x v="1"/>
    <x v="2"/>
    <x v="0"/>
  </r>
  <r>
    <x v="8"/>
    <x v="2"/>
    <x v="2"/>
    <x v="184"/>
    <x v="4"/>
    <x v="3"/>
    <x v="2"/>
    <x v="0"/>
    <x v="2"/>
    <x v="0"/>
    <x v="3"/>
    <x v="3"/>
    <x v="1"/>
    <x v="2"/>
    <x v="0"/>
    <x v="1"/>
    <x v="0"/>
    <x v="0"/>
    <x v="0"/>
    <x v="40"/>
    <x v="0"/>
    <x v="1"/>
    <x v="184"/>
    <x v="176"/>
    <x v="129"/>
    <x v="3"/>
    <x v="0"/>
    <x v="1"/>
    <x v="1"/>
    <x v="2"/>
    <x v="3"/>
    <x v="2"/>
    <x v="11"/>
    <x v="15"/>
    <x v="1"/>
    <x v="2"/>
    <x v="28"/>
    <x v="12"/>
    <x v="9"/>
    <x v="1"/>
    <x v="0"/>
    <x v="1"/>
    <x v="1"/>
    <x v="0"/>
  </r>
  <r>
    <x v="8"/>
    <x v="2"/>
    <x v="2"/>
    <x v="185"/>
    <x v="0"/>
    <x v="4"/>
    <x v="3"/>
    <x v="0"/>
    <x v="1"/>
    <x v="0"/>
    <x v="1"/>
    <x v="0"/>
    <x v="0"/>
    <x v="0"/>
    <x v="0"/>
    <x v="1"/>
    <x v="0"/>
    <x v="1"/>
    <x v="0"/>
    <x v="114"/>
    <x v="0"/>
    <x v="6"/>
    <x v="185"/>
    <x v="177"/>
    <x v="130"/>
    <x v="3"/>
    <x v="2"/>
    <x v="0"/>
    <x v="1"/>
    <x v="4"/>
    <x v="3"/>
    <x v="5"/>
    <x v="21"/>
    <x v="4"/>
    <x v="18"/>
    <x v="3"/>
    <x v="46"/>
    <x v="34"/>
    <x v="83"/>
    <x v="2"/>
    <x v="1"/>
    <x v="0"/>
    <x v="1"/>
    <x v="0"/>
  </r>
  <r>
    <x v="8"/>
    <x v="2"/>
    <x v="2"/>
    <x v="186"/>
    <x v="1"/>
    <x v="4"/>
    <x v="3"/>
    <x v="1"/>
    <x v="3"/>
    <x v="0"/>
    <x v="3"/>
    <x v="3"/>
    <x v="0"/>
    <x v="3"/>
    <x v="0"/>
    <x v="1"/>
    <x v="1"/>
    <x v="0"/>
    <x v="0"/>
    <x v="137"/>
    <x v="0"/>
    <x v="19"/>
    <x v="186"/>
    <x v="178"/>
    <x v="67"/>
    <x v="3"/>
    <x v="2"/>
    <x v="1"/>
    <x v="0"/>
    <x v="1"/>
    <x v="3"/>
    <x v="11"/>
    <x v="21"/>
    <x v="4"/>
    <x v="1"/>
    <x v="0"/>
    <x v="25"/>
    <x v="28"/>
    <x v="54"/>
    <x v="3"/>
    <x v="3"/>
    <x v="1"/>
    <x v="3"/>
    <x v="0"/>
  </r>
  <r>
    <x v="8"/>
    <x v="2"/>
    <x v="3"/>
    <x v="187"/>
    <x v="2"/>
    <x v="1"/>
    <x v="1"/>
    <x v="0"/>
    <x v="3"/>
    <x v="0"/>
    <x v="2"/>
    <x v="1"/>
    <x v="1"/>
    <x v="1"/>
    <x v="0"/>
    <x v="0"/>
    <x v="0"/>
    <x v="0"/>
    <x v="0"/>
    <x v="138"/>
    <x v="65"/>
    <x v="14"/>
    <x v="187"/>
    <x v="179"/>
    <x v="131"/>
    <x v="1"/>
    <x v="0"/>
    <x v="0"/>
    <x v="0"/>
    <x v="1"/>
    <x v="3"/>
    <x v="3"/>
    <x v="5"/>
    <x v="8"/>
    <x v="0"/>
    <x v="0"/>
    <x v="25"/>
    <x v="37"/>
    <x v="18"/>
    <x v="1"/>
    <x v="0"/>
    <x v="1"/>
    <x v="1"/>
    <x v="0"/>
  </r>
  <r>
    <x v="8"/>
    <x v="2"/>
    <x v="3"/>
    <x v="188"/>
    <x v="3"/>
    <x v="0"/>
    <x v="3"/>
    <x v="0"/>
    <x v="1"/>
    <x v="0"/>
    <x v="2"/>
    <x v="1"/>
    <x v="1"/>
    <x v="1"/>
    <x v="0"/>
    <x v="1"/>
    <x v="0"/>
    <x v="0"/>
    <x v="0"/>
    <x v="139"/>
    <x v="66"/>
    <x v="16"/>
    <x v="188"/>
    <x v="180"/>
    <x v="43"/>
    <x v="0"/>
    <x v="2"/>
    <x v="0"/>
    <x v="0"/>
    <x v="1"/>
    <x v="0"/>
    <x v="11"/>
    <x v="14"/>
    <x v="4"/>
    <x v="4"/>
    <x v="0"/>
    <x v="13"/>
    <x v="19"/>
    <x v="61"/>
    <x v="3"/>
    <x v="2"/>
    <x v="1"/>
    <x v="0"/>
    <x v="0"/>
  </r>
  <r>
    <x v="8"/>
    <x v="2"/>
    <x v="3"/>
    <x v="189"/>
    <x v="4"/>
    <x v="3"/>
    <x v="2"/>
    <x v="0"/>
    <x v="2"/>
    <x v="0"/>
    <x v="1"/>
    <x v="0"/>
    <x v="0"/>
    <x v="0"/>
    <x v="0"/>
    <x v="0"/>
    <x v="0"/>
    <x v="0"/>
    <x v="0"/>
    <x v="0"/>
    <x v="0"/>
    <x v="9"/>
    <x v="189"/>
    <x v="181"/>
    <x v="52"/>
    <x v="3"/>
    <x v="1"/>
    <x v="0"/>
    <x v="0"/>
    <x v="2"/>
    <x v="2"/>
    <x v="1"/>
    <x v="24"/>
    <x v="16"/>
    <x v="3"/>
    <x v="0"/>
    <x v="34"/>
    <x v="37"/>
    <x v="2"/>
    <x v="6"/>
    <x v="6"/>
    <x v="0"/>
    <x v="4"/>
    <x v="0"/>
  </r>
  <r>
    <x v="8"/>
    <x v="2"/>
    <x v="3"/>
    <x v="190"/>
    <x v="0"/>
    <x v="4"/>
    <x v="1"/>
    <x v="0"/>
    <x v="3"/>
    <x v="0"/>
    <x v="3"/>
    <x v="3"/>
    <x v="1"/>
    <x v="2"/>
    <x v="0"/>
    <x v="0"/>
    <x v="0"/>
    <x v="1"/>
    <x v="0"/>
    <x v="140"/>
    <x v="67"/>
    <x v="12"/>
    <x v="190"/>
    <x v="182"/>
    <x v="132"/>
    <x v="1"/>
    <x v="0"/>
    <x v="0"/>
    <x v="2"/>
    <x v="1"/>
    <x v="0"/>
    <x v="0"/>
    <x v="12"/>
    <x v="17"/>
    <x v="10"/>
    <x v="17"/>
    <x v="13"/>
    <x v="36"/>
    <x v="17"/>
    <x v="3"/>
    <x v="2"/>
    <x v="1"/>
    <x v="0"/>
    <x v="0"/>
  </r>
  <r>
    <x v="8"/>
    <x v="2"/>
    <x v="3"/>
    <x v="191"/>
    <x v="1"/>
    <x v="1"/>
    <x v="1"/>
    <x v="0"/>
    <x v="3"/>
    <x v="0"/>
    <x v="1"/>
    <x v="0"/>
    <x v="0"/>
    <x v="0"/>
    <x v="0"/>
    <x v="1"/>
    <x v="0"/>
    <x v="0"/>
    <x v="0"/>
    <x v="141"/>
    <x v="68"/>
    <x v="15"/>
    <x v="191"/>
    <x v="183"/>
    <x v="133"/>
    <x v="0"/>
    <x v="2"/>
    <x v="0"/>
    <x v="0"/>
    <x v="2"/>
    <x v="3"/>
    <x v="2"/>
    <x v="15"/>
    <x v="4"/>
    <x v="18"/>
    <x v="0"/>
    <x v="16"/>
    <x v="10"/>
    <x v="35"/>
    <x v="7"/>
    <x v="4"/>
    <x v="0"/>
    <x v="2"/>
    <x v="0"/>
  </r>
  <r>
    <x v="8"/>
    <x v="2"/>
    <x v="4"/>
    <x v="192"/>
    <x v="2"/>
    <x v="2"/>
    <x v="4"/>
    <x v="1"/>
    <x v="0"/>
    <x v="0"/>
    <x v="3"/>
    <x v="3"/>
    <x v="1"/>
    <x v="2"/>
    <x v="0"/>
    <x v="0"/>
    <x v="0"/>
    <x v="0"/>
    <x v="0"/>
    <x v="0"/>
    <x v="0"/>
    <x v="9"/>
    <x v="192"/>
    <x v="184"/>
    <x v="134"/>
    <x v="2"/>
    <x v="1"/>
    <x v="0"/>
    <x v="1"/>
    <x v="4"/>
    <x v="1"/>
    <x v="6"/>
    <x v="18"/>
    <x v="3"/>
    <x v="15"/>
    <x v="6"/>
    <x v="32"/>
    <x v="33"/>
    <x v="52"/>
    <x v="5"/>
    <x v="5"/>
    <x v="2"/>
    <x v="6"/>
    <x v="0"/>
  </r>
  <r>
    <x v="8"/>
    <x v="2"/>
    <x v="4"/>
    <x v="193"/>
    <x v="3"/>
    <x v="1"/>
    <x v="2"/>
    <x v="0"/>
    <x v="2"/>
    <x v="0"/>
    <x v="3"/>
    <x v="3"/>
    <x v="1"/>
    <x v="2"/>
    <x v="0"/>
    <x v="0"/>
    <x v="0"/>
    <x v="0"/>
    <x v="0"/>
    <x v="142"/>
    <x v="10"/>
    <x v="19"/>
    <x v="193"/>
    <x v="185"/>
    <x v="135"/>
    <x v="1"/>
    <x v="0"/>
    <x v="0"/>
    <x v="0"/>
    <x v="1"/>
    <x v="2"/>
    <x v="2"/>
    <x v="8"/>
    <x v="0"/>
    <x v="16"/>
    <x v="0"/>
    <x v="30"/>
    <x v="7"/>
    <x v="41"/>
    <x v="0"/>
    <x v="0"/>
    <x v="1"/>
    <x v="1"/>
    <x v="0"/>
  </r>
  <r>
    <x v="8"/>
    <x v="2"/>
    <x v="4"/>
    <x v="194"/>
    <x v="4"/>
    <x v="2"/>
    <x v="4"/>
    <x v="0"/>
    <x v="4"/>
    <x v="0"/>
    <x v="0"/>
    <x v="0"/>
    <x v="0"/>
    <x v="0"/>
    <x v="0"/>
    <x v="0"/>
    <x v="0"/>
    <x v="0"/>
    <x v="0"/>
    <x v="0"/>
    <x v="0"/>
    <x v="11"/>
    <x v="194"/>
    <x v="186"/>
    <x v="91"/>
    <x v="0"/>
    <x v="2"/>
    <x v="0"/>
    <x v="1"/>
    <x v="4"/>
    <x v="3"/>
    <x v="8"/>
    <x v="16"/>
    <x v="4"/>
    <x v="10"/>
    <x v="10"/>
    <x v="47"/>
    <x v="5"/>
    <x v="19"/>
    <x v="3"/>
    <x v="2"/>
    <x v="0"/>
    <x v="3"/>
    <x v="0"/>
  </r>
  <r>
    <x v="9"/>
    <x v="3"/>
    <x v="0"/>
    <x v="195"/>
    <x v="0"/>
    <x v="2"/>
    <x v="4"/>
    <x v="1"/>
    <x v="0"/>
    <x v="0"/>
    <x v="0"/>
    <x v="2"/>
    <x v="1"/>
    <x v="0"/>
    <x v="0"/>
    <x v="2"/>
    <x v="0"/>
    <x v="1"/>
    <x v="0"/>
    <x v="14"/>
    <x v="0"/>
    <x v="1"/>
    <x v="195"/>
    <x v="187"/>
    <x v="34"/>
    <x v="1"/>
    <x v="2"/>
    <x v="2"/>
    <x v="0"/>
    <x v="1"/>
    <x v="3"/>
    <x v="7"/>
    <x v="32"/>
    <x v="4"/>
    <x v="11"/>
    <x v="0"/>
    <x v="3"/>
    <x v="39"/>
    <x v="17"/>
    <x v="3"/>
    <x v="3"/>
    <x v="2"/>
    <x v="0"/>
    <x v="0"/>
  </r>
  <r>
    <x v="9"/>
    <x v="3"/>
    <x v="0"/>
    <x v="196"/>
    <x v="1"/>
    <x v="3"/>
    <x v="2"/>
    <x v="0"/>
    <x v="2"/>
    <x v="0"/>
    <x v="3"/>
    <x v="1"/>
    <x v="1"/>
    <x v="1"/>
    <x v="0"/>
    <x v="1"/>
    <x v="0"/>
    <x v="0"/>
    <x v="1"/>
    <x v="143"/>
    <x v="69"/>
    <x v="14"/>
    <x v="196"/>
    <x v="8"/>
    <x v="136"/>
    <x v="1"/>
    <x v="2"/>
    <x v="1"/>
    <x v="1"/>
    <x v="4"/>
    <x v="1"/>
    <x v="3"/>
    <x v="8"/>
    <x v="4"/>
    <x v="1"/>
    <x v="1"/>
    <x v="12"/>
    <x v="5"/>
    <x v="56"/>
    <x v="1"/>
    <x v="1"/>
    <x v="1"/>
    <x v="2"/>
    <x v="0"/>
  </r>
  <r>
    <x v="9"/>
    <x v="3"/>
    <x v="1"/>
    <x v="197"/>
    <x v="2"/>
    <x v="3"/>
    <x v="2"/>
    <x v="0"/>
    <x v="2"/>
    <x v="0"/>
    <x v="2"/>
    <x v="1"/>
    <x v="1"/>
    <x v="1"/>
    <x v="0"/>
    <x v="0"/>
    <x v="1"/>
    <x v="0"/>
    <x v="0"/>
    <x v="144"/>
    <x v="70"/>
    <x v="1"/>
    <x v="197"/>
    <x v="188"/>
    <x v="45"/>
    <x v="3"/>
    <x v="1"/>
    <x v="0"/>
    <x v="0"/>
    <x v="0"/>
    <x v="3"/>
    <x v="3"/>
    <x v="13"/>
    <x v="16"/>
    <x v="4"/>
    <x v="0"/>
    <x v="24"/>
    <x v="33"/>
    <x v="35"/>
    <x v="2"/>
    <x v="1"/>
    <x v="1"/>
    <x v="2"/>
    <x v="0"/>
  </r>
  <r>
    <x v="9"/>
    <x v="3"/>
    <x v="1"/>
    <x v="198"/>
    <x v="3"/>
    <x v="0"/>
    <x v="3"/>
    <x v="1"/>
    <x v="3"/>
    <x v="0"/>
    <x v="1"/>
    <x v="0"/>
    <x v="0"/>
    <x v="0"/>
    <x v="0"/>
    <x v="1"/>
    <x v="0"/>
    <x v="0"/>
    <x v="0"/>
    <x v="145"/>
    <x v="17"/>
    <x v="19"/>
    <x v="198"/>
    <x v="189"/>
    <x v="137"/>
    <x v="1"/>
    <x v="2"/>
    <x v="1"/>
    <x v="1"/>
    <x v="0"/>
    <x v="3"/>
    <x v="3"/>
    <x v="18"/>
    <x v="4"/>
    <x v="1"/>
    <x v="6"/>
    <x v="38"/>
    <x v="26"/>
    <x v="62"/>
    <x v="1"/>
    <x v="1"/>
    <x v="1"/>
    <x v="2"/>
    <x v="0"/>
  </r>
  <r>
    <x v="9"/>
    <x v="3"/>
    <x v="1"/>
    <x v="199"/>
    <x v="4"/>
    <x v="0"/>
    <x v="0"/>
    <x v="1"/>
    <x v="1"/>
    <x v="0"/>
    <x v="0"/>
    <x v="0"/>
    <x v="0"/>
    <x v="0"/>
    <x v="0"/>
    <x v="2"/>
    <x v="0"/>
    <x v="0"/>
    <x v="0"/>
    <x v="0"/>
    <x v="0"/>
    <x v="19"/>
    <x v="199"/>
    <x v="190"/>
    <x v="68"/>
    <x v="2"/>
    <x v="2"/>
    <x v="0"/>
    <x v="0"/>
    <x v="2"/>
    <x v="2"/>
    <x v="2"/>
    <x v="36"/>
    <x v="4"/>
    <x v="9"/>
    <x v="0"/>
    <x v="42"/>
    <x v="1"/>
    <x v="23"/>
    <x v="0"/>
    <x v="0"/>
    <x v="1"/>
    <x v="1"/>
    <x v="0"/>
  </r>
  <r>
    <x v="9"/>
    <x v="3"/>
    <x v="1"/>
    <x v="200"/>
    <x v="0"/>
    <x v="0"/>
    <x v="0"/>
    <x v="0"/>
    <x v="0"/>
    <x v="0"/>
    <x v="0"/>
    <x v="2"/>
    <x v="0"/>
    <x v="1"/>
    <x v="0"/>
    <x v="1"/>
    <x v="1"/>
    <x v="1"/>
    <x v="0"/>
    <x v="93"/>
    <x v="34"/>
    <x v="7"/>
    <x v="200"/>
    <x v="191"/>
    <x v="79"/>
    <x v="1"/>
    <x v="2"/>
    <x v="0"/>
    <x v="2"/>
    <x v="1"/>
    <x v="2"/>
    <x v="2"/>
    <x v="18"/>
    <x v="4"/>
    <x v="3"/>
    <x v="6"/>
    <x v="30"/>
    <x v="3"/>
    <x v="2"/>
    <x v="0"/>
    <x v="2"/>
    <x v="0"/>
    <x v="3"/>
    <x v="0"/>
  </r>
  <r>
    <x v="9"/>
    <x v="3"/>
    <x v="1"/>
    <x v="201"/>
    <x v="1"/>
    <x v="0"/>
    <x v="0"/>
    <x v="1"/>
    <x v="1"/>
    <x v="0"/>
    <x v="1"/>
    <x v="0"/>
    <x v="0"/>
    <x v="0"/>
    <x v="0"/>
    <x v="1"/>
    <x v="0"/>
    <x v="0"/>
    <x v="0"/>
    <x v="27"/>
    <x v="0"/>
    <x v="15"/>
    <x v="201"/>
    <x v="192"/>
    <x v="16"/>
    <x v="0"/>
    <x v="0"/>
    <x v="2"/>
    <x v="1"/>
    <x v="1"/>
    <x v="1"/>
    <x v="2"/>
    <x v="23"/>
    <x v="12"/>
    <x v="4"/>
    <x v="13"/>
    <x v="25"/>
    <x v="18"/>
    <x v="41"/>
    <x v="1"/>
    <x v="0"/>
    <x v="1"/>
    <x v="1"/>
    <x v="0"/>
  </r>
  <r>
    <x v="9"/>
    <x v="3"/>
    <x v="2"/>
    <x v="202"/>
    <x v="2"/>
    <x v="2"/>
    <x v="0"/>
    <x v="0"/>
    <x v="0"/>
    <x v="0"/>
    <x v="3"/>
    <x v="1"/>
    <x v="0"/>
    <x v="2"/>
    <x v="0"/>
    <x v="1"/>
    <x v="0"/>
    <x v="0"/>
    <x v="0"/>
    <x v="146"/>
    <x v="0"/>
    <x v="16"/>
    <x v="202"/>
    <x v="193"/>
    <x v="39"/>
    <x v="1"/>
    <x v="2"/>
    <x v="1"/>
    <x v="0"/>
    <x v="1"/>
    <x v="2"/>
    <x v="11"/>
    <x v="7"/>
    <x v="4"/>
    <x v="1"/>
    <x v="0"/>
    <x v="1"/>
    <x v="7"/>
    <x v="84"/>
    <x v="5"/>
    <x v="3"/>
    <x v="0"/>
    <x v="6"/>
    <x v="0"/>
  </r>
  <r>
    <x v="9"/>
    <x v="3"/>
    <x v="2"/>
    <x v="203"/>
    <x v="3"/>
    <x v="0"/>
    <x v="0"/>
    <x v="0"/>
    <x v="0"/>
    <x v="0"/>
    <x v="2"/>
    <x v="1"/>
    <x v="1"/>
    <x v="1"/>
    <x v="0"/>
    <x v="1"/>
    <x v="0"/>
    <x v="0"/>
    <x v="1"/>
    <x v="141"/>
    <x v="0"/>
    <x v="16"/>
    <x v="203"/>
    <x v="194"/>
    <x v="3"/>
    <x v="0"/>
    <x v="1"/>
    <x v="2"/>
    <x v="2"/>
    <x v="2"/>
    <x v="1"/>
    <x v="0"/>
    <x v="3"/>
    <x v="3"/>
    <x v="11"/>
    <x v="8"/>
    <x v="22"/>
    <x v="33"/>
    <x v="46"/>
    <x v="3"/>
    <x v="3"/>
    <x v="1"/>
    <x v="3"/>
    <x v="0"/>
  </r>
  <r>
    <x v="9"/>
    <x v="3"/>
    <x v="2"/>
    <x v="204"/>
    <x v="4"/>
    <x v="3"/>
    <x v="2"/>
    <x v="0"/>
    <x v="2"/>
    <x v="0"/>
    <x v="0"/>
    <x v="2"/>
    <x v="0"/>
    <x v="1"/>
    <x v="0"/>
    <x v="2"/>
    <x v="1"/>
    <x v="0"/>
    <x v="0"/>
    <x v="147"/>
    <x v="0"/>
    <x v="14"/>
    <x v="204"/>
    <x v="195"/>
    <x v="68"/>
    <x v="2"/>
    <x v="2"/>
    <x v="0"/>
    <x v="1"/>
    <x v="4"/>
    <x v="2"/>
    <x v="8"/>
    <x v="9"/>
    <x v="4"/>
    <x v="19"/>
    <x v="6"/>
    <x v="41"/>
    <x v="4"/>
    <x v="57"/>
    <x v="7"/>
    <x v="4"/>
    <x v="0"/>
    <x v="2"/>
    <x v="0"/>
  </r>
  <r>
    <x v="9"/>
    <x v="3"/>
    <x v="2"/>
    <x v="205"/>
    <x v="0"/>
    <x v="2"/>
    <x v="4"/>
    <x v="0"/>
    <x v="4"/>
    <x v="0"/>
    <x v="0"/>
    <x v="2"/>
    <x v="1"/>
    <x v="0"/>
    <x v="0"/>
    <x v="1"/>
    <x v="0"/>
    <x v="0"/>
    <x v="0"/>
    <x v="148"/>
    <x v="0"/>
    <x v="17"/>
    <x v="205"/>
    <x v="196"/>
    <x v="5"/>
    <x v="1"/>
    <x v="0"/>
    <x v="2"/>
    <x v="1"/>
    <x v="2"/>
    <x v="2"/>
    <x v="0"/>
    <x v="0"/>
    <x v="10"/>
    <x v="4"/>
    <x v="3"/>
    <x v="43"/>
    <x v="2"/>
    <x v="17"/>
    <x v="3"/>
    <x v="3"/>
    <x v="1"/>
    <x v="3"/>
    <x v="0"/>
  </r>
  <r>
    <x v="9"/>
    <x v="3"/>
    <x v="2"/>
    <x v="206"/>
    <x v="1"/>
    <x v="3"/>
    <x v="2"/>
    <x v="0"/>
    <x v="2"/>
    <x v="0"/>
    <x v="2"/>
    <x v="2"/>
    <x v="0"/>
    <x v="1"/>
    <x v="0"/>
    <x v="0"/>
    <x v="0"/>
    <x v="0"/>
    <x v="0"/>
    <x v="149"/>
    <x v="71"/>
    <x v="13"/>
    <x v="206"/>
    <x v="197"/>
    <x v="17"/>
    <x v="3"/>
    <x v="2"/>
    <x v="0"/>
    <x v="0"/>
    <x v="4"/>
    <x v="0"/>
    <x v="7"/>
    <x v="24"/>
    <x v="4"/>
    <x v="7"/>
    <x v="0"/>
    <x v="9"/>
    <x v="0"/>
    <x v="24"/>
    <x v="2"/>
    <x v="4"/>
    <x v="0"/>
    <x v="2"/>
    <x v="0"/>
  </r>
  <r>
    <x v="9"/>
    <x v="3"/>
    <x v="3"/>
    <x v="207"/>
    <x v="2"/>
    <x v="4"/>
    <x v="3"/>
    <x v="1"/>
    <x v="3"/>
    <x v="0"/>
    <x v="3"/>
    <x v="3"/>
    <x v="1"/>
    <x v="2"/>
    <x v="0"/>
    <x v="1"/>
    <x v="0"/>
    <x v="0"/>
    <x v="1"/>
    <x v="150"/>
    <x v="72"/>
    <x v="0"/>
    <x v="207"/>
    <x v="198"/>
    <x v="138"/>
    <x v="0"/>
    <x v="0"/>
    <x v="0"/>
    <x v="2"/>
    <x v="0"/>
    <x v="1"/>
    <x v="9"/>
    <x v="15"/>
    <x v="14"/>
    <x v="10"/>
    <x v="10"/>
    <x v="5"/>
    <x v="23"/>
    <x v="10"/>
    <x v="3"/>
    <x v="3"/>
    <x v="2"/>
    <x v="0"/>
    <x v="0"/>
  </r>
  <r>
    <x v="9"/>
    <x v="3"/>
    <x v="3"/>
    <x v="208"/>
    <x v="3"/>
    <x v="1"/>
    <x v="1"/>
    <x v="0"/>
    <x v="3"/>
    <x v="0"/>
    <x v="1"/>
    <x v="0"/>
    <x v="0"/>
    <x v="0"/>
    <x v="0"/>
    <x v="0"/>
    <x v="0"/>
    <x v="0"/>
    <x v="0"/>
    <x v="151"/>
    <x v="0"/>
    <x v="7"/>
    <x v="208"/>
    <x v="199"/>
    <x v="139"/>
    <x v="1"/>
    <x v="1"/>
    <x v="1"/>
    <x v="2"/>
    <x v="3"/>
    <x v="2"/>
    <x v="0"/>
    <x v="22"/>
    <x v="5"/>
    <x v="1"/>
    <x v="8"/>
    <x v="33"/>
    <x v="37"/>
    <x v="10"/>
    <x v="7"/>
    <x v="4"/>
    <x v="0"/>
    <x v="2"/>
    <x v="0"/>
  </r>
  <r>
    <x v="9"/>
    <x v="3"/>
    <x v="3"/>
    <x v="209"/>
    <x v="4"/>
    <x v="3"/>
    <x v="2"/>
    <x v="0"/>
    <x v="2"/>
    <x v="0"/>
    <x v="0"/>
    <x v="2"/>
    <x v="0"/>
    <x v="1"/>
    <x v="0"/>
    <x v="1"/>
    <x v="0"/>
    <x v="1"/>
    <x v="1"/>
    <x v="0"/>
    <x v="73"/>
    <x v="16"/>
    <x v="209"/>
    <x v="200"/>
    <x v="140"/>
    <x v="2"/>
    <x v="2"/>
    <x v="0"/>
    <x v="1"/>
    <x v="2"/>
    <x v="1"/>
    <x v="3"/>
    <x v="14"/>
    <x v="4"/>
    <x v="18"/>
    <x v="3"/>
    <x v="42"/>
    <x v="25"/>
    <x v="18"/>
    <x v="7"/>
    <x v="4"/>
    <x v="0"/>
    <x v="2"/>
    <x v="0"/>
  </r>
  <r>
    <x v="9"/>
    <x v="3"/>
    <x v="3"/>
    <x v="210"/>
    <x v="0"/>
    <x v="2"/>
    <x v="4"/>
    <x v="1"/>
    <x v="0"/>
    <x v="0"/>
    <x v="1"/>
    <x v="0"/>
    <x v="0"/>
    <x v="0"/>
    <x v="0"/>
    <x v="1"/>
    <x v="0"/>
    <x v="1"/>
    <x v="0"/>
    <x v="152"/>
    <x v="0"/>
    <x v="5"/>
    <x v="210"/>
    <x v="201"/>
    <x v="20"/>
    <x v="2"/>
    <x v="1"/>
    <x v="0"/>
    <x v="0"/>
    <x v="4"/>
    <x v="0"/>
    <x v="5"/>
    <x v="14"/>
    <x v="16"/>
    <x v="9"/>
    <x v="0"/>
    <x v="15"/>
    <x v="24"/>
    <x v="74"/>
    <x v="0"/>
    <x v="2"/>
    <x v="1"/>
    <x v="0"/>
    <x v="0"/>
  </r>
  <r>
    <x v="9"/>
    <x v="3"/>
    <x v="3"/>
    <x v="211"/>
    <x v="1"/>
    <x v="2"/>
    <x v="4"/>
    <x v="1"/>
    <x v="0"/>
    <x v="0"/>
    <x v="1"/>
    <x v="0"/>
    <x v="0"/>
    <x v="0"/>
    <x v="0"/>
    <x v="1"/>
    <x v="1"/>
    <x v="1"/>
    <x v="0"/>
    <x v="153"/>
    <x v="0"/>
    <x v="13"/>
    <x v="211"/>
    <x v="198"/>
    <x v="141"/>
    <x v="1"/>
    <x v="1"/>
    <x v="2"/>
    <x v="2"/>
    <x v="4"/>
    <x v="3"/>
    <x v="6"/>
    <x v="22"/>
    <x v="11"/>
    <x v="8"/>
    <x v="5"/>
    <x v="44"/>
    <x v="20"/>
    <x v="85"/>
    <x v="0"/>
    <x v="2"/>
    <x v="1"/>
    <x v="0"/>
    <x v="0"/>
  </r>
  <r>
    <x v="9"/>
    <x v="3"/>
    <x v="4"/>
    <x v="212"/>
    <x v="2"/>
    <x v="0"/>
    <x v="3"/>
    <x v="0"/>
    <x v="1"/>
    <x v="0"/>
    <x v="1"/>
    <x v="0"/>
    <x v="0"/>
    <x v="0"/>
    <x v="0"/>
    <x v="1"/>
    <x v="0"/>
    <x v="1"/>
    <x v="1"/>
    <x v="154"/>
    <x v="0"/>
    <x v="15"/>
    <x v="212"/>
    <x v="202"/>
    <x v="55"/>
    <x v="3"/>
    <x v="2"/>
    <x v="1"/>
    <x v="0"/>
    <x v="1"/>
    <x v="2"/>
    <x v="14"/>
    <x v="3"/>
    <x v="4"/>
    <x v="1"/>
    <x v="0"/>
    <x v="13"/>
    <x v="37"/>
    <x v="78"/>
    <x v="1"/>
    <x v="1"/>
    <x v="0"/>
    <x v="1"/>
    <x v="0"/>
  </r>
  <r>
    <x v="9"/>
    <x v="3"/>
    <x v="4"/>
    <x v="213"/>
    <x v="3"/>
    <x v="1"/>
    <x v="2"/>
    <x v="0"/>
    <x v="2"/>
    <x v="0"/>
    <x v="2"/>
    <x v="1"/>
    <x v="0"/>
    <x v="2"/>
    <x v="0"/>
    <x v="2"/>
    <x v="0"/>
    <x v="1"/>
    <x v="0"/>
    <x v="121"/>
    <x v="0"/>
    <x v="14"/>
    <x v="213"/>
    <x v="136"/>
    <x v="142"/>
    <x v="2"/>
    <x v="1"/>
    <x v="0"/>
    <x v="2"/>
    <x v="0"/>
    <x v="1"/>
    <x v="6"/>
    <x v="20"/>
    <x v="2"/>
    <x v="16"/>
    <x v="10"/>
    <x v="37"/>
    <x v="34"/>
    <x v="15"/>
    <x v="1"/>
    <x v="1"/>
    <x v="0"/>
    <x v="1"/>
    <x v="0"/>
  </r>
  <r>
    <x v="9"/>
    <x v="3"/>
    <x v="4"/>
    <x v="214"/>
    <x v="4"/>
    <x v="0"/>
    <x v="0"/>
    <x v="0"/>
    <x v="1"/>
    <x v="1"/>
    <x v="0"/>
    <x v="2"/>
    <x v="1"/>
    <x v="0"/>
    <x v="0"/>
    <x v="2"/>
    <x v="0"/>
    <x v="0"/>
    <x v="0"/>
    <x v="155"/>
    <x v="41"/>
    <x v="13"/>
    <x v="214"/>
    <x v="203"/>
    <x v="143"/>
    <x v="1"/>
    <x v="1"/>
    <x v="0"/>
    <x v="2"/>
    <x v="1"/>
    <x v="1"/>
    <x v="3"/>
    <x v="14"/>
    <x v="16"/>
    <x v="3"/>
    <x v="16"/>
    <x v="3"/>
    <x v="35"/>
    <x v="26"/>
    <x v="0"/>
    <x v="2"/>
    <x v="1"/>
    <x v="1"/>
    <x v="1"/>
  </r>
  <r>
    <x v="9"/>
    <x v="3"/>
    <x v="4"/>
    <x v="215"/>
    <x v="0"/>
    <x v="0"/>
    <x v="0"/>
    <x v="0"/>
    <x v="0"/>
    <x v="0"/>
    <x v="1"/>
    <x v="0"/>
    <x v="0"/>
    <x v="0"/>
    <x v="0"/>
    <x v="1"/>
    <x v="1"/>
    <x v="0"/>
    <x v="0"/>
    <x v="156"/>
    <x v="0"/>
    <x v="13"/>
    <x v="215"/>
    <x v="204"/>
    <x v="70"/>
    <x v="1"/>
    <x v="1"/>
    <x v="1"/>
    <x v="2"/>
    <x v="2"/>
    <x v="2"/>
    <x v="2"/>
    <x v="10"/>
    <x v="11"/>
    <x v="1"/>
    <x v="10"/>
    <x v="11"/>
    <x v="11"/>
    <x v="49"/>
    <x v="1"/>
    <x v="0"/>
    <x v="0"/>
    <x v="0"/>
    <x v="0"/>
  </r>
  <r>
    <x v="9"/>
    <x v="3"/>
    <x v="4"/>
    <x v="216"/>
    <x v="1"/>
    <x v="3"/>
    <x v="2"/>
    <x v="0"/>
    <x v="2"/>
    <x v="0"/>
    <x v="3"/>
    <x v="3"/>
    <x v="1"/>
    <x v="2"/>
    <x v="0"/>
    <x v="1"/>
    <x v="1"/>
    <x v="0"/>
    <x v="0"/>
    <x v="157"/>
    <x v="0"/>
    <x v="19"/>
    <x v="216"/>
    <x v="205"/>
    <x v="101"/>
    <x v="0"/>
    <x v="1"/>
    <x v="2"/>
    <x v="2"/>
    <x v="0"/>
    <x v="1"/>
    <x v="5"/>
    <x v="0"/>
    <x v="9"/>
    <x v="14"/>
    <x v="11"/>
    <x v="27"/>
    <x v="37"/>
    <x v="9"/>
    <x v="1"/>
    <x v="0"/>
    <x v="1"/>
    <x v="1"/>
    <x v="0"/>
  </r>
  <r>
    <x v="10"/>
    <x v="3"/>
    <x v="0"/>
    <x v="217"/>
    <x v="2"/>
    <x v="1"/>
    <x v="1"/>
    <x v="1"/>
    <x v="2"/>
    <x v="0"/>
    <x v="3"/>
    <x v="1"/>
    <x v="0"/>
    <x v="2"/>
    <x v="0"/>
    <x v="1"/>
    <x v="1"/>
    <x v="0"/>
    <x v="0"/>
    <x v="0"/>
    <x v="0"/>
    <x v="10"/>
    <x v="217"/>
    <x v="206"/>
    <x v="11"/>
    <x v="1"/>
    <x v="1"/>
    <x v="2"/>
    <x v="1"/>
    <x v="4"/>
    <x v="2"/>
    <x v="5"/>
    <x v="8"/>
    <x v="5"/>
    <x v="14"/>
    <x v="3"/>
    <x v="24"/>
    <x v="1"/>
    <x v="31"/>
    <x v="0"/>
    <x v="0"/>
    <x v="1"/>
    <x v="1"/>
    <x v="0"/>
  </r>
  <r>
    <x v="10"/>
    <x v="3"/>
    <x v="0"/>
    <x v="218"/>
    <x v="3"/>
    <x v="2"/>
    <x v="4"/>
    <x v="1"/>
    <x v="0"/>
    <x v="0"/>
    <x v="3"/>
    <x v="3"/>
    <x v="1"/>
    <x v="2"/>
    <x v="0"/>
    <x v="0"/>
    <x v="0"/>
    <x v="1"/>
    <x v="0"/>
    <x v="0"/>
    <x v="0"/>
    <x v="14"/>
    <x v="218"/>
    <x v="207"/>
    <x v="144"/>
    <x v="1"/>
    <x v="2"/>
    <x v="0"/>
    <x v="1"/>
    <x v="2"/>
    <x v="1"/>
    <x v="0"/>
    <x v="15"/>
    <x v="4"/>
    <x v="6"/>
    <x v="2"/>
    <x v="11"/>
    <x v="15"/>
    <x v="36"/>
    <x v="5"/>
    <x v="5"/>
    <x v="2"/>
    <x v="6"/>
    <x v="0"/>
  </r>
  <r>
    <x v="10"/>
    <x v="3"/>
    <x v="0"/>
    <x v="219"/>
    <x v="4"/>
    <x v="0"/>
    <x v="3"/>
    <x v="1"/>
    <x v="3"/>
    <x v="0"/>
    <x v="0"/>
    <x v="2"/>
    <x v="0"/>
    <x v="1"/>
    <x v="0"/>
    <x v="1"/>
    <x v="0"/>
    <x v="1"/>
    <x v="0"/>
    <x v="158"/>
    <x v="0"/>
    <x v="17"/>
    <x v="219"/>
    <x v="208"/>
    <x v="55"/>
    <x v="3"/>
    <x v="2"/>
    <x v="2"/>
    <x v="2"/>
    <x v="2"/>
    <x v="3"/>
    <x v="2"/>
    <x v="24"/>
    <x v="4"/>
    <x v="10"/>
    <x v="6"/>
    <x v="3"/>
    <x v="35"/>
    <x v="86"/>
    <x v="0"/>
    <x v="0"/>
    <x v="1"/>
    <x v="1"/>
    <x v="0"/>
  </r>
  <r>
    <x v="10"/>
    <x v="3"/>
    <x v="0"/>
    <x v="220"/>
    <x v="0"/>
    <x v="1"/>
    <x v="1"/>
    <x v="0"/>
    <x v="3"/>
    <x v="0"/>
    <x v="1"/>
    <x v="0"/>
    <x v="0"/>
    <x v="0"/>
    <x v="0"/>
    <x v="1"/>
    <x v="0"/>
    <x v="0"/>
    <x v="0"/>
    <x v="0"/>
    <x v="0"/>
    <x v="12"/>
    <x v="220"/>
    <x v="61"/>
    <x v="145"/>
    <x v="1"/>
    <x v="0"/>
    <x v="0"/>
    <x v="1"/>
    <x v="1"/>
    <x v="2"/>
    <x v="0"/>
    <x v="12"/>
    <x v="7"/>
    <x v="18"/>
    <x v="2"/>
    <x v="3"/>
    <x v="11"/>
    <x v="64"/>
    <x v="7"/>
    <x v="4"/>
    <x v="0"/>
    <x v="2"/>
    <x v="0"/>
  </r>
  <r>
    <x v="10"/>
    <x v="3"/>
    <x v="0"/>
    <x v="221"/>
    <x v="1"/>
    <x v="2"/>
    <x v="4"/>
    <x v="1"/>
    <x v="0"/>
    <x v="0"/>
    <x v="1"/>
    <x v="0"/>
    <x v="0"/>
    <x v="0"/>
    <x v="0"/>
    <x v="0"/>
    <x v="0"/>
    <x v="0"/>
    <x v="0"/>
    <x v="159"/>
    <x v="0"/>
    <x v="4"/>
    <x v="221"/>
    <x v="209"/>
    <x v="146"/>
    <x v="2"/>
    <x v="0"/>
    <x v="1"/>
    <x v="1"/>
    <x v="1"/>
    <x v="3"/>
    <x v="3"/>
    <x v="33"/>
    <x v="15"/>
    <x v="1"/>
    <x v="6"/>
    <x v="30"/>
    <x v="38"/>
    <x v="44"/>
    <x v="0"/>
    <x v="2"/>
    <x v="1"/>
    <x v="0"/>
    <x v="0"/>
  </r>
  <r>
    <x v="10"/>
    <x v="3"/>
    <x v="1"/>
    <x v="222"/>
    <x v="2"/>
    <x v="3"/>
    <x v="2"/>
    <x v="0"/>
    <x v="2"/>
    <x v="0"/>
    <x v="1"/>
    <x v="0"/>
    <x v="0"/>
    <x v="0"/>
    <x v="0"/>
    <x v="1"/>
    <x v="0"/>
    <x v="0"/>
    <x v="0"/>
    <x v="160"/>
    <x v="0"/>
    <x v="12"/>
    <x v="222"/>
    <x v="210"/>
    <x v="47"/>
    <x v="0"/>
    <x v="1"/>
    <x v="2"/>
    <x v="0"/>
    <x v="3"/>
    <x v="1"/>
    <x v="2"/>
    <x v="19"/>
    <x v="2"/>
    <x v="10"/>
    <x v="0"/>
    <x v="38"/>
    <x v="10"/>
    <x v="35"/>
    <x v="6"/>
    <x v="6"/>
    <x v="0"/>
    <x v="4"/>
    <x v="0"/>
  </r>
  <r>
    <x v="10"/>
    <x v="3"/>
    <x v="1"/>
    <x v="223"/>
    <x v="3"/>
    <x v="4"/>
    <x v="1"/>
    <x v="1"/>
    <x v="2"/>
    <x v="0"/>
    <x v="0"/>
    <x v="0"/>
    <x v="0"/>
    <x v="0"/>
    <x v="0"/>
    <x v="1"/>
    <x v="0"/>
    <x v="0"/>
    <x v="0"/>
    <x v="161"/>
    <x v="0"/>
    <x v="3"/>
    <x v="223"/>
    <x v="211"/>
    <x v="147"/>
    <x v="0"/>
    <x v="0"/>
    <x v="2"/>
    <x v="1"/>
    <x v="2"/>
    <x v="0"/>
    <x v="7"/>
    <x v="0"/>
    <x v="10"/>
    <x v="2"/>
    <x v="13"/>
    <x v="43"/>
    <x v="19"/>
    <x v="38"/>
    <x v="1"/>
    <x v="4"/>
    <x v="1"/>
    <x v="4"/>
    <x v="0"/>
  </r>
  <r>
    <x v="10"/>
    <x v="3"/>
    <x v="1"/>
    <x v="224"/>
    <x v="4"/>
    <x v="4"/>
    <x v="1"/>
    <x v="1"/>
    <x v="2"/>
    <x v="0"/>
    <x v="3"/>
    <x v="3"/>
    <x v="0"/>
    <x v="3"/>
    <x v="0"/>
    <x v="1"/>
    <x v="1"/>
    <x v="0"/>
    <x v="1"/>
    <x v="40"/>
    <x v="74"/>
    <x v="9"/>
    <x v="224"/>
    <x v="212"/>
    <x v="81"/>
    <x v="2"/>
    <x v="2"/>
    <x v="2"/>
    <x v="1"/>
    <x v="3"/>
    <x v="3"/>
    <x v="5"/>
    <x v="2"/>
    <x v="4"/>
    <x v="13"/>
    <x v="10"/>
    <x v="38"/>
    <x v="28"/>
    <x v="27"/>
    <x v="3"/>
    <x v="2"/>
    <x v="1"/>
    <x v="0"/>
    <x v="0"/>
  </r>
  <r>
    <x v="10"/>
    <x v="3"/>
    <x v="1"/>
    <x v="225"/>
    <x v="0"/>
    <x v="3"/>
    <x v="2"/>
    <x v="0"/>
    <x v="2"/>
    <x v="0"/>
    <x v="0"/>
    <x v="2"/>
    <x v="1"/>
    <x v="0"/>
    <x v="0"/>
    <x v="0"/>
    <x v="0"/>
    <x v="1"/>
    <x v="0"/>
    <x v="162"/>
    <x v="0"/>
    <x v="4"/>
    <x v="225"/>
    <x v="98"/>
    <x v="148"/>
    <x v="3"/>
    <x v="2"/>
    <x v="0"/>
    <x v="0"/>
    <x v="0"/>
    <x v="1"/>
    <x v="2"/>
    <x v="19"/>
    <x v="4"/>
    <x v="10"/>
    <x v="0"/>
    <x v="6"/>
    <x v="32"/>
    <x v="56"/>
    <x v="7"/>
    <x v="4"/>
    <x v="1"/>
    <x v="4"/>
    <x v="0"/>
  </r>
  <r>
    <x v="10"/>
    <x v="3"/>
    <x v="1"/>
    <x v="226"/>
    <x v="1"/>
    <x v="4"/>
    <x v="3"/>
    <x v="0"/>
    <x v="1"/>
    <x v="0"/>
    <x v="2"/>
    <x v="1"/>
    <x v="1"/>
    <x v="1"/>
    <x v="0"/>
    <x v="2"/>
    <x v="0"/>
    <x v="0"/>
    <x v="0"/>
    <x v="163"/>
    <x v="48"/>
    <x v="12"/>
    <x v="226"/>
    <x v="213"/>
    <x v="149"/>
    <x v="0"/>
    <x v="2"/>
    <x v="1"/>
    <x v="0"/>
    <x v="0"/>
    <x v="1"/>
    <x v="7"/>
    <x v="8"/>
    <x v="4"/>
    <x v="1"/>
    <x v="0"/>
    <x v="26"/>
    <x v="4"/>
    <x v="36"/>
    <x v="0"/>
    <x v="2"/>
    <x v="1"/>
    <x v="0"/>
    <x v="0"/>
  </r>
  <r>
    <x v="10"/>
    <x v="3"/>
    <x v="2"/>
    <x v="227"/>
    <x v="2"/>
    <x v="0"/>
    <x v="3"/>
    <x v="1"/>
    <x v="3"/>
    <x v="0"/>
    <x v="2"/>
    <x v="2"/>
    <x v="0"/>
    <x v="1"/>
    <x v="0"/>
    <x v="1"/>
    <x v="0"/>
    <x v="0"/>
    <x v="0"/>
    <x v="97"/>
    <x v="0"/>
    <x v="7"/>
    <x v="227"/>
    <x v="214"/>
    <x v="147"/>
    <x v="3"/>
    <x v="1"/>
    <x v="2"/>
    <x v="0"/>
    <x v="2"/>
    <x v="3"/>
    <x v="7"/>
    <x v="11"/>
    <x v="6"/>
    <x v="11"/>
    <x v="0"/>
    <x v="14"/>
    <x v="22"/>
    <x v="25"/>
    <x v="3"/>
    <x v="0"/>
    <x v="1"/>
    <x v="1"/>
    <x v="0"/>
  </r>
  <r>
    <x v="10"/>
    <x v="3"/>
    <x v="2"/>
    <x v="228"/>
    <x v="3"/>
    <x v="3"/>
    <x v="2"/>
    <x v="0"/>
    <x v="2"/>
    <x v="0"/>
    <x v="1"/>
    <x v="0"/>
    <x v="0"/>
    <x v="0"/>
    <x v="0"/>
    <x v="2"/>
    <x v="0"/>
    <x v="0"/>
    <x v="1"/>
    <x v="164"/>
    <x v="75"/>
    <x v="7"/>
    <x v="228"/>
    <x v="215"/>
    <x v="25"/>
    <x v="3"/>
    <x v="0"/>
    <x v="0"/>
    <x v="1"/>
    <x v="3"/>
    <x v="1"/>
    <x v="3"/>
    <x v="19"/>
    <x v="16"/>
    <x v="4"/>
    <x v="10"/>
    <x v="34"/>
    <x v="28"/>
    <x v="8"/>
    <x v="6"/>
    <x v="6"/>
    <x v="0"/>
    <x v="4"/>
    <x v="0"/>
  </r>
  <r>
    <x v="10"/>
    <x v="3"/>
    <x v="2"/>
    <x v="229"/>
    <x v="4"/>
    <x v="3"/>
    <x v="2"/>
    <x v="0"/>
    <x v="2"/>
    <x v="0"/>
    <x v="2"/>
    <x v="2"/>
    <x v="0"/>
    <x v="1"/>
    <x v="0"/>
    <x v="1"/>
    <x v="0"/>
    <x v="0"/>
    <x v="0"/>
    <x v="165"/>
    <x v="9"/>
    <x v="5"/>
    <x v="229"/>
    <x v="216"/>
    <x v="150"/>
    <x v="2"/>
    <x v="2"/>
    <x v="0"/>
    <x v="0"/>
    <x v="4"/>
    <x v="0"/>
    <x v="3"/>
    <x v="25"/>
    <x v="4"/>
    <x v="9"/>
    <x v="0"/>
    <x v="24"/>
    <x v="13"/>
    <x v="40"/>
    <x v="2"/>
    <x v="4"/>
    <x v="0"/>
    <x v="2"/>
    <x v="0"/>
  </r>
  <r>
    <x v="10"/>
    <x v="3"/>
    <x v="2"/>
    <x v="230"/>
    <x v="0"/>
    <x v="3"/>
    <x v="2"/>
    <x v="0"/>
    <x v="2"/>
    <x v="0"/>
    <x v="0"/>
    <x v="2"/>
    <x v="1"/>
    <x v="0"/>
    <x v="0"/>
    <x v="1"/>
    <x v="0"/>
    <x v="0"/>
    <x v="0"/>
    <x v="166"/>
    <x v="0"/>
    <x v="2"/>
    <x v="230"/>
    <x v="217"/>
    <x v="43"/>
    <x v="0"/>
    <x v="1"/>
    <x v="2"/>
    <x v="1"/>
    <x v="3"/>
    <x v="0"/>
    <x v="7"/>
    <x v="16"/>
    <x v="3"/>
    <x v="11"/>
    <x v="13"/>
    <x v="16"/>
    <x v="36"/>
    <x v="50"/>
    <x v="7"/>
    <x v="4"/>
    <x v="1"/>
    <x v="4"/>
    <x v="0"/>
  </r>
  <r>
    <x v="10"/>
    <x v="3"/>
    <x v="2"/>
    <x v="231"/>
    <x v="1"/>
    <x v="1"/>
    <x v="1"/>
    <x v="0"/>
    <x v="3"/>
    <x v="0"/>
    <x v="0"/>
    <x v="2"/>
    <x v="0"/>
    <x v="1"/>
    <x v="0"/>
    <x v="1"/>
    <x v="1"/>
    <x v="1"/>
    <x v="1"/>
    <x v="167"/>
    <x v="76"/>
    <x v="3"/>
    <x v="231"/>
    <x v="218"/>
    <x v="151"/>
    <x v="0"/>
    <x v="2"/>
    <x v="0"/>
    <x v="2"/>
    <x v="1"/>
    <x v="1"/>
    <x v="2"/>
    <x v="15"/>
    <x v="4"/>
    <x v="0"/>
    <x v="16"/>
    <x v="13"/>
    <x v="2"/>
    <x v="29"/>
    <x v="2"/>
    <x v="1"/>
    <x v="0"/>
    <x v="1"/>
    <x v="0"/>
  </r>
  <r>
    <x v="10"/>
    <x v="3"/>
    <x v="3"/>
    <x v="232"/>
    <x v="2"/>
    <x v="4"/>
    <x v="1"/>
    <x v="0"/>
    <x v="3"/>
    <x v="0"/>
    <x v="1"/>
    <x v="0"/>
    <x v="0"/>
    <x v="0"/>
    <x v="0"/>
    <x v="1"/>
    <x v="1"/>
    <x v="0"/>
    <x v="1"/>
    <x v="0"/>
    <x v="0"/>
    <x v="8"/>
    <x v="232"/>
    <x v="219"/>
    <x v="152"/>
    <x v="2"/>
    <x v="2"/>
    <x v="2"/>
    <x v="0"/>
    <x v="3"/>
    <x v="3"/>
    <x v="3"/>
    <x v="34"/>
    <x v="4"/>
    <x v="10"/>
    <x v="0"/>
    <x v="19"/>
    <x v="4"/>
    <x v="56"/>
    <x v="2"/>
    <x v="4"/>
    <x v="0"/>
    <x v="2"/>
    <x v="0"/>
  </r>
  <r>
    <x v="10"/>
    <x v="3"/>
    <x v="3"/>
    <x v="233"/>
    <x v="3"/>
    <x v="4"/>
    <x v="3"/>
    <x v="0"/>
    <x v="1"/>
    <x v="0"/>
    <x v="1"/>
    <x v="0"/>
    <x v="0"/>
    <x v="0"/>
    <x v="0"/>
    <x v="0"/>
    <x v="0"/>
    <x v="0"/>
    <x v="0"/>
    <x v="130"/>
    <x v="77"/>
    <x v="8"/>
    <x v="233"/>
    <x v="220"/>
    <x v="153"/>
    <x v="2"/>
    <x v="1"/>
    <x v="1"/>
    <x v="2"/>
    <x v="0"/>
    <x v="2"/>
    <x v="5"/>
    <x v="25"/>
    <x v="5"/>
    <x v="1"/>
    <x v="9"/>
    <x v="38"/>
    <x v="7"/>
    <x v="55"/>
    <x v="2"/>
    <x v="1"/>
    <x v="0"/>
    <x v="1"/>
    <x v="0"/>
  </r>
  <r>
    <x v="10"/>
    <x v="3"/>
    <x v="3"/>
    <x v="234"/>
    <x v="4"/>
    <x v="2"/>
    <x v="4"/>
    <x v="1"/>
    <x v="0"/>
    <x v="0"/>
    <x v="2"/>
    <x v="2"/>
    <x v="1"/>
    <x v="0"/>
    <x v="0"/>
    <x v="0"/>
    <x v="0"/>
    <x v="1"/>
    <x v="1"/>
    <x v="0"/>
    <x v="0"/>
    <x v="19"/>
    <x v="234"/>
    <x v="123"/>
    <x v="69"/>
    <x v="3"/>
    <x v="2"/>
    <x v="2"/>
    <x v="2"/>
    <x v="1"/>
    <x v="3"/>
    <x v="7"/>
    <x v="4"/>
    <x v="4"/>
    <x v="13"/>
    <x v="16"/>
    <x v="25"/>
    <x v="9"/>
    <x v="46"/>
    <x v="4"/>
    <x v="3"/>
    <x v="2"/>
    <x v="0"/>
    <x v="0"/>
  </r>
  <r>
    <x v="10"/>
    <x v="3"/>
    <x v="3"/>
    <x v="235"/>
    <x v="0"/>
    <x v="3"/>
    <x v="2"/>
    <x v="0"/>
    <x v="2"/>
    <x v="0"/>
    <x v="2"/>
    <x v="1"/>
    <x v="1"/>
    <x v="1"/>
    <x v="0"/>
    <x v="2"/>
    <x v="0"/>
    <x v="0"/>
    <x v="0"/>
    <x v="39"/>
    <x v="78"/>
    <x v="5"/>
    <x v="235"/>
    <x v="221"/>
    <x v="87"/>
    <x v="0"/>
    <x v="1"/>
    <x v="0"/>
    <x v="0"/>
    <x v="1"/>
    <x v="1"/>
    <x v="7"/>
    <x v="15"/>
    <x v="9"/>
    <x v="12"/>
    <x v="0"/>
    <x v="4"/>
    <x v="14"/>
    <x v="30"/>
    <x v="2"/>
    <x v="1"/>
    <x v="1"/>
    <x v="2"/>
    <x v="0"/>
  </r>
  <r>
    <x v="10"/>
    <x v="3"/>
    <x v="3"/>
    <x v="236"/>
    <x v="1"/>
    <x v="0"/>
    <x v="3"/>
    <x v="1"/>
    <x v="3"/>
    <x v="0"/>
    <x v="3"/>
    <x v="3"/>
    <x v="1"/>
    <x v="2"/>
    <x v="0"/>
    <x v="2"/>
    <x v="0"/>
    <x v="0"/>
    <x v="0"/>
    <x v="20"/>
    <x v="58"/>
    <x v="10"/>
    <x v="236"/>
    <x v="222"/>
    <x v="19"/>
    <x v="2"/>
    <x v="1"/>
    <x v="0"/>
    <x v="0"/>
    <x v="1"/>
    <x v="1"/>
    <x v="0"/>
    <x v="1"/>
    <x v="5"/>
    <x v="19"/>
    <x v="0"/>
    <x v="25"/>
    <x v="37"/>
    <x v="44"/>
    <x v="4"/>
    <x v="3"/>
    <x v="2"/>
    <x v="0"/>
    <x v="0"/>
  </r>
  <r>
    <x v="10"/>
    <x v="3"/>
    <x v="4"/>
    <x v="237"/>
    <x v="2"/>
    <x v="1"/>
    <x v="1"/>
    <x v="0"/>
    <x v="3"/>
    <x v="0"/>
    <x v="1"/>
    <x v="0"/>
    <x v="0"/>
    <x v="0"/>
    <x v="0"/>
    <x v="0"/>
    <x v="0"/>
    <x v="0"/>
    <x v="0"/>
    <x v="0"/>
    <x v="0"/>
    <x v="8"/>
    <x v="237"/>
    <x v="223"/>
    <x v="91"/>
    <x v="2"/>
    <x v="1"/>
    <x v="1"/>
    <x v="0"/>
    <x v="4"/>
    <x v="0"/>
    <x v="0"/>
    <x v="38"/>
    <x v="2"/>
    <x v="1"/>
    <x v="0"/>
    <x v="9"/>
    <x v="11"/>
    <x v="0"/>
    <x v="7"/>
    <x v="4"/>
    <x v="0"/>
    <x v="2"/>
    <x v="0"/>
  </r>
  <r>
    <x v="11"/>
    <x v="3"/>
    <x v="0"/>
    <x v="238"/>
    <x v="3"/>
    <x v="4"/>
    <x v="1"/>
    <x v="1"/>
    <x v="2"/>
    <x v="0"/>
    <x v="2"/>
    <x v="1"/>
    <x v="0"/>
    <x v="2"/>
    <x v="0"/>
    <x v="2"/>
    <x v="1"/>
    <x v="0"/>
    <x v="0"/>
    <x v="168"/>
    <x v="15"/>
    <x v="13"/>
    <x v="238"/>
    <x v="224"/>
    <x v="154"/>
    <x v="1"/>
    <x v="1"/>
    <x v="1"/>
    <x v="0"/>
    <x v="0"/>
    <x v="3"/>
    <x v="3"/>
    <x v="7"/>
    <x v="2"/>
    <x v="1"/>
    <x v="0"/>
    <x v="26"/>
    <x v="10"/>
    <x v="2"/>
    <x v="0"/>
    <x v="0"/>
    <x v="1"/>
    <x v="1"/>
    <x v="0"/>
  </r>
  <r>
    <x v="11"/>
    <x v="3"/>
    <x v="0"/>
    <x v="239"/>
    <x v="4"/>
    <x v="1"/>
    <x v="1"/>
    <x v="0"/>
    <x v="3"/>
    <x v="0"/>
    <x v="2"/>
    <x v="1"/>
    <x v="0"/>
    <x v="2"/>
    <x v="0"/>
    <x v="1"/>
    <x v="1"/>
    <x v="1"/>
    <x v="0"/>
    <x v="0"/>
    <x v="58"/>
    <x v="17"/>
    <x v="239"/>
    <x v="225"/>
    <x v="15"/>
    <x v="1"/>
    <x v="2"/>
    <x v="0"/>
    <x v="2"/>
    <x v="2"/>
    <x v="2"/>
    <x v="0"/>
    <x v="8"/>
    <x v="4"/>
    <x v="9"/>
    <x v="11"/>
    <x v="2"/>
    <x v="1"/>
    <x v="25"/>
    <x v="1"/>
    <x v="0"/>
    <x v="0"/>
    <x v="0"/>
    <x v="0"/>
  </r>
  <r>
    <x v="11"/>
    <x v="3"/>
    <x v="0"/>
    <x v="240"/>
    <x v="0"/>
    <x v="4"/>
    <x v="1"/>
    <x v="0"/>
    <x v="3"/>
    <x v="0"/>
    <x v="3"/>
    <x v="3"/>
    <x v="0"/>
    <x v="3"/>
    <x v="0"/>
    <x v="0"/>
    <x v="1"/>
    <x v="0"/>
    <x v="1"/>
    <x v="169"/>
    <x v="79"/>
    <x v="1"/>
    <x v="240"/>
    <x v="226"/>
    <x v="155"/>
    <x v="1"/>
    <x v="1"/>
    <x v="2"/>
    <x v="1"/>
    <x v="4"/>
    <x v="2"/>
    <x v="5"/>
    <x v="32"/>
    <x v="2"/>
    <x v="13"/>
    <x v="4"/>
    <x v="7"/>
    <x v="1"/>
    <x v="9"/>
    <x v="3"/>
    <x v="2"/>
    <x v="0"/>
    <x v="3"/>
    <x v="0"/>
  </r>
  <r>
    <x v="11"/>
    <x v="3"/>
    <x v="0"/>
    <x v="241"/>
    <x v="1"/>
    <x v="1"/>
    <x v="1"/>
    <x v="0"/>
    <x v="3"/>
    <x v="0"/>
    <x v="2"/>
    <x v="1"/>
    <x v="1"/>
    <x v="1"/>
    <x v="0"/>
    <x v="0"/>
    <x v="0"/>
    <x v="1"/>
    <x v="0"/>
    <x v="170"/>
    <x v="0"/>
    <x v="2"/>
    <x v="241"/>
    <x v="67"/>
    <x v="156"/>
    <x v="2"/>
    <x v="2"/>
    <x v="2"/>
    <x v="0"/>
    <x v="1"/>
    <x v="2"/>
    <x v="1"/>
    <x v="25"/>
    <x v="4"/>
    <x v="2"/>
    <x v="0"/>
    <x v="11"/>
    <x v="37"/>
    <x v="23"/>
    <x v="1"/>
    <x v="0"/>
    <x v="1"/>
    <x v="1"/>
    <x v="0"/>
  </r>
  <r>
    <x v="11"/>
    <x v="3"/>
    <x v="1"/>
    <x v="242"/>
    <x v="2"/>
    <x v="3"/>
    <x v="2"/>
    <x v="0"/>
    <x v="2"/>
    <x v="0"/>
    <x v="3"/>
    <x v="3"/>
    <x v="0"/>
    <x v="3"/>
    <x v="0"/>
    <x v="1"/>
    <x v="0"/>
    <x v="0"/>
    <x v="0"/>
    <x v="171"/>
    <x v="0"/>
    <x v="6"/>
    <x v="242"/>
    <x v="227"/>
    <x v="111"/>
    <x v="0"/>
    <x v="0"/>
    <x v="0"/>
    <x v="1"/>
    <x v="3"/>
    <x v="1"/>
    <x v="5"/>
    <x v="5"/>
    <x v="5"/>
    <x v="3"/>
    <x v="3"/>
    <x v="36"/>
    <x v="2"/>
    <x v="64"/>
    <x v="1"/>
    <x v="0"/>
    <x v="0"/>
    <x v="0"/>
    <x v="0"/>
  </r>
  <r>
    <x v="11"/>
    <x v="3"/>
    <x v="1"/>
    <x v="243"/>
    <x v="3"/>
    <x v="3"/>
    <x v="2"/>
    <x v="0"/>
    <x v="2"/>
    <x v="0"/>
    <x v="2"/>
    <x v="2"/>
    <x v="1"/>
    <x v="0"/>
    <x v="0"/>
    <x v="0"/>
    <x v="1"/>
    <x v="0"/>
    <x v="0"/>
    <x v="172"/>
    <x v="0"/>
    <x v="15"/>
    <x v="243"/>
    <x v="228"/>
    <x v="62"/>
    <x v="0"/>
    <x v="1"/>
    <x v="2"/>
    <x v="0"/>
    <x v="2"/>
    <x v="0"/>
    <x v="4"/>
    <x v="0"/>
    <x v="6"/>
    <x v="8"/>
    <x v="0"/>
    <x v="1"/>
    <x v="27"/>
    <x v="61"/>
    <x v="2"/>
    <x v="4"/>
    <x v="1"/>
    <x v="4"/>
    <x v="0"/>
  </r>
  <r>
    <x v="11"/>
    <x v="3"/>
    <x v="1"/>
    <x v="244"/>
    <x v="4"/>
    <x v="1"/>
    <x v="1"/>
    <x v="1"/>
    <x v="2"/>
    <x v="0"/>
    <x v="2"/>
    <x v="1"/>
    <x v="0"/>
    <x v="2"/>
    <x v="0"/>
    <x v="1"/>
    <x v="0"/>
    <x v="0"/>
    <x v="0"/>
    <x v="173"/>
    <x v="0"/>
    <x v="18"/>
    <x v="244"/>
    <x v="229"/>
    <x v="157"/>
    <x v="0"/>
    <x v="2"/>
    <x v="0"/>
    <x v="0"/>
    <x v="3"/>
    <x v="3"/>
    <x v="0"/>
    <x v="15"/>
    <x v="4"/>
    <x v="18"/>
    <x v="0"/>
    <x v="42"/>
    <x v="37"/>
    <x v="87"/>
    <x v="1"/>
    <x v="0"/>
    <x v="1"/>
    <x v="1"/>
    <x v="0"/>
  </r>
  <r>
    <x v="11"/>
    <x v="3"/>
    <x v="1"/>
    <x v="245"/>
    <x v="0"/>
    <x v="4"/>
    <x v="1"/>
    <x v="0"/>
    <x v="3"/>
    <x v="0"/>
    <x v="3"/>
    <x v="1"/>
    <x v="1"/>
    <x v="1"/>
    <x v="0"/>
    <x v="0"/>
    <x v="1"/>
    <x v="0"/>
    <x v="0"/>
    <x v="174"/>
    <x v="0"/>
    <x v="16"/>
    <x v="245"/>
    <x v="230"/>
    <x v="99"/>
    <x v="0"/>
    <x v="0"/>
    <x v="2"/>
    <x v="0"/>
    <x v="0"/>
    <x v="1"/>
    <x v="3"/>
    <x v="16"/>
    <x v="13"/>
    <x v="5"/>
    <x v="0"/>
    <x v="12"/>
    <x v="38"/>
    <x v="19"/>
    <x v="3"/>
    <x v="0"/>
    <x v="1"/>
    <x v="1"/>
    <x v="0"/>
  </r>
  <r>
    <x v="11"/>
    <x v="3"/>
    <x v="1"/>
    <x v="246"/>
    <x v="1"/>
    <x v="1"/>
    <x v="1"/>
    <x v="1"/>
    <x v="2"/>
    <x v="0"/>
    <x v="2"/>
    <x v="1"/>
    <x v="0"/>
    <x v="2"/>
    <x v="0"/>
    <x v="0"/>
    <x v="0"/>
    <x v="0"/>
    <x v="0"/>
    <x v="175"/>
    <x v="0"/>
    <x v="8"/>
    <x v="246"/>
    <x v="231"/>
    <x v="158"/>
    <x v="1"/>
    <x v="1"/>
    <x v="0"/>
    <x v="1"/>
    <x v="0"/>
    <x v="2"/>
    <x v="5"/>
    <x v="8"/>
    <x v="6"/>
    <x v="16"/>
    <x v="2"/>
    <x v="8"/>
    <x v="3"/>
    <x v="74"/>
    <x v="1"/>
    <x v="0"/>
    <x v="1"/>
    <x v="1"/>
    <x v="0"/>
  </r>
  <r>
    <x v="11"/>
    <x v="3"/>
    <x v="2"/>
    <x v="247"/>
    <x v="2"/>
    <x v="4"/>
    <x v="3"/>
    <x v="1"/>
    <x v="3"/>
    <x v="0"/>
    <x v="1"/>
    <x v="0"/>
    <x v="0"/>
    <x v="0"/>
    <x v="0"/>
    <x v="1"/>
    <x v="0"/>
    <x v="1"/>
    <x v="0"/>
    <x v="176"/>
    <x v="0"/>
    <x v="6"/>
    <x v="247"/>
    <x v="232"/>
    <x v="159"/>
    <x v="1"/>
    <x v="1"/>
    <x v="1"/>
    <x v="0"/>
    <x v="2"/>
    <x v="0"/>
    <x v="4"/>
    <x v="5"/>
    <x v="3"/>
    <x v="1"/>
    <x v="0"/>
    <x v="43"/>
    <x v="36"/>
    <x v="63"/>
    <x v="2"/>
    <x v="1"/>
    <x v="1"/>
    <x v="2"/>
    <x v="0"/>
  </r>
  <r>
    <x v="11"/>
    <x v="3"/>
    <x v="2"/>
    <x v="248"/>
    <x v="3"/>
    <x v="3"/>
    <x v="2"/>
    <x v="0"/>
    <x v="2"/>
    <x v="0"/>
    <x v="0"/>
    <x v="0"/>
    <x v="0"/>
    <x v="0"/>
    <x v="0"/>
    <x v="1"/>
    <x v="0"/>
    <x v="0"/>
    <x v="0"/>
    <x v="177"/>
    <x v="80"/>
    <x v="12"/>
    <x v="248"/>
    <x v="197"/>
    <x v="39"/>
    <x v="1"/>
    <x v="2"/>
    <x v="1"/>
    <x v="2"/>
    <x v="2"/>
    <x v="0"/>
    <x v="1"/>
    <x v="14"/>
    <x v="4"/>
    <x v="1"/>
    <x v="17"/>
    <x v="23"/>
    <x v="0"/>
    <x v="49"/>
    <x v="7"/>
    <x v="6"/>
    <x v="0"/>
    <x v="4"/>
    <x v="0"/>
  </r>
  <r>
    <x v="11"/>
    <x v="3"/>
    <x v="2"/>
    <x v="249"/>
    <x v="4"/>
    <x v="3"/>
    <x v="2"/>
    <x v="0"/>
    <x v="2"/>
    <x v="0"/>
    <x v="2"/>
    <x v="2"/>
    <x v="1"/>
    <x v="0"/>
    <x v="0"/>
    <x v="1"/>
    <x v="1"/>
    <x v="0"/>
    <x v="0"/>
    <x v="178"/>
    <x v="0"/>
    <x v="12"/>
    <x v="249"/>
    <x v="121"/>
    <x v="160"/>
    <x v="3"/>
    <x v="1"/>
    <x v="0"/>
    <x v="0"/>
    <x v="0"/>
    <x v="1"/>
    <x v="0"/>
    <x v="24"/>
    <x v="16"/>
    <x v="16"/>
    <x v="0"/>
    <x v="41"/>
    <x v="3"/>
    <x v="23"/>
    <x v="2"/>
    <x v="4"/>
    <x v="1"/>
    <x v="4"/>
    <x v="0"/>
  </r>
  <r>
    <x v="11"/>
    <x v="3"/>
    <x v="2"/>
    <x v="250"/>
    <x v="0"/>
    <x v="2"/>
    <x v="4"/>
    <x v="1"/>
    <x v="0"/>
    <x v="0"/>
    <x v="2"/>
    <x v="2"/>
    <x v="0"/>
    <x v="1"/>
    <x v="0"/>
    <x v="2"/>
    <x v="0"/>
    <x v="0"/>
    <x v="0"/>
    <x v="179"/>
    <x v="0"/>
    <x v="15"/>
    <x v="250"/>
    <x v="233"/>
    <x v="46"/>
    <x v="1"/>
    <x v="1"/>
    <x v="0"/>
    <x v="0"/>
    <x v="3"/>
    <x v="2"/>
    <x v="0"/>
    <x v="1"/>
    <x v="16"/>
    <x v="9"/>
    <x v="0"/>
    <x v="7"/>
    <x v="37"/>
    <x v="55"/>
    <x v="4"/>
    <x v="3"/>
    <x v="1"/>
    <x v="3"/>
    <x v="0"/>
  </r>
  <r>
    <x v="11"/>
    <x v="3"/>
    <x v="2"/>
    <x v="251"/>
    <x v="1"/>
    <x v="1"/>
    <x v="1"/>
    <x v="1"/>
    <x v="2"/>
    <x v="0"/>
    <x v="3"/>
    <x v="1"/>
    <x v="1"/>
    <x v="1"/>
    <x v="0"/>
    <x v="1"/>
    <x v="1"/>
    <x v="0"/>
    <x v="0"/>
    <x v="180"/>
    <x v="0"/>
    <x v="8"/>
    <x v="251"/>
    <x v="234"/>
    <x v="69"/>
    <x v="3"/>
    <x v="2"/>
    <x v="2"/>
    <x v="0"/>
    <x v="1"/>
    <x v="3"/>
    <x v="4"/>
    <x v="4"/>
    <x v="4"/>
    <x v="4"/>
    <x v="0"/>
    <x v="3"/>
    <x v="33"/>
    <x v="5"/>
    <x v="0"/>
    <x v="0"/>
    <x v="2"/>
    <x v="2"/>
    <x v="0"/>
  </r>
  <r>
    <x v="11"/>
    <x v="3"/>
    <x v="3"/>
    <x v="252"/>
    <x v="2"/>
    <x v="1"/>
    <x v="1"/>
    <x v="1"/>
    <x v="2"/>
    <x v="0"/>
    <x v="1"/>
    <x v="0"/>
    <x v="0"/>
    <x v="0"/>
    <x v="0"/>
    <x v="1"/>
    <x v="0"/>
    <x v="0"/>
    <x v="1"/>
    <x v="181"/>
    <x v="81"/>
    <x v="5"/>
    <x v="252"/>
    <x v="235"/>
    <x v="161"/>
    <x v="2"/>
    <x v="0"/>
    <x v="2"/>
    <x v="2"/>
    <x v="0"/>
    <x v="0"/>
    <x v="8"/>
    <x v="2"/>
    <x v="12"/>
    <x v="4"/>
    <x v="19"/>
    <x v="27"/>
    <x v="24"/>
    <x v="39"/>
    <x v="7"/>
    <x v="4"/>
    <x v="1"/>
    <x v="4"/>
    <x v="0"/>
  </r>
  <r>
    <x v="11"/>
    <x v="3"/>
    <x v="3"/>
    <x v="253"/>
    <x v="3"/>
    <x v="1"/>
    <x v="2"/>
    <x v="0"/>
    <x v="2"/>
    <x v="0"/>
    <x v="0"/>
    <x v="0"/>
    <x v="0"/>
    <x v="0"/>
    <x v="0"/>
    <x v="2"/>
    <x v="1"/>
    <x v="0"/>
    <x v="0"/>
    <x v="0"/>
    <x v="0"/>
    <x v="19"/>
    <x v="253"/>
    <x v="236"/>
    <x v="73"/>
    <x v="3"/>
    <x v="2"/>
    <x v="2"/>
    <x v="0"/>
    <x v="4"/>
    <x v="1"/>
    <x v="2"/>
    <x v="11"/>
    <x v="4"/>
    <x v="14"/>
    <x v="0"/>
    <x v="44"/>
    <x v="25"/>
    <x v="62"/>
    <x v="2"/>
    <x v="6"/>
    <x v="0"/>
    <x v="4"/>
    <x v="0"/>
  </r>
  <r>
    <x v="11"/>
    <x v="3"/>
    <x v="3"/>
    <x v="254"/>
    <x v="4"/>
    <x v="0"/>
    <x v="0"/>
    <x v="1"/>
    <x v="1"/>
    <x v="0"/>
    <x v="1"/>
    <x v="0"/>
    <x v="0"/>
    <x v="0"/>
    <x v="0"/>
    <x v="2"/>
    <x v="0"/>
    <x v="0"/>
    <x v="0"/>
    <x v="182"/>
    <x v="0"/>
    <x v="12"/>
    <x v="254"/>
    <x v="237"/>
    <x v="162"/>
    <x v="0"/>
    <x v="2"/>
    <x v="2"/>
    <x v="2"/>
    <x v="1"/>
    <x v="0"/>
    <x v="4"/>
    <x v="23"/>
    <x v="4"/>
    <x v="11"/>
    <x v="19"/>
    <x v="25"/>
    <x v="7"/>
    <x v="66"/>
    <x v="1"/>
    <x v="0"/>
    <x v="1"/>
    <x v="1"/>
    <x v="0"/>
  </r>
  <r>
    <x v="11"/>
    <x v="3"/>
    <x v="3"/>
    <x v="255"/>
    <x v="0"/>
    <x v="1"/>
    <x v="2"/>
    <x v="0"/>
    <x v="2"/>
    <x v="0"/>
    <x v="2"/>
    <x v="1"/>
    <x v="0"/>
    <x v="2"/>
    <x v="0"/>
    <x v="0"/>
    <x v="0"/>
    <x v="0"/>
    <x v="0"/>
    <x v="179"/>
    <x v="0"/>
    <x v="13"/>
    <x v="255"/>
    <x v="238"/>
    <x v="163"/>
    <x v="2"/>
    <x v="1"/>
    <x v="2"/>
    <x v="1"/>
    <x v="4"/>
    <x v="1"/>
    <x v="9"/>
    <x v="1"/>
    <x v="5"/>
    <x v="8"/>
    <x v="1"/>
    <x v="48"/>
    <x v="3"/>
    <x v="7"/>
    <x v="1"/>
    <x v="1"/>
    <x v="0"/>
    <x v="1"/>
    <x v="0"/>
  </r>
  <r>
    <x v="11"/>
    <x v="3"/>
    <x v="3"/>
    <x v="256"/>
    <x v="1"/>
    <x v="0"/>
    <x v="0"/>
    <x v="0"/>
    <x v="0"/>
    <x v="0"/>
    <x v="3"/>
    <x v="1"/>
    <x v="1"/>
    <x v="1"/>
    <x v="0"/>
    <x v="0"/>
    <x v="0"/>
    <x v="0"/>
    <x v="0"/>
    <x v="183"/>
    <x v="0"/>
    <x v="14"/>
    <x v="256"/>
    <x v="239"/>
    <x v="114"/>
    <x v="2"/>
    <x v="1"/>
    <x v="0"/>
    <x v="2"/>
    <x v="4"/>
    <x v="3"/>
    <x v="12"/>
    <x v="5"/>
    <x v="11"/>
    <x v="4"/>
    <x v="16"/>
    <x v="19"/>
    <x v="30"/>
    <x v="57"/>
    <x v="4"/>
    <x v="3"/>
    <x v="1"/>
    <x v="3"/>
    <x v="0"/>
  </r>
  <r>
    <x v="11"/>
    <x v="3"/>
    <x v="4"/>
    <x v="257"/>
    <x v="2"/>
    <x v="1"/>
    <x v="1"/>
    <x v="0"/>
    <x v="3"/>
    <x v="0"/>
    <x v="1"/>
    <x v="0"/>
    <x v="0"/>
    <x v="0"/>
    <x v="0"/>
    <x v="1"/>
    <x v="0"/>
    <x v="0"/>
    <x v="0"/>
    <x v="184"/>
    <x v="7"/>
    <x v="0"/>
    <x v="257"/>
    <x v="240"/>
    <x v="78"/>
    <x v="3"/>
    <x v="2"/>
    <x v="0"/>
    <x v="1"/>
    <x v="0"/>
    <x v="3"/>
    <x v="3"/>
    <x v="21"/>
    <x v="4"/>
    <x v="3"/>
    <x v="3"/>
    <x v="27"/>
    <x v="21"/>
    <x v="39"/>
    <x v="7"/>
    <x v="4"/>
    <x v="0"/>
    <x v="2"/>
    <x v="0"/>
  </r>
  <r>
    <x v="11"/>
    <x v="3"/>
    <x v="4"/>
    <x v="258"/>
    <x v="3"/>
    <x v="4"/>
    <x v="1"/>
    <x v="1"/>
    <x v="2"/>
    <x v="0"/>
    <x v="2"/>
    <x v="2"/>
    <x v="1"/>
    <x v="0"/>
    <x v="0"/>
    <x v="1"/>
    <x v="0"/>
    <x v="0"/>
    <x v="0"/>
    <x v="0"/>
    <x v="0"/>
    <x v="5"/>
    <x v="258"/>
    <x v="241"/>
    <x v="164"/>
    <x v="0"/>
    <x v="1"/>
    <x v="2"/>
    <x v="0"/>
    <x v="3"/>
    <x v="0"/>
    <x v="1"/>
    <x v="19"/>
    <x v="9"/>
    <x v="2"/>
    <x v="0"/>
    <x v="22"/>
    <x v="11"/>
    <x v="5"/>
    <x v="0"/>
    <x v="1"/>
    <x v="2"/>
    <x v="4"/>
    <x v="0"/>
  </r>
  <r>
    <x v="11"/>
    <x v="3"/>
    <x v="4"/>
    <x v="259"/>
    <x v="4"/>
    <x v="1"/>
    <x v="2"/>
    <x v="0"/>
    <x v="2"/>
    <x v="0"/>
    <x v="1"/>
    <x v="0"/>
    <x v="0"/>
    <x v="0"/>
    <x v="0"/>
    <x v="1"/>
    <x v="1"/>
    <x v="0"/>
    <x v="0"/>
    <x v="0"/>
    <x v="0"/>
    <x v="17"/>
    <x v="259"/>
    <x v="242"/>
    <x v="165"/>
    <x v="2"/>
    <x v="2"/>
    <x v="2"/>
    <x v="0"/>
    <x v="0"/>
    <x v="3"/>
    <x v="5"/>
    <x v="28"/>
    <x v="4"/>
    <x v="10"/>
    <x v="0"/>
    <x v="6"/>
    <x v="17"/>
    <x v="81"/>
    <x v="7"/>
    <x v="6"/>
    <x v="0"/>
    <x v="4"/>
    <x v="0"/>
  </r>
  <r>
    <x v="11"/>
    <x v="3"/>
    <x v="4"/>
    <x v="260"/>
    <x v="0"/>
    <x v="0"/>
    <x v="3"/>
    <x v="0"/>
    <x v="1"/>
    <x v="0"/>
    <x v="2"/>
    <x v="1"/>
    <x v="0"/>
    <x v="2"/>
    <x v="0"/>
    <x v="1"/>
    <x v="1"/>
    <x v="0"/>
    <x v="1"/>
    <x v="185"/>
    <x v="0"/>
    <x v="13"/>
    <x v="260"/>
    <x v="79"/>
    <x v="166"/>
    <x v="0"/>
    <x v="2"/>
    <x v="1"/>
    <x v="1"/>
    <x v="3"/>
    <x v="2"/>
    <x v="1"/>
    <x v="19"/>
    <x v="4"/>
    <x v="1"/>
    <x v="9"/>
    <x v="2"/>
    <x v="16"/>
    <x v="20"/>
    <x v="3"/>
    <x v="2"/>
    <x v="0"/>
    <x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KPI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I4" firstHeaderRow="0" firstDataRow="1" firstDataCol="0"/>
  <pivotFields count="45"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numFmtId="179" showAll="0">
      <items count="2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t="default"/>
      </items>
    </pivotField>
    <pivotField compact="0" showAll="0">
      <items count="6">
        <item x="2"/>
        <item x="3"/>
        <item x="4"/>
        <item x="0"/>
        <item x="1"/>
        <item t="default"/>
      </items>
    </pivotField>
    <pivotField compact="0" showAll="0">
      <items count="6">
        <item x="3"/>
        <item x="1"/>
        <item x="4"/>
        <item x="0"/>
        <item x="2"/>
        <item t="default"/>
      </items>
    </pivotField>
    <pivotField compact="0" showAll="0">
      <items count="6">
        <item x="2"/>
        <item x="1"/>
        <item x="3"/>
        <item x="0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2"/>
        <item x="3"/>
        <item x="1"/>
        <item x="0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3">
        <item x="0"/>
        <item x="1"/>
        <item t="default"/>
      </items>
    </pivotField>
    <pivotField dataField="1" compact="0" numFmtId="177" showAll="0">
      <items count="187">
        <item x="0"/>
        <item x="50"/>
        <item x="10"/>
        <item x="105"/>
        <item x="100"/>
        <item x="156"/>
        <item x="169"/>
        <item x="130"/>
        <item x="94"/>
        <item x="99"/>
        <item x="98"/>
        <item x="142"/>
        <item x="53"/>
        <item x="86"/>
        <item x="70"/>
        <item x="185"/>
        <item x="30"/>
        <item x="77"/>
        <item x="62"/>
        <item x="57"/>
        <item x="145"/>
        <item x="19"/>
        <item x="89"/>
        <item x="48"/>
        <item x="144"/>
        <item x="154"/>
        <item x="83"/>
        <item x="20"/>
        <item x="15"/>
        <item x="91"/>
        <item x="175"/>
        <item x="97"/>
        <item x="66"/>
        <item x="28"/>
        <item x="131"/>
        <item x="177"/>
        <item x="119"/>
        <item x="139"/>
        <item x="122"/>
        <item x="35"/>
        <item x="79"/>
        <item x="69"/>
        <item x="71"/>
        <item x="63"/>
        <item x="137"/>
        <item x="3"/>
        <item x="52"/>
        <item x="178"/>
        <item x="147"/>
        <item x="59"/>
        <item x="162"/>
        <item x="58"/>
        <item x="181"/>
        <item x="85"/>
        <item x="161"/>
        <item x="146"/>
        <item x="172"/>
        <item x="61"/>
        <item x="112"/>
        <item x="132"/>
        <item x="180"/>
        <item x="11"/>
        <item x="88"/>
        <item x="159"/>
        <item x="6"/>
        <item x="174"/>
        <item x="16"/>
        <item x="92"/>
        <item x="125"/>
        <item x="34"/>
        <item x="51"/>
        <item x="18"/>
        <item x="41"/>
        <item x="93"/>
        <item x="4"/>
        <item x="42"/>
        <item x="76"/>
        <item x="13"/>
        <item x="134"/>
        <item x="23"/>
        <item x="118"/>
        <item x="179"/>
        <item x="111"/>
        <item x="121"/>
        <item x="60"/>
        <item x="114"/>
        <item x="96"/>
        <item x="143"/>
        <item x="170"/>
        <item x="90"/>
        <item x="167"/>
        <item x="129"/>
        <item x="135"/>
        <item x="21"/>
        <item x="153"/>
        <item x="74"/>
        <item x="115"/>
        <item x="73"/>
        <item x="149"/>
        <item x="80"/>
        <item x="46"/>
        <item x="67"/>
        <item x="168"/>
        <item x="176"/>
        <item x="165"/>
        <item x="72"/>
        <item x="45"/>
        <item x="39"/>
        <item x="36"/>
        <item x="78"/>
        <item x="113"/>
        <item x="2"/>
        <item x="152"/>
        <item x="184"/>
        <item x="173"/>
        <item x="124"/>
        <item x="33"/>
        <item x="82"/>
        <item x="164"/>
        <item x="136"/>
        <item x="40"/>
        <item x="138"/>
        <item x="9"/>
        <item x="95"/>
        <item x="64"/>
        <item x="47"/>
        <item x="27"/>
        <item x="43"/>
        <item x="68"/>
        <item x="104"/>
        <item x="102"/>
        <item x="65"/>
        <item x="141"/>
        <item x="166"/>
        <item x="32"/>
        <item x="182"/>
        <item x="49"/>
        <item x="171"/>
        <item x="133"/>
        <item x="56"/>
        <item x="37"/>
        <item x="183"/>
        <item x="126"/>
        <item x="54"/>
        <item x="101"/>
        <item x="17"/>
        <item x="106"/>
        <item x="12"/>
        <item x="81"/>
        <item x="44"/>
        <item x="103"/>
        <item x="163"/>
        <item x="116"/>
        <item x="31"/>
        <item x="75"/>
        <item x="150"/>
        <item x="22"/>
        <item x="1"/>
        <item x="24"/>
        <item x="107"/>
        <item x="108"/>
        <item x="128"/>
        <item x="109"/>
        <item x="157"/>
        <item x="38"/>
        <item x="117"/>
        <item x="148"/>
        <item x="25"/>
        <item x="7"/>
        <item x="87"/>
        <item x="84"/>
        <item x="140"/>
        <item x="120"/>
        <item x="123"/>
        <item x="160"/>
        <item x="29"/>
        <item x="55"/>
        <item x="158"/>
        <item x="5"/>
        <item x="14"/>
        <item x="151"/>
        <item x="26"/>
        <item x="127"/>
        <item x="155"/>
        <item x="8"/>
        <item x="110"/>
        <item t="default"/>
      </items>
    </pivotField>
    <pivotField dataField="1" compact="0" numFmtId="177" showAll="0">
      <items count="83">
        <item x="0"/>
        <item x="27"/>
        <item x="45"/>
        <item x="14"/>
        <item x="81"/>
        <item x="23"/>
        <item x="68"/>
        <item x="67"/>
        <item x="80"/>
        <item x="72"/>
        <item x="21"/>
        <item x="22"/>
        <item x="25"/>
        <item x="30"/>
        <item x="32"/>
        <item x="70"/>
        <item x="2"/>
        <item x="75"/>
        <item x="55"/>
        <item x="3"/>
        <item x="13"/>
        <item x="16"/>
        <item x="29"/>
        <item x="37"/>
        <item x="4"/>
        <item x="47"/>
        <item x="26"/>
        <item x="1"/>
        <item x="51"/>
        <item x="69"/>
        <item x="7"/>
        <item x="6"/>
        <item x="8"/>
        <item x="43"/>
        <item x="44"/>
        <item x="58"/>
        <item x="40"/>
        <item x="11"/>
        <item x="74"/>
        <item x="36"/>
        <item x="65"/>
        <item x="34"/>
        <item x="60"/>
        <item x="33"/>
        <item x="59"/>
        <item x="61"/>
        <item x="71"/>
        <item x="31"/>
        <item x="42"/>
        <item x="62"/>
        <item x="50"/>
        <item x="12"/>
        <item x="17"/>
        <item x="48"/>
        <item x="54"/>
        <item x="28"/>
        <item x="15"/>
        <item x="5"/>
        <item x="66"/>
        <item x="63"/>
        <item x="20"/>
        <item x="9"/>
        <item x="52"/>
        <item x="77"/>
        <item x="39"/>
        <item x="79"/>
        <item x="24"/>
        <item x="56"/>
        <item x="19"/>
        <item x="57"/>
        <item x="76"/>
        <item x="53"/>
        <item x="64"/>
        <item x="49"/>
        <item x="18"/>
        <item x="41"/>
        <item x="73"/>
        <item x="38"/>
        <item x="35"/>
        <item x="10"/>
        <item x="78"/>
        <item x="46"/>
        <item t="default"/>
      </items>
    </pivotField>
    <pivotField compact="0" showAll="0">
      <items count="21">
        <item x="0"/>
        <item x="15"/>
        <item x="18"/>
        <item x="12"/>
        <item x="7"/>
        <item x="2"/>
        <item x="4"/>
        <item x="16"/>
        <item x="5"/>
        <item x="17"/>
        <item x="8"/>
        <item x="13"/>
        <item x="6"/>
        <item x="3"/>
        <item x="1"/>
        <item x="19"/>
        <item x="9"/>
        <item x="11"/>
        <item x="10"/>
        <item x="14"/>
        <item t="default"/>
      </items>
    </pivotField>
    <pivotField dataField="1" compact="0" numFmtId="178" showAll="0">
      <items count="262">
        <item x="146"/>
        <item x="55"/>
        <item x="71"/>
        <item x="81"/>
        <item x="10"/>
        <item x="207"/>
        <item x="31"/>
        <item x="73"/>
        <item x="201"/>
        <item x="257"/>
        <item x="30"/>
        <item x="250"/>
        <item x="0"/>
        <item x="88"/>
        <item x="191"/>
        <item x="140"/>
        <item x="243"/>
        <item x="158"/>
        <item x="170"/>
        <item x="144"/>
        <item x="51"/>
        <item x="173"/>
        <item x="143"/>
        <item x="127"/>
        <item x="212"/>
        <item x="60"/>
        <item x="135"/>
        <item x="36"/>
        <item x="222"/>
        <item x="63"/>
        <item x="38"/>
        <item x="241"/>
        <item x="72"/>
        <item x="85"/>
        <item x="57"/>
        <item x="248"/>
        <item x="106"/>
        <item x="12"/>
        <item x="131"/>
        <item x="166"/>
        <item x="58"/>
        <item x="181"/>
        <item x="115"/>
        <item x="123"/>
        <item x="121"/>
        <item x="226"/>
        <item x="49"/>
        <item x="20"/>
        <item x="138"/>
        <item x="190"/>
        <item x="220"/>
        <item x="53"/>
        <item x="130"/>
        <item x="7"/>
        <item x="129"/>
        <item x="230"/>
        <item x="249"/>
        <item x="56"/>
        <item x="65"/>
        <item x="47"/>
        <item x="120"/>
        <item x="219"/>
        <item x="228"/>
        <item x="208"/>
        <item x="66"/>
        <item x="119"/>
        <item x="179"/>
        <item x="246"/>
        <item x="244"/>
        <item x="200"/>
        <item x="82"/>
        <item x="24"/>
        <item x="45"/>
        <item x="163"/>
        <item x="97"/>
        <item x="86"/>
        <item x="16"/>
        <item x="101"/>
        <item x="103"/>
        <item x="125"/>
        <item x="91"/>
        <item x="227"/>
        <item x="64"/>
        <item x="165"/>
        <item x="3"/>
        <item x="118"/>
        <item x="221"/>
        <item x="206"/>
        <item x="104"/>
        <item x="157"/>
        <item x="183"/>
        <item x="6"/>
        <item x="245"/>
        <item x="252"/>
        <item x="61"/>
        <item x="95"/>
        <item x="254"/>
        <item x="48"/>
        <item x="229"/>
        <item x="172"/>
        <item x="152"/>
        <item x="203"/>
        <item x="2"/>
        <item x="99"/>
        <item x="41"/>
        <item x="145"/>
        <item x="237"/>
        <item x="93"/>
        <item x="134"/>
        <item x="225"/>
        <item x="111"/>
        <item x="233"/>
        <item x="139"/>
        <item x="171"/>
        <item x="195"/>
        <item x="126"/>
        <item x="78"/>
        <item x="205"/>
        <item x="76"/>
        <item x="32"/>
        <item x="67"/>
        <item x="153"/>
        <item x="167"/>
        <item x="189"/>
        <item x="68"/>
        <item x="77"/>
        <item x="160"/>
        <item x="35"/>
        <item x="242"/>
        <item x="209"/>
        <item x="199"/>
        <item x="258"/>
        <item x="42"/>
        <item x="50"/>
        <item x="69"/>
        <item x="210"/>
        <item x="159"/>
        <item x="37"/>
        <item x="4"/>
        <item x="19"/>
        <item x="40"/>
        <item x="216"/>
        <item x="74"/>
        <item x="13"/>
        <item x="54"/>
        <item x="109"/>
        <item x="162"/>
        <item x="184"/>
        <item x="46"/>
        <item x="214"/>
        <item x="26"/>
        <item x="100"/>
        <item x="235"/>
        <item x="80"/>
        <item x="192"/>
        <item x="8"/>
        <item x="168"/>
        <item x="124"/>
        <item x="151"/>
        <item x="202"/>
        <item x="234"/>
        <item x="238"/>
        <item x="39"/>
        <item x="204"/>
        <item x="169"/>
        <item x="188"/>
        <item x="92"/>
        <item x="98"/>
        <item x="52"/>
        <item x="142"/>
        <item x="150"/>
        <item x="180"/>
        <item x="110"/>
        <item x="182"/>
        <item x="114"/>
        <item x="28"/>
        <item x="21"/>
        <item x="177"/>
        <item x="84"/>
        <item x="223"/>
        <item x="256"/>
        <item x="113"/>
        <item x="141"/>
        <item x="260"/>
        <item x="239"/>
        <item x="70"/>
        <item x="79"/>
        <item x="147"/>
        <item x="29"/>
        <item x="5"/>
        <item x="259"/>
        <item x="105"/>
        <item x="251"/>
        <item x="224"/>
        <item x="132"/>
        <item x="90"/>
        <item x="155"/>
        <item x="87"/>
        <item x="211"/>
        <item x="156"/>
        <item x="164"/>
        <item x="236"/>
        <item x="178"/>
        <item x="149"/>
        <item x="75"/>
        <item x="89"/>
        <item x="133"/>
        <item x="240"/>
        <item x="25"/>
        <item x="154"/>
        <item x="217"/>
        <item x="185"/>
        <item x="232"/>
        <item x="102"/>
        <item x="231"/>
        <item x="17"/>
        <item x="117"/>
        <item x="253"/>
        <item x="247"/>
        <item x="23"/>
        <item x="215"/>
        <item x="96"/>
        <item x="137"/>
        <item x="34"/>
        <item x="176"/>
        <item x="94"/>
        <item x="161"/>
        <item x="255"/>
        <item x="11"/>
        <item x="27"/>
        <item x="15"/>
        <item x="1"/>
        <item x="197"/>
        <item x="62"/>
        <item x="107"/>
        <item x="9"/>
        <item x="174"/>
        <item x="112"/>
        <item x="59"/>
        <item x="198"/>
        <item x="128"/>
        <item x="122"/>
        <item x="44"/>
        <item x="136"/>
        <item x="43"/>
        <item x="193"/>
        <item x="83"/>
        <item x="186"/>
        <item x="194"/>
        <item x="33"/>
        <item x="14"/>
        <item x="218"/>
        <item x="148"/>
        <item x="108"/>
        <item x="196"/>
        <item x="18"/>
        <item x="175"/>
        <item x="116"/>
        <item x="22"/>
        <item x="187"/>
        <item x="213"/>
        <item t="default"/>
      </items>
    </pivotField>
    <pivotField compact="0" showAll="0">
      <items count="244">
        <item x="108"/>
        <item x="106"/>
        <item x="188"/>
        <item x="150"/>
        <item x="100"/>
        <item x="178"/>
        <item x="162"/>
        <item x="234"/>
        <item x="37"/>
        <item x="47"/>
        <item x="16"/>
        <item x="2"/>
        <item x="161"/>
        <item x="144"/>
        <item x="233"/>
        <item x="235"/>
        <item x="71"/>
        <item x="189"/>
        <item x="18"/>
        <item x="48"/>
        <item x="186"/>
        <item x="120"/>
        <item x="142"/>
        <item x="154"/>
        <item x="83"/>
        <item x="123"/>
        <item x="98"/>
        <item x="164"/>
        <item x="133"/>
        <item x="156"/>
        <item x="115"/>
        <item x="230"/>
        <item x="110"/>
        <item x="41"/>
        <item x="147"/>
        <item x="187"/>
        <item x="223"/>
        <item x="42"/>
        <item x="181"/>
        <item x="218"/>
        <item x="77"/>
        <item x="38"/>
        <item x="36"/>
        <item x="72"/>
        <item x="109"/>
        <item x="159"/>
        <item x="65"/>
        <item x="103"/>
        <item x="50"/>
        <item x="85"/>
        <item x="212"/>
        <item x="199"/>
        <item x="24"/>
        <item x="86"/>
        <item x="111"/>
        <item x="55"/>
        <item x="134"/>
        <item x="132"/>
        <item x="73"/>
        <item x="168"/>
        <item x="239"/>
        <item x="40"/>
        <item x="87"/>
        <item x="153"/>
        <item x="30"/>
        <item x="117"/>
        <item x="190"/>
        <item x="3"/>
        <item x="229"/>
        <item x="10"/>
        <item x="143"/>
        <item x="97"/>
        <item x="99"/>
        <item x="92"/>
        <item x="43"/>
        <item x="9"/>
        <item x="56"/>
        <item x="225"/>
        <item x="145"/>
        <item x="129"/>
        <item x="89"/>
        <item x="1"/>
        <item x="127"/>
        <item x="57"/>
        <item x="96"/>
        <item x="167"/>
        <item x="160"/>
        <item x="54"/>
        <item x="148"/>
        <item x="63"/>
        <item x="213"/>
        <item x="193"/>
        <item x="140"/>
        <item x="172"/>
        <item x="107"/>
        <item x="58"/>
        <item x="122"/>
        <item x="184"/>
        <item x="125"/>
        <item x="135"/>
        <item x="221"/>
        <item x="26"/>
        <item x="7"/>
        <item x="177"/>
        <item x="49"/>
        <item x="197"/>
        <item x="203"/>
        <item x="28"/>
        <item x="209"/>
        <item x="242"/>
        <item x="146"/>
        <item x="149"/>
        <item x="124"/>
        <item x="232"/>
        <item x="76"/>
        <item x="11"/>
        <item x="166"/>
        <item x="228"/>
        <item x="62"/>
        <item x="195"/>
        <item x="126"/>
        <item x="192"/>
        <item x="208"/>
        <item x="174"/>
        <item x="130"/>
        <item x="226"/>
        <item x="207"/>
        <item x="53"/>
        <item x="171"/>
        <item x="22"/>
        <item x="236"/>
        <item x="200"/>
        <item x="231"/>
        <item x="45"/>
        <item x="74"/>
        <item x="88"/>
        <item x="238"/>
        <item x="104"/>
        <item x="17"/>
        <item x="173"/>
        <item x="194"/>
        <item x="75"/>
        <item x="67"/>
        <item x="128"/>
        <item x="101"/>
        <item x="6"/>
        <item x="78"/>
        <item x="210"/>
        <item x="44"/>
        <item x="34"/>
        <item x="31"/>
        <item x="4"/>
        <item x="237"/>
        <item x="183"/>
        <item x="32"/>
        <item x="214"/>
        <item x="84"/>
        <item x="141"/>
        <item x="19"/>
        <item x="91"/>
        <item x="196"/>
        <item x="227"/>
        <item x="118"/>
        <item x="8"/>
        <item x="152"/>
        <item x="241"/>
        <item x="165"/>
        <item x="220"/>
        <item x="121"/>
        <item x="224"/>
        <item x="82"/>
        <item x="182"/>
        <item x="105"/>
        <item x="112"/>
        <item x="114"/>
        <item x="180"/>
        <item x="61"/>
        <item x="33"/>
        <item x="68"/>
        <item x="0"/>
        <item x="222"/>
        <item x="64"/>
        <item x="191"/>
        <item x="81"/>
        <item x="202"/>
        <item x="151"/>
        <item x="46"/>
        <item x="12"/>
        <item x="157"/>
        <item x="59"/>
        <item x="29"/>
        <item x="70"/>
        <item x="138"/>
        <item x="102"/>
        <item x="15"/>
        <item x="80"/>
        <item x="137"/>
        <item x="95"/>
        <item x="201"/>
        <item x="215"/>
        <item x="240"/>
        <item x="219"/>
        <item x="25"/>
        <item x="27"/>
        <item x="52"/>
        <item x="169"/>
        <item x="5"/>
        <item x="21"/>
        <item x="185"/>
        <item x="198"/>
        <item x="113"/>
        <item x="217"/>
        <item x="69"/>
        <item x="158"/>
        <item x="79"/>
        <item x="155"/>
        <item x="205"/>
        <item x="66"/>
        <item x="175"/>
        <item x="206"/>
        <item x="93"/>
        <item x="23"/>
        <item x="90"/>
        <item x="60"/>
        <item x="116"/>
        <item x="131"/>
        <item x="139"/>
        <item x="94"/>
        <item x="179"/>
        <item x="13"/>
        <item x="14"/>
        <item x="51"/>
        <item x="136"/>
        <item x="20"/>
        <item x="176"/>
        <item x="39"/>
        <item x="35"/>
        <item x="216"/>
        <item x="119"/>
        <item x="170"/>
        <item x="163"/>
        <item x="204"/>
        <item x="211"/>
        <item t="default"/>
      </items>
    </pivotField>
    <pivotField compact="0" showAll="0">
      <items count="168">
        <item x="89"/>
        <item x="99"/>
        <item x="46"/>
        <item x="109"/>
        <item x="38"/>
        <item x="9"/>
        <item x="45"/>
        <item x="2"/>
        <item x="84"/>
        <item x="69"/>
        <item x="35"/>
        <item x="37"/>
        <item x="114"/>
        <item x="68"/>
        <item x="85"/>
        <item x="165"/>
        <item x="17"/>
        <item x="118"/>
        <item x="137"/>
        <item x="22"/>
        <item x="97"/>
        <item x="28"/>
        <item x="162"/>
        <item x="75"/>
        <item x="67"/>
        <item x="116"/>
        <item x="34"/>
        <item x="120"/>
        <item x="161"/>
        <item x="70"/>
        <item x="15"/>
        <item x="54"/>
        <item x="91"/>
        <item x="121"/>
        <item x="148"/>
        <item x="72"/>
        <item x="139"/>
        <item x="102"/>
        <item x="7"/>
        <item x="52"/>
        <item x="87"/>
        <item x="60"/>
        <item x="31"/>
        <item x="39"/>
        <item x="71"/>
        <item x="100"/>
        <item x="107"/>
        <item x="122"/>
        <item x="136"/>
        <item x="63"/>
        <item x="77"/>
        <item x="59"/>
        <item x="127"/>
        <item x="3"/>
        <item x="40"/>
        <item x="49"/>
        <item x="4"/>
        <item x="81"/>
        <item x="117"/>
        <item x="30"/>
        <item x="113"/>
        <item x="151"/>
        <item x="155"/>
        <item x="103"/>
        <item x="163"/>
        <item x="106"/>
        <item x="14"/>
        <item x="62"/>
        <item x="146"/>
        <item x="1"/>
        <item x="56"/>
        <item x="19"/>
        <item x="53"/>
        <item x="157"/>
        <item x="43"/>
        <item x="80"/>
        <item x="27"/>
        <item x="90"/>
        <item x="61"/>
        <item x="76"/>
        <item x="144"/>
        <item x="124"/>
        <item x="108"/>
        <item x="66"/>
        <item x="64"/>
        <item x="24"/>
        <item x="11"/>
        <item x="159"/>
        <item x="16"/>
        <item x="138"/>
        <item x="104"/>
        <item x="79"/>
        <item x="48"/>
        <item x="86"/>
        <item x="166"/>
        <item x="111"/>
        <item x="25"/>
        <item x="130"/>
        <item x="94"/>
        <item x="140"/>
        <item x="55"/>
        <item x="32"/>
        <item x="95"/>
        <item x="112"/>
        <item x="149"/>
        <item x="134"/>
        <item x="101"/>
        <item x="156"/>
        <item x="82"/>
        <item x="6"/>
        <item x="78"/>
        <item x="26"/>
        <item x="131"/>
        <item x="150"/>
        <item x="57"/>
        <item x="8"/>
        <item x="143"/>
        <item x="0"/>
        <item x="119"/>
        <item x="158"/>
        <item x="41"/>
        <item x="29"/>
        <item x="125"/>
        <item x="88"/>
        <item x="10"/>
        <item x="20"/>
        <item x="42"/>
        <item x="105"/>
        <item x="73"/>
        <item x="164"/>
        <item x="12"/>
        <item x="98"/>
        <item x="147"/>
        <item x="135"/>
        <item x="74"/>
        <item x="92"/>
        <item x="58"/>
        <item x="47"/>
        <item x="132"/>
        <item x="110"/>
        <item x="21"/>
        <item x="133"/>
        <item x="36"/>
        <item x="153"/>
        <item x="33"/>
        <item x="128"/>
        <item x="145"/>
        <item x="154"/>
        <item x="115"/>
        <item x="13"/>
        <item x="5"/>
        <item x="50"/>
        <item x="51"/>
        <item x="23"/>
        <item x="160"/>
        <item x="152"/>
        <item x="129"/>
        <item x="18"/>
        <item x="141"/>
        <item x="142"/>
        <item x="83"/>
        <item x="126"/>
        <item x="65"/>
        <item x="93"/>
        <item x="44"/>
        <item x="123"/>
        <item x="96"/>
        <item t="default"/>
      </items>
    </pivotField>
    <pivotField compact="0" numFmtId="177" showAll="0">
      <items count="5">
        <item x="3"/>
        <item x="0"/>
        <item x="1"/>
        <item x="2"/>
        <item t="default"/>
      </items>
    </pivotField>
    <pivotField compact="0" numFmtId="177" showAll="0">
      <items count="4">
        <item x="2"/>
        <item x="1"/>
        <item x="0"/>
        <item t="default"/>
      </items>
    </pivotField>
    <pivotField compact="0" numFmtId="177" showAll="0">
      <items count="4">
        <item x="1"/>
        <item x="2"/>
        <item x="0"/>
        <item t="default"/>
      </items>
    </pivotField>
    <pivotField compact="0" numFmtId="177" showAll="0">
      <items count="4">
        <item x="0"/>
        <item x="1"/>
        <item x="2"/>
        <item t="default"/>
      </items>
    </pivotField>
    <pivotField compact="0" numFmtId="177" showAll="0">
      <items count="6">
        <item x="1"/>
        <item x="2"/>
        <item x="3"/>
        <item x="0"/>
        <item x="4"/>
        <item t="default"/>
      </items>
    </pivotField>
    <pivotField compact="0" numFmtId="177" showAll="0">
      <items count="5">
        <item x="0"/>
        <item x="2"/>
        <item x="1"/>
        <item x="3"/>
        <item t="default"/>
      </items>
    </pivotField>
    <pivotField dataField="1" compact="0" numFmtId="177" showAll="0">
      <items count="16">
        <item x="14"/>
        <item x="10"/>
        <item x="11"/>
        <item x="4"/>
        <item x="1"/>
        <item x="7"/>
        <item x="2"/>
        <item x="0"/>
        <item x="3"/>
        <item x="5"/>
        <item x="8"/>
        <item x="9"/>
        <item x="6"/>
        <item x="13"/>
        <item x="12"/>
        <item t="default"/>
      </items>
    </pivotField>
    <pivotField compact="0" numFmtId="177" showAll="0">
      <items count="41">
        <item x="24"/>
        <item x="29"/>
        <item x="21"/>
        <item x="13"/>
        <item x="4"/>
        <item x="19"/>
        <item x="11"/>
        <item x="3"/>
        <item x="23"/>
        <item x="7"/>
        <item x="15"/>
        <item x="8"/>
        <item x="31"/>
        <item x="16"/>
        <item x="0"/>
        <item x="18"/>
        <item x="14"/>
        <item x="5"/>
        <item x="28"/>
        <item x="10"/>
        <item x="33"/>
        <item x="2"/>
        <item x="1"/>
        <item x="22"/>
        <item x="32"/>
        <item x="27"/>
        <item x="34"/>
        <item x="36"/>
        <item x="35"/>
        <item x="12"/>
        <item x="25"/>
        <item x="38"/>
        <item x="26"/>
        <item x="17"/>
        <item x="30"/>
        <item x="20"/>
        <item x="6"/>
        <item x="37"/>
        <item x="39"/>
        <item x="9"/>
        <item t="default"/>
      </items>
    </pivotField>
    <pivotField compact="0" numFmtId="177" showAll="0">
      <items count="21">
        <item x="4"/>
        <item x="11"/>
        <item x="2"/>
        <item x="9"/>
        <item x="3"/>
        <item x="1"/>
        <item x="5"/>
        <item x="16"/>
        <item x="6"/>
        <item x="12"/>
        <item x="17"/>
        <item x="14"/>
        <item x="0"/>
        <item x="10"/>
        <item x="13"/>
        <item x="15"/>
        <item x="18"/>
        <item x="8"/>
        <item x="7"/>
        <item x="19"/>
        <item t="default"/>
      </items>
    </pivotField>
    <pivotField compact="0" numFmtId="177" showAll="0">
      <items count="21">
        <item x="1"/>
        <item x="8"/>
        <item x="11"/>
        <item x="5"/>
        <item x="14"/>
        <item x="2"/>
        <item x="13"/>
        <item x="10"/>
        <item x="4"/>
        <item x="16"/>
        <item x="6"/>
        <item x="9"/>
        <item x="3"/>
        <item x="7"/>
        <item x="12"/>
        <item x="0"/>
        <item x="17"/>
        <item x="15"/>
        <item x="18"/>
        <item x="19"/>
        <item t="default"/>
      </items>
    </pivotField>
    <pivotField compact="0" numFmtId="177" showAll="0">
      <items count="21">
        <item x="0"/>
        <item x="13"/>
        <item x="1"/>
        <item x="2"/>
        <item x="3"/>
        <item x="4"/>
        <item x="6"/>
        <item x="10"/>
        <item x="9"/>
        <item x="7"/>
        <item x="5"/>
        <item x="14"/>
        <item x="11"/>
        <item x="17"/>
        <item x="19"/>
        <item x="15"/>
        <item x="18"/>
        <item x="12"/>
        <item x="16"/>
        <item x="8"/>
        <item t="default"/>
      </items>
    </pivotField>
    <pivotField compact="0" numFmtId="177" showAll="0">
      <items count="50">
        <item x="35"/>
        <item x="30"/>
        <item x="25"/>
        <item x="4"/>
        <item x="13"/>
        <item x="3"/>
        <item x="11"/>
        <item x="1"/>
        <item x="42"/>
        <item x="23"/>
        <item x="22"/>
        <item x="28"/>
        <item x="43"/>
        <item x="16"/>
        <item x="20"/>
        <item x="14"/>
        <item x="34"/>
        <item x="2"/>
        <item x="27"/>
        <item x="7"/>
        <item x="19"/>
        <item x="41"/>
        <item x="8"/>
        <item x="26"/>
        <item x="38"/>
        <item x="24"/>
        <item x="36"/>
        <item x="5"/>
        <item x="33"/>
        <item x="18"/>
        <item x="6"/>
        <item x="37"/>
        <item x="40"/>
        <item x="0"/>
        <item x="12"/>
        <item x="39"/>
        <item x="21"/>
        <item x="46"/>
        <item x="15"/>
        <item x="31"/>
        <item x="10"/>
        <item x="47"/>
        <item x="9"/>
        <item x="29"/>
        <item x="48"/>
        <item x="45"/>
        <item x="17"/>
        <item x="32"/>
        <item x="44"/>
        <item t="default"/>
      </items>
    </pivotField>
    <pivotField compact="0" numFmtId="177" showAll="0">
      <items count="42">
        <item x="27"/>
        <item x="24"/>
        <item x="36"/>
        <item x="13"/>
        <item x="0"/>
        <item x="19"/>
        <item x="11"/>
        <item x="7"/>
        <item x="29"/>
        <item x="18"/>
        <item x="16"/>
        <item x="1"/>
        <item x="15"/>
        <item x="4"/>
        <item x="2"/>
        <item x="33"/>
        <item x="37"/>
        <item x="3"/>
        <item x="14"/>
        <item x="5"/>
        <item x="10"/>
        <item x="25"/>
        <item x="34"/>
        <item x="38"/>
        <item x="32"/>
        <item x="6"/>
        <item x="28"/>
        <item x="23"/>
        <item x="31"/>
        <item x="35"/>
        <item x="9"/>
        <item x="22"/>
        <item x="30"/>
        <item x="20"/>
        <item x="26"/>
        <item x="12"/>
        <item x="17"/>
        <item x="40"/>
        <item x="21"/>
        <item x="8"/>
        <item x="39"/>
        <item t="default"/>
      </items>
    </pivotField>
    <pivotField dataField="1" compact="0" numFmtId="177" showAll="0">
      <items count="89">
        <item x="32"/>
        <item x="84"/>
        <item x="51"/>
        <item x="78"/>
        <item x="75"/>
        <item x="48"/>
        <item x="54"/>
        <item x="28"/>
        <item x="37"/>
        <item x="5"/>
        <item x="61"/>
        <item x="59"/>
        <item x="63"/>
        <item x="66"/>
        <item x="58"/>
        <item x="68"/>
        <item x="20"/>
        <item x="50"/>
        <item x="49"/>
        <item x="41"/>
        <item x="36"/>
        <item x="1"/>
        <item x="42"/>
        <item x="13"/>
        <item x="45"/>
        <item x="4"/>
        <item x="86"/>
        <item x="30"/>
        <item x="87"/>
        <item x="3"/>
        <item x="2"/>
        <item x="70"/>
        <item x="38"/>
        <item x="23"/>
        <item x="16"/>
        <item x="24"/>
        <item x="43"/>
        <item x="35"/>
        <item x="14"/>
        <item x="46"/>
        <item x="29"/>
        <item x="25"/>
        <item x="56"/>
        <item x="31"/>
        <item x="44"/>
        <item x="40"/>
        <item x="18"/>
        <item x="17"/>
        <item x="6"/>
        <item x="9"/>
        <item x="33"/>
        <item x="8"/>
        <item x="74"/>
        <item x="39"/>
        <item x="55"/>
        <item x="62"/>
        <item x="67"/>
        <item x="0"/>
        <item x="60"/>
        <item x="72"/>
        <item x="73"/>
        <item x="64"/>
        <item x="83"/>
        <item x="27"/>
        <item x="22"/>
        <item x="21"/>
        <item x="19"/>
        <item x="81"/>
        <item x="26"/>
        <item x="69"/>
        <item x="10"/>
        <item x="71"/>
        <item x="7"/>
        <item x="34"/>
        <item x="57"/>
        <item x="11"/>
        <item x="53"/>
        <item x="47"/>
        <item x="65"/>
        <item x="52"/>
        <item x="82"/>
        <item x="15"/>
        <item x="76"/>
        <item x="12"/>
        <item x="79"/>
        <item x="77"/>
        <item x="85"/>
        <item x="80"/>
        <item t="default"/>
      </items>
    </pivotField>
    <pivotField dataField="1" compact="0" numFmtId="1" showAll="0">
      <items count="9">
        <item x="6"/>
        <item x="7"/>
        <item x="2"/>
        <item x="1"/>
        <item x="0"/>
        <item x="3"/>
        <item x="4"/>
        <item x="5"/>
        <item t="default"/>
      </items>
    </pivotField>
    <pivotField dataField="1" compact="0" numFmtId="1" showAll="0">
      <items count="9">
        <item x="6"/>
        <item x="4"/>
        <item x="1"/>
        <item x="0"/>
        <item x="2"/>
        <item x="3"/>
        <item x="7"/>
        <item x="5"/>
        <item t="default"/>
      </items>
    </pivotField>
    <pivotField compact="0" numFmtId="1" showAll="0">
      <items count="4">
        <item x="0"/>
        <item x="1"/>
        <item x="2"/>
        <item t="default"/>
      </items>
    </pivotField>
    <pivotField compact="0" numFmtId="1" showAll="0">
      <items count="9">
        <item x="4"/>
        <item x="2"/>
        <item x="1"/>
        <item x="0"/>
        <item x="3"/>
        <item x="6"/>
        <item x="7"/>
        <item x="5"/>
        <item t="default"/>
      </items>
    </pivotField>
    <pivotField compact="0" numFmtId="1" showAll="0">
      <items count="3">
        <item x="0"/>
        <item x="1"/>
        <item t="default"/>
      </items>
    </pivotField>
    <pivotField dataField="1" dragToCol="0" dragToPage="0" dragToRow="0" compact="0" numFmtId="1" showAll="0"/>
  </pivotFields>
  <rowItems count="1">
    <i/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Total Stylings Registrations" fld="39" baseField="0" baseItem="0"/>
    <dataField name="Sum of Total Completed Styling Services" fld="40" baseField="0" baseItem="0"/>
    <dataField name="Sum of Completion Rate" fld="44" baseField="0" baseItem="0" numFmtId="180"/>
    <dataField name="Sum of Volunteer Count Total" fld="31" baseField="0" baseItem="0"/>
    <dataField name="Sum of Volunteer Hours Total" fld="38" baseField="0" baseItem="0"/>
    <dataField name="Sum of Total Income" fld="22" baseField="0" baseItem="0"/>
    <dataField name="Sum of Donations Received kg" fld="19" baseField="0" baseItem="0"/>
    <dataField name="Sum of Re-Donations kg" fld="20" baseField="0" baseItem="0"/>
    <dataField name="Sum of WEV Employed" fld="18" baseField="0" baseItem="0"/>
  </dataFields>
  <formats count="2">
    <format dxfId="0">
      <pivotArea type="all" dataOnly="0" outline="0" fieldPosition="0"/>
    </format>
    <format dxfId="1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_Income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6:B19" firstHeaderRow="1" firstDataRow="1" firstDataCol="1"/>
  <pivotFields count="45">
    <pivotField axis="axisRow" name="Month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numFmtId="179" showAll="0">
      <items count="2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t="default"/>
      </items>
    </pivotField>
    <pivotField compact="0" showAll="0">
      <items count="6">
        <item x="2"/>
        <item x="3"/>
        <item x="4"/>
        <item x="0"/>
        <item x="1"/>
        <item t="default"/>
      </items>
    </pivotField>
    <pivotField compact="0" showAll="0">
      <items count="6">
        <item x="3"/>
        <item x="1"/>
        <item x="4"/>
        <item x="0"/>
        <item x="2"/>
        <item t="default"/>
      </items>
    </pivotField>
    <pivotField compact="0" showAll="0">
      <items count="6">
        <item x="2"/>
        <item x="1"/>
        <item x="3"/>
        <item x="0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2"/>
        <item x="3"/>
        <item x="1"/>
        <item x="0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77" showAll="0">
      <items count="187">
        <item x="0"/>
        <item x="50"/>
        <item x="10"/>
        <item x="105"/>
        <item x="100"/>
        <item x="156"/>
        <item x="169"/>
        <item x="130"/>
        <item x="94"/>
        <item x="99"/>
        <item x="98"/>
        <item x="142"/>
        <item x="53"/>
        <item x="86"/>
        <item x="70"/>
        <item x="185"/>
        <item x="30"/>
        <item x="77"/>
        <item x="62"/>
        <item x="57"/>
        <item x="145"/>
        <item x="19"/>
        <item x="89"/>
        <item x="48"/>
        <item x="144"/>
        <item x="154"/>
        <item x="83"/>
        <item x="20"/>
        <item x="15"/>
        <item x="91"/>
        <item x="175"/>
        <item x="97"/>
        <item x="66"/>
        <item x="28"/>
        <item x="131"/>
        <item x="177"/>
        <item x="119"/>
        <item x="139"/>
        <item x="122"/>
        <item x="35"/>
        <item x="79"/>
        <item x="69"/>
        <item x="71"/>
        <item x="63"/>
        <item x="137"/>
        <item x="3"/>
        <item x="52"/>
        <item x="178"/>
        <item x="147"/>
        <item x="59"/>
        <item x="162"/>
        <item x="58"/>
        <item x="181"/>
        <item x="85"/>
        <item x="161"/>
        <item x="146"/>
        <item x="172"/>
        <item x="61"/>
        <item x="112"/>
        <item x="132"/>
        <item x="180"/>
        <item x="11"/>
        <item x="88"/>
        <item x="159"/>
        <item x="6"/>
        <item x="174"/>
        <item x="16"/>
        <item x="92"/>
        <item x="125"/>
        <item x="34"/>
        <item x="51"/>
        <item x="18"/>
        <item x="41"/>
        <item x="93"/>
        <item x="4"/>
        <item x="42"/>
        <item x="76"/>
        <item x="13"/>
        <item x="134"/>
        <item x="23"/>
        <item x="118"/>
        <item x="179"/>
        <item x="111"/>
        <item x="121"/>
        <item x="60"/>
        <item x="114"/>
        <item x="96"/>
        <item x="143"/>
        <item x="170"/>
        <item x="90"/>
        <item x="167"/>
        <item x="129"/>
        <item x="135"/>
        <item x="21"/>
        <item x="153"/>
        <item x="74"/>
        <item x="115"/>
        <item x="73"/>
        <item x="149"/>
        <item x="80"/>
        <item x="46"/>
        <item x="67"/>
        <item x="168"/>
        <item x="176"/>
        <item x="165"/>
        <item x="72"/>
        <item x="45"/>
        <item x="39"/>
        <item x="36"/>
        <item x="78"/>
        <item x="113"/>
        <item x="2"/>
        <item x="152"/>
        <item x="184"/>
        <item x="173"/>
        <item x="124"/>
        <item x="33"/>
        <item x="82"/>
        <item x="164"/>
        <item x="136"/>
        <item x="40"/>
        <item x="138"/>
        <item x="9"/>
        <item x="95"/>
        <item x="64"/>
        <item x="47"/>
        <item x="27"/>
        <item x="43"/>
        <item x="68"/>
        <item x="104"/>
        <item x="102"/>
        <item x="65"/>
        <item x="141"/>
        <item x="166"/>
        <item x="32"/>
        <item x="182"/>
        <item x="49"/>
        <item x="171"/>
        <item x="133"/>
        <item x="56"/>
        <item x="37"/>
        <item x="183"/>
        <item x="126"/>
        <item x="54"/>
        <item x="101"/>
        <item x="17"/>
        <item x="106"/>
        <item x="12"/>
        <item x="81"/>
        <item x="44"/>
        <item x="103"/>
        <item x="163"/>
        <item x="116"/>
        <item x="31"/>
        <item x="75"/>
        <item x="150"/>
        <item x="22"/>
        <item x="1"/>
        <item x="24"/>
        <item x="107"/>
        <item x="108"/>
        <item x="128"/>
        <item x="109"/>
        <item x="157"/>
        <item x="38"/>
        <item x="117"/>
        <item x="148"/>
        <item x="25"/>
        <item x="7"/>
        <item x="87"/>
        <item x="84"/>
        <item x="140"/>
        <item x="120"/>
        <item x="123"/>
        <item x="160"/>
        <item x="29"/>
        <item x="55"/>
        <item x="158"/>
        <item x="5"/>
        <item x="14"/>
        <item x="151"/>
        <item x="26"/>
        <item x="127"/>
        <item x="155"/>
        <item x="8"/>
        <item x="110"/>
        <item t="default"/>
      </items>
    </pivotField>
    <pivotField compact="0" numFmtId="177" showAll="0">
      <items count="83">
        <item x="0"/>
        <item x="27"/>
        <item x="45"/>
        <item x="14"/>
        <item x="81"/>
        <item x="23"/>
        <item x="68"/>
        <item x="67"/>
        <item x="80"/>
        <item x="72"/>
        <item x="21"/>
        <item x="22"/>
        <item x="25"/>
        <item x="30"/>
        <item x="32"/>
        <item x="70"/>
        <item x="2"/>
        <item x="75"/>
        <item x="55"/>
        <item x="3"/>
        <item x="13"/>
        <item x="16"/>
        <item x="29"/>
        <item x="37"/>
        <item x="4"/>
        <item x="47"/>
        <item x="26"/>
        <item x="1"/>
        <item x="51"/>
        <item x="69"/>
        <item x="7"/>
        <item x="6"/>
        <item x="8"/>
        <item x="43"/>
        <item x="44"/>
        <item x="58"/>
        <item x="40"/>
        <item x="11"/>
        <item x="74"/>
        <item x="36"/>
        <item x="65"/>
        <item x="34"/>
        <item x="60"/>
        <item x="33"/>
        <item x="59"/>
        <item x="61"/>
        <item x="71"/>
        <item x="31"/>
        <item x="42"/>
        <item x="62"/>
        <item x="50"/>
        <item x="12"/>
        <item x="17"/>
        <item x="48"/>
        <item x="54"/>
        <item x="28"/>
        <item x="15"/>
        <item x="5"/>
        <item x="66"/>
        <item x="63"/>
        <item x="20"/>
        <item x="9"/>
        <item x="52"/>
        <item x="77"/>
        <item x="39"/>
        <item x="79"/>
        <item x="24"/>
        <item x="56"/>
        <item x="19"/>
        <item x="57"/>
        <item x="76"/>
        <item x="53"/>
        <item x="64"/>
        <item x="49"/>
        <item x="18"/>
        <item x="41"/>
        <item x="73"/>
        <item x="38"/>
        <item x="35"/>
        <item x="10"/>
        <item x="78"/>
        <item x="46"/>
        <item t="default"/>
      </items>
    </pivotField>
    <pivotField compact="0" showAll="0">
      <items count="21">
        <item x="0"/>
        <item x="15"/>
        <item x="18"/>
        <item x="12"/>
        <item x="7"/>
        <item x="2"/>
        <item x="4"/>
        <item x="16"/>
        <item x="5"/>
        <item x="17"/>
        <item x="8"/>
        <item x="13"/>
        <item x="6"/>
        <item x="3"/>
        <item x="1"/>
        <item x="19"/>
        <item x="9"/>
        <item x="11"/>
        <item x="10"/>
        <item x="14"/>
        <item t="default"/>
      </items>
    </pivotField>
    <pivotField dataField="1" compact="0" numFmtId="178" showAll="0">
      <items count="262">
        <item x="146"/>
        <item x="55"/>
        <item x="71"/>
        <item x="81"/>
        <item x="10"/>
        <item x="207"/>
        <item x="31"/>
        <item x="73"/>
        <item x="201"/>
        <item x="257"/>
        <item x="30"/>
        <item x="250"/>
        <item x="0"/>
        <item x="88"/>
        <item x="191"/>
        <item x="140"/>
        <item x="243"/>
        <item x="158"/>
        <item x="170"/>
        <item x="144"/>
        <item x="51"/>
        <item x="173"/>
        <item x="143"/>
        <item x="127"/>
        <item x="212"/>
        <item x="60"/>
        <item x="135"/>
        <item x="36"/>
        <item x="222"/>
        <item x="63"/>
        <item x="38"/>
        <item x="241"/>
        <item x="72"/>
        <item x="85"/>
        <item x="57"/>
        <item x="248"/>
        <item x="106"/>
        <item x="12"/>
        <item x="131"/>
        <item x="166"/>
        <item x="58"/>
        <item x="181"/>
        <item x="115"/>
        <item x="123"/>
        <item x="121"/>
        <item x="226"/>
        <item x="49"/>
        <item x="20"/>
        <item x="138"/>
        <item x="190"/>
        <item x="220"/>
        <item x="53"/>
        <item x="130"/>
        <item x="7"/>
        <item x="129"/>
        <item x="230"/>
        <item x="249"/>
        <item x="56"/>
        <item x="65"/>
        <item x="47"/>
        <item x="120"/>
        <item x="219"/>
        <item x="228"/>
        <item x="208"/>
        <item x="66"/>
        <item x="119"/>
        <item x="179"/>
        <item x="246"/>
        <item x="244"/>
        <item x="200"/>
        <item x="82"/>
        <item x="24"/>
        <item x="45"/>
        <item x="163"/>
        <item x="97"/>
        <item x="86"/>
        <item x="16"/>
        <item x="101"/>
        <item x="103"/>
        <item x="125"/>
        <item x="91"/>
        <item x="227"/>
        <item x="64"/>
        <item x="165"/>
        <item x="3"/>
        <item x="118"/>
        <item x="221"/>
        <item x="206"/>
        <item x="104"/>
        <item x="157"/>
        <item x="183"/>
        <item x="6"/>
        <item x="245"/>
        <item x="252"/>
        <item x="61"/>
        <item x="95"/>
        <item x="254"/>
        <item x="48"/>
        <item x="229"/>
        <item x="172"/>
        <item x="152"/>
        <item x="203"/>
        <item x="2"/>
        <item x="99"/>
        <item x="41"/>
        <item x="145"/>
        <item x="237"/>
        <item x="93"/>
        <item x="134"/>
        <item x="225"/>
        <item x="111"/>
        <item x="233"/>
        <item x="139"/>
        <item x="171"/>
        <item x="195"/>
        <item x="126"/>
        <item x="78"/>
        <item x="205"/>
        <item x="76"/>
        <item x="32"/>
        <item x="67"/>
        <item x="153"/>
        <item x="167"/>
        <item x="189"/>
        <item x="68"/>
        <item x="77"/>
        <item x="160"/>
        <item x="35"/>
        <item x="242"/>
        <item x="209"/>
        <item x="199"/>
        <item x="258"/>
        <item x="42"/>
        <item x="50"/>
        <item x="69"/>
        <item x="210"/>
        <item x="159"/>
        <item x="37"/>
        <item x="4"/>
        <item x="19"/>
        <item x="40"/>
        <item x="216"/>
        <item x="74"/>
        <item x="13"/>
        <item x="54"/>
        <item x="109"/>
        <item x="162"/>
        <item x="184"/>
        <item x="46"/>
        <item x="214"/>
        <item x="26"/>
        <item x="100"/>
        <item x="235"/>
        <item x="80"/>
        <item x="192"/>
        <item x="8"/>
        <item x="168"/>
        <item x="124"/>
        <item x="151"/>
        <item x="202"/>
        <item x="234"/>
        <item x="238"/>
        <item x="39"/>
        <item x="204"/>
        <item x="169"/>
        <item x="188"/>
        <item x="92"/>
        <item x="98"/>
        <item x="52"/>
        <item x="142"/>
        <item x="150"/>
        <item x="180"/>
        <item x="110"/>
        <item x="182"/>
        <item x="114"/>
        <item x="28"/>
        <item x="21"/>
        <item x="177"/>
        <item x="84"/>
        <item x="223"/>
        <item x="256"/>
        <item x="113"/>
        <item x="141"/>
        <item x="260"/>
        <item x="239"/>
        <item x="70"/>
        <item x="79"/>
        <item x="147"/>
        <item x="29"/>
        <item x="5"/>
        <item x="259"/>
        <item x="105"/>
        <item x="251"/>
        <item x="224"/>
        <item x="132"/>
        <item x="90"/>
        <item x="155"/>
        <item x="87"/>
        <item x="211"/>
        <item x="156"/>
        <item x="164"/>
        <item x="236"/>
        <item x="178"/>
        <item x="149"/>
        <item x="75"/>
        <item x="89"/>
        <item x="133"/>
        <item x="240"/>
        <item x="25"/>
        <item x="154"/>
        <item x="217"/>
        <item x="185"/>
        <item x="232"/>
        <item x="102"/>
        <item x="231"/>
        <item x="17"/>
        <item x="117"/>
        <item x="253"/>
        <item x="247"/>
        <item x="23"/>
        <item x="215"/>
        <item x="96"/>
        <item x="137"/>
        <item x="34"/>
        <item x="176"/>
        <item x="94"/>
        <item x="161"/>
        <item x="255"/>
        <item x="11"/>
        <item x="27"/>
        <item x="15"/>
        <item x="1"/>
        <item x="197"/>
        <item x="62"/>
        <item x="107"/>
        <item x="9"/>
        <item x="174"/>
        <item x="112"/>
        <item x="59"/>
        <item x="198"/>
        <item x="128"/>
        <item x="122"/>
        <item x="44"/>
        <item x="136"/>
        <item x="43"/>
        <item x="193"/>
        <item x="83"/>
        <item x="186"/>
        <item x="194"/>
        <item x="33"/>
        <item x="14"/>
        <item x="218"/>
        <item x="148"/>
        <item x="108"/>
        <item x="196"/>
        <item x="18"/>
        <item x="175"/>
        <item x="116"/>
        <item x="22"/>
        <item x="187"/>
        <item x="213"/>
        <item t="default"/>
      </items>
    </pivotField>
    <pivotField compact="0" showAll="0">
      <items count="244">
        <item x="108"/>
        <item x="106"/>
        <item x="188"/>
        <item x="150"/>
        <item x="100"/>
        <item x="178"/>
        <item x="162"/>
        <item x="234"/>
        <item x="37"/>
        <item x="47"/>
        <item x="16"/>
        <item x="2"/>
        <item x="161"/>
        <item x="144"/>
        <item x="233"/>
        <item x="235"/>
        <item x="71"/>
        <item x="189"/>
        <item x="18"/>
        <item x="48"/>
        <item x="186"/>
        <item x="120"/>
        <item x="142"/>
        <item x="154"/>
        <item x="83"/>
        <item x="123"/>
        <item x="98"/>
        <item x="164"/>
        <item x="133"/>
        <item x="156"/>
        <item x="115"/>
        <item x="230"/>
        <item x="110"/>
        <item x="41"/>
        <item x="147"/>
        <item x="187"/>
        <item x="223"/>
        <item x="42"/>
        <item x="181"/>
        <item x="218"/>
        <item x="77"/>
        <item x="38"/>
        <item x="36"/>
        <item x="72"/>
        <item x="109"/>
        <item x="159"/>
        <item x="65"/>
        <item x="103"/>
        <item x="50"/>
        <item x="85"/>
        <item x="212"/>
        <item x="199"/>
        <item x="24"/>
        <item x="86"/>
        <item x="111"/>
        <item x="55"/>
        <item x="134"/>
        <item x="132"/>
        <item x="73"/>
        <item x="168"/>
        <item x="239"/>
        <item x="40"/>
        <item x="87"/>
        <item x="153"/>
        <item x="30"/>
        <item x="117"/>
        <item x="190"/>
        <item x="3"/>
        <item x="229"/>
        <item x="10"/>
        <item x="143"/>
        <item x="97"/>
        <item x="99"/>
        <item x="92"/>
        <item x="43"/>
        <item x="9"/>
        <item x="56"/>
        <item x="225"/>
        <item x="145"/>
        <item x="129"/>
        <item x="89"/>
        <item x="1"/>
        <item x="127"/>
        <item x="57"/>
        <item x="96"/>
        <item x="167"/>
        <item x="160"/>
        <item x="54"/>
        <item x="148"/>
        <item x="63"/>
        <item x="213"/>
        <item x="193"/>
        <item x="140"/>
        <item x="172"/>
        <item x="107"/>
        <item x="58"/>
        <item x="122"/>
        <item x="184"/>
        <item x="125"/>
        <item x="135"/>
        <item x="221"/>
        <item x="26"/>
        <item x="7"/>
        <item x="177"/>
        <item x="49"/>
        <item x="197"/>
        <item x="203"/>
        <item x="28"/>
        <item x="209"/>
        <item x="242"/>
        <item x="146"/>
        <item x="149"/>
        <item x="124"/>
        <item x="232"/>
        <item x="76"/>
        <item x="11"/>
        <item x="166"/>
        <item x="228"/>
        <item x="62"/>
        <item x="195"/>
        <item x="126"/>
        <item x="192"/>
        <item x="208"/>
        <item x="174"/>
        <item x="130"/>
        <item x="226"/>
        <item x="207"/>
        <item x="53"/>
        <item x="171"/>
        <item x="22"/>
        <item x="236"/>
        <item x="200"/>
        <item x="231"/>
        <item x="45"/>
        <item x="74"/>
        <item x="88"/>
        <item x="238"/>
        <item x="104"/>
        <item x="17"/>
        <item x="173"/>
        <item x="194"/>
        <item x="75"/>
        <item x="67"/>
        <item x="128"/>
        <item x="101"/>
        <item x="6"/>
        <item x="78"/>
        <item x="210"/>
        <item x="44"/>
        <item x="34"/>
        <item x="31"/>
        <item x="4"/>
        <item x="237"/>
        <item x="183"/>
        <item x="32"/>
        <item x="214"/>
        <item x="84"/>
        <item x="141"/>
        <item x="19"/>
        <item x="91"/>
        <item x="196"/>
        <item x="227"/>
        <item x="118"/>
        <item x="8"/>
        <item x="152"/>
        <item x="241"/>
        <item x="165"/>
        <item x="220"/>
        <item x="121"/>
        <item x="224"/>
        <item x="82"/>
        <item x="182"/>
        <item x="105"/>
        <item x="112"/>
        <item x="114"/>
        <item x="180"/>
        <item x="61"/>
        <item x="33"/>
        <item x="68"/>
        <item x="0"/>
        <item x="222"/>
        <item x="64"/>
        <item x="191"/>
        <item x="81"/>
        <item x="202"/>
        <item x="151"/>
        <item x="46"/>
        <item x="12"/>
        <item x="157"/>
        <item x="59"/>
        <item x="29"/>
        <item x="70"/>
        <item x="138"/>
        <item x="102"/>
        <item x="15"/>
        <item x="80"/>
        <item x="137"/>
        <item x="95"/>
        <item x="201"/>
        <item x="215"/>
        <item x="240"/>
        <item x="219"/>
        <item x="25"/>
        <item x="27"/>
        <item x="52"/>
        <item x="169"/>
        <item x="5"/>
        <item x="21"/>
        <item x="185"/>
        <item x="198"/>
        <item x="113"/>
        <item x="217"/>
        <item x="69"/>
        <item x="158"/>
        <item x="79"/>
        <item x="155"/>
        <item x="205"/>
        <item x="66"/>
        <item x="175"/>
        <item x="206"/>
        <item x="93"/>
        <item x="23"/>
        <item x="90"/>
        <item x="60"/>
        <item x="116"/>
        <item x="131"/>
        <item x="139"/>
        <item x="94"/>
        <item x="179"/>
        <item x="13"/>
        <item x="14"/>
        <item x="51"/>
        <item x="136"/>
        <item x="20"/>
        <item x="176"/>
        <item x="39"/>
        <item x="35"/>
        <item x="216"/>
        <item x="119"/>
        <item x="170"/>
        <item x="163"/>
        <item x="204"/>
        <item x="211"/>
        <item t="default"/>
      </items>
    </pivotField>
    <pivotField compact="0" showAll="0">
      <items count="168">
        <item x="89"/>
        <item x="99"/>
        <item x="46"/>
        <item x="109"/>
        <item x="38"/>
        <item x="9"/>
        <item x="45"/>
        <item x="2"/>
        <item x="84"/>
        <item x="69"/>
        <item x="35"/>
        <item x="37"/>
        <item x="114"/>
        <item x="68"/>
        <item x="85"/>
        <item x="165"/>
        <item x="17"/>
        <item x="118"/>
        <item x="137"/>
        <item x="22"/>
        <item x="97"/>
        <item x="28"/>
        <item x="162"/>
        <item x="75"/>
        <item x="67"/>
        <item x="116"/>
        <item x="34"/>
        <item x="120"/>
        <item x="161"/>
        <item x="70"/>
        <item x="15"/>
        <item x="54"/>
        <item x="91"/>
        <item x="121"/>
        <item x="148"/>
        <item x="72"/>
        <item x="139"/>
        <item x="102"/>
        <item x="7"/>
        <item x="52"/>
        <item x="87"/>
        <item x="60"/>
        <item x="31"/>
        <item x="39"/>
        <item x="71"/>
        <item x="100"/>
        <item x="107"/>
        <item x="122"/>
        <item x="136"/>
        <item x="63"/>
        <item x="77"/>
        <item x="59"/>
        <item x="127"/>
        <item x="3"/>
        <item x="40"/>
        <item x="49"/>
        <item x="4"/>
        <item x="81"/>
        <item x="117"/>
        <item x="30"/>
        <item x="113"/>
        <item x="151"/>
        <item x="155"/>
        <item x="103"/>
        <item x="163"/>
        <item x="106"/>
        <item x="14"/>
        <item x="62"/>
        <item x="146"/>
        <item x="1"/>
        <item x="56"/>
        <item x="19"/>
        <item x="53"/>
        <item x="157"/>
        <item x="43"/>
        <item x="80"/>
        <item x="27"/>
        <item x="90"/>
        <item x="61"/>
        <item x="76"/>
        <item x="144"/>
        <item x="124"/>
        <item x="108"/>
        <item x="66"/>
        <item x="64"/>
        <item x="24"/>
        <item x="11"/>
        <item x="159"/>
        <item x="16"/>
        <item x="138"/>
        <item x="104"/>
        <item x="79"/>
        <item x="48"/>
        <item x="86"/>
        <item x="166"/>
        <item x="111"/>
        <item x="25"/>
        <item x="130"/>
        <item x="94"/>
        <item x="140"/>
        <item x="55"/>
        <item x="32"/>
        <item x="95"/>
        <item x="112"/>
        <item x="149"/>
        <item x="134"/>
        <item x="101"/>
        <item x="156"/>
        <item x="82"/>
        <item x="6"/>
        <item x="78"/>
        <item x="26"/>
        <item x="131"/>
        <item x="150"/>
        <item x="57"/>
        <item x="8"/>
        <item x="143"/>
        <item x="0"/>
        <item x="119"/>
        <item x="158"/>
        <item x="41"/>
        <item x="29"/>
        <item x="125"/>
        <item x="88"/>
        <item x="10"/>
        <item x="20"/>
        <item x="42"/>
        <item x="105"/>
        <item x="73"/>
        <item x="164"/>
        <item x="12"/>
        <item x="98"/>
        <item x="147"/>
        <item x="135"/>
        <item x="74"/>
        <item x="92"/>
        <item x="58"/>
        <item x="47"/>
        <item x="132"/>
        <item x="110"/>
        <item x="21"/>
        <item x="133"/>
        <item x="36"/>
        <item x="153"/>
        <item x="33"/>
        <item x="128"/>
        <item x="145"/>
        <item x="154"/>
        <item x="115"/>
        <item x="13"/>
        <item x="5"/>
        <item x="50"/>
        <item x="51"/>
        <item x="23"/>
        <item x="160"/>
        <item x="152"/>
        <item x="129"/>
        <item x="18"/>
        <item x="141"/>
        <item x="142"/>
        <item x="83"/>
        <item x="126"/>
        <item x="65"/>
        <item x="93"/>
        <item x="44"/>
        <item x="123"/>
        <item x="96"/>
        <item t="default"/>
      </items>
    </pivotField>
    <pivotField compact="0" numFmtId="177" showAll="0">
      <items count="5">
        <item x="3"/>
        <item x="0"/>
        <item x="1"/>
        <item x="2"/>
        <item t="default"/>
      </items>
    </pivotField>
    <pivotField compact="0" numFmtId="177" showAll="0">
      <items count="4">
        <item x="2"/>
        <item x="1"/>
        <item x="0"/>
        <item t="default"/>
      </items>
    </pivotField>
    <pivotField compact="0" numFmtId="177" showAll="0">
      <items count="4">
        <item x="1"/>
        <item x="2"/>
        <item x="0"/>
        <item t="default"/>
      </items>
    </pivotField>
    <pivotField compact="0" numFmtId="177" showAll="0">
      <items count="4">
        <item x="0"/>
        <item x="1"/>
        <item x="2"/>
        <item t="default"/>
      </items>
    </pivotField>
    <pivotField compact="0" numFmtId="177" showAll="0">
      <items count="6">
        <item x="1"/>
        <item x="2"/>
        <item x="3"/>
        <item x="0"/>
        <item x="4"/>
        <item t="default"/>
      </items>
    </pivotField>
    <pivotField compact="0" numFmtId="177" showAll="0">
      <items count="5">
        <item x="0"/>
        <item x="2"/>
        <item x="1"/>
        <item x="3"/>
        <item t="default"/>
      </items>
    </pivotField>
    <pivotField compact="0" numFmtId="177" showAll="0">
      <items count="16">
        <item x="14"/>
        <item x="10"/>
        <item x="11"/>
        <item x="4"/>
        <item x="1"/>
        <item x="7"/>
        <item x="2"/>
        <item x="0"/>
        <item x="3"/>
        <item x="5"/>
        <item x="8"/>
        <item x="9"/>
        <item x="6"/>
        <item x="13"/>
        <item x="12"/>
        <item t="default"/>
      </items>
    </pivotField>
    <pivotField compact="0" numFmtId="177" showAll="0">
      <items count="41">
        <item x="24"/>
        <item x="29"/>
        <item x="21"/>
        <item x="13"/>
        <item x="4"/>
        <item x="19"/>
        <item x="11"/>
        <item x="3"/>
        <item x="23"/>
        <item x="7"/>
        <item x="15"/>
        <item x="8"/>
        <item x="31"/>
        <item x="16"/>
        <item x="0"/>
        <item x="18"/>
        <item x="14"/>
        <item x="5"/>
        <item x="28"/>
        <item x="10"/>
        <item x="33"/>
        <item x="2"/>
        <item x="1"/>
        <item x="22"/>
        <item x="32"/>
        <item x="27"/>
        <item x="34"/>
        <item x="36"/>
        <item x="35"/>
        <item x="12"/>
        <item x="25"/>
        <item x="38"/>
        <item x="26"/>
        <item x="17"/>
        <item x="30"/>
        <item x="20"/>
        <item x="6"/>
        <item x="37"/>
        <item x="39"/>
        <item x="9"/>
        <item t="default"/>
      </items>
    </pivotField>
    <pivotField compact="0" numFmtId="177" showAll="0">
      <items count="21">
        <item x="4"/>
        <item x="11"/>
        <item x="2"/>
        <item x="9"/>
        <item x="3"/>
        <item x="1"/>
        <item x="5"/>
        <item x="16"/>
        <item x="6"/>
        <item x="12"/>
        <item x="17"/>
        <item x="14"/>
        <item x="0"/>
        <item x="10"/>
        <item x="13"/>
        <item x="15"/>
        <item x="18"/>
        <item x="8"/>
        <item x="7"/>
        <item x="19"/>
        <item t="default"/>
      </items>
    </pivotField>
    <pivotField compact="0" numFmtId="177" showAll="0">
      <items count="21">
        <item x="1"/>
        <item x="8"/>
        <item x="11"/>
        <item x="5"/>
        <item x="14"/>
        <item x="2"/>
        <item x="13"/>
        <item x="10"/>
        <item x="4"/>
        <item x="16"/>
        <item x="6"/>
        <item x="9"/>
        <item x="3"/>
        <item x="7"/>
        <item x="12"/>
        <item x="0"/>
        <item x="17"/>
        <item x="15"/>
        <item x="18"/>
        <item x="19"/>
        <item t="default"/>
      </items>
    </pivotField>
    <pivotField compact="0" numFmtId="177" showAll="0">
      <items count="21">
        <item x="0"/>
        <item x="13"/>
        <item x="1"/>
        <item x="2"/>
        <item x="3"/>
        <item x="4"/>
        <item x="6"/>
        <item x="10"/>
        <item x="9"/>
        <item x="7"/>
        <item x="5"/>
        <item x="14"/>
        <item x="11"/>
        <item x="17"/>
        <item x="19"/>
        <item x="15"/>
        <item x="18"/>
        <item x="12"/>
        <item x="16"/>
        <item x="8"/>
        <item t="default"/>
      </items>
    </pivotField>
    <pivotField compact="0" numFmtId="177" showAll="0">
      <items count="50">
        <item x="35"/>
        <item x="30"/>
        <item x="25"/>
        <item x="4"/>
        <item x="13"/>
        <item x="3"/>
        <item x="11"/>
        <item x="1"/>
        <item x="42"/>
        <item x="23"/>
        <item x="22"/>
        <item x="28"/>
        <item x="43"/>
        <item x="16"/>
        <item x="20"/>
        <item x="14"/>
        <item x="34"/>
        <item x="2"/>
        <item x="27"/>
        <item x="7"/>
        <item x="19"/>
        <item x="41"/>
        <item x="8"/>
        <item x="26"/>
        <item x="38"/>
        <item x="24"/>
        <item x="36"/>
        <item x="5"/>
        <item x="33"/>
        <item x="18"/>
        <item x="6"/>
        <item x="37"/>
        <item x="40"/>
        <item x="0"/>
        <item x="12"/>
        <item x="39"/>
        <item x="21"/>
        <item x="46"/>
        <item x="15"/>
        <item x="31"/>
        <item x="10"/>
        <item x="47"/>
        <item x="9"/>
        <item x="29"/>
        <item x="48"/>
        <item x="45"/>
        <item x="17"/>
        <item x="32"/>
        <item x="44"/>
        <item t="default"/>
      </items>
    </pivotField>
    <pivotField compact="0" numFmtId="177" showAll="0">
      <items count="42">
        <item x="27"/>
        <item x="24"/>
        <item x="36"/>
        <item x="13"/>
        <item x="0"/>
        <item x="19"/>
        <item x="11"/>
        <item x="7"/>
        <item x="29"/>
        <item x="18"/>
        <item x="16"/>
        <item x="1"/>
        <item x="15"/>
        <item x="4"/>
        <item x="2"/>
        <item x="33"/>
        <item x="37"/>
        <item x="3"/>
        <item x="14"/>
        <item x="5"/>
        <item x="10"/>
        <item x="25"/>
        <item x="34"/>
        <item x="38"/>
        <item x="32"/>
        <item x="6"/>
        <item x="28"/>
        <item x="23"/>
        <item x="31"/>
        <item x="35"/>
        <item x="9"/>
        <item x="22"/>
        <item x="30"/>
        <item x="20"/>
        <item x="26"/>
        <item x="12"/>
        <item x="17"/>
        <item x="40"/>
        <item x="21"/>
        <item x="8"/>
        <item x="39"/>
        <item t="default"/>
      </items>
    </pivotField>
    <pivotField compact="0" numFmtId="177" showAll="0">
      <items count="89">
        <item x="32"/>
        <item x="84"/>
        <item x="51"/>
        <item x="78"/>
        <item x="75"/>
        <item x="48"/>
        <item x="54"/>
        <item x="28"/>
        <item x="37"/>
        <item x="5"/>
        <item x="61"/>
        <item x="59"/>
        <item x="63"/>
        <item x="66"/>
        <item x="58"/>
        <item x="68"/>
        <item x="20"/>
        <item x="50"/>
        <item x="49"/>
        <item x="41"/>
        <item x="36"/>
        <item x="1"/>
        <item x="42"/>
        <item x="13"/>
        <item x="45"/>
        <item x="4"/>
        <item x="86"/>
        <item x="30"/>
        <item x="87"/>
        <item x="3"/>
        <item x="2"/>
        <item x="70"/>
        <item x="38"/>
        <item x="23"/>
        <item x="16"/>
        <item x="24"/>
        <item x="43"/>
        <item x="35"/>
        <item x="14"/>
        <item x="46"/>
        <item x="29"/>
        <item x="25"/>
        <item x="56"/>
        <item x="31"/>
        <item x="44"/>
        <item x="40"/>
        <item x="18"/>
        <item x="17"/>
        <item x="6"/>
        <item x="9"/>
        <item x="33"/>
        <item x="8"/>
        <item x="74"/>
        <item x="39"/>
        <item x="55"/>
        <item x="62"/>
        <item x="67"/>
        <item x="0"/>
        <item x="60"/>
        <item x="72"/>
        <item x="73"/>
        <item x="64"/>
        <item x="83"/>
        <item x="27"/>
        <item x="22"/>
        <item x="21"/>
        <item x="19"/>
        <item x="81"/>
        <item x="26"/>
        <item x="69"/>
        <item x="10"/>
        <item x="71"/>
        <item x="7"/>
        <item x="34"/>
        <item x="57"/>
        <item x="11"/>
        <item x="53"/>
        <item x="47"/>
        <item x="65"/>
        <item x="52"/>
        <item x="82"/>
        <item x="15"/>
        <item x="76"/>
        <item x="12"/>
        <item x="79"/>
        <item x="77"/>
        <item x="85"/>
        <item x="80"/>
        <item t="default"/>
      </items>
    </pivotField>
    <pivotField compact="0" numFmtId="1" showAll="0">
      <items count="9">
        <item x="6"/>
        <item x="7"/>
        <item x="2"/>
        <item x="1"/>
        <item x="0"/>
        <item x="3"/>
        <item x="4"/>
        <item x="5"/>
        <item t="default"/>
      </items>
    </pivotField>
    <pivotField compact="0" numFmtId="1" showAll="0">
      <items count="9">
        <item x="6"/>
        <item x="4"/>
        <item x="1"/>
        <item x="0"/>
        <item x="2"/>
        <item x="3"/>
        <item x="7"/>
        <item x="5"/>
        <item t="default"/>
      </items>
    </pivotField>
    <pivotField compact="0" numFmtId="1" showAll="0">
      <items count="4">
        <item x="0"/>
        <item x="1"/>
        <item x="2"/>
        <item t="default"/>
      </items>
    </pivotField>
    <pivotField compact="0" numFmtId="1" showAll="0">
      <items count="9">
        <item x="4"/>
        <item x="2"/>
        <item x="1"/>
        <item x="0"/>
        <item x="3"/>
        <item x="6"/>
        <item x="7"/>
        <item x="5"/>
        <item t="default"/>
      </items>
    </pivotField>
    <pivotField compact="0" numFmtId="1" showAll="0">
      <items count="3">
        <item x="0"/>
        <item x="1"/>
        <item t="default"/>
      </items>
    </pivotField>
    <pivotField dragToCol="0" dragToPage="0" dragToRow="0" compact="0" numFmtI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Income" fld="22" baseField="0" baseItem="0"/>
  </dataFields>
  <formats count="7">
    <format dxfId="2">
      <pivotArea collapsedLevelsAreSubtotals="1" fieldPosition="0"/>
    </format>
    <format dxfId="3">
      <pivotArea collapsedLevelsAreSubtotals="1" fieldPosition="0"/>
    </format>
    <format dxfId="4">
      <pivotArea collapsedLevelsAreSubtotals="1" fieldPosition="0"/>
    </format>
    <format dxfId="5">
      <pivotArea collapsedLevelsAreSubtotals="1" fieldPosition="0"/>
    </format>
    <format dxfId="6">
      <pivotArea collapsedLevelsAreSubtotals="1" fieldPosition="0"/>
    </format>
    <format dxfId="7">
      <pivotArea type="all" dataOnly="0" outline="0" fieldPosition="0"/>
    </format>
    <format dxfId="8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_Services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21:C34" firstHeaderRow="0" firstDataRow="1" firstDataCol="1"/>
  <pivotFields count="45">
    <pivotField axis="axisRow" name="Month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numFmtId="179" showAll="0">
      <items count="2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t="default"/>
      </items>
    </pivotField>
    <pivotField compact="0" showAll="0">
      <items count="6">
        <item x="2"/>
        <item x="3"/>
        <item x="4"/>
        <item x="0"/>
        <item x="1"/>
        <item t="default"/>
      </items>
    </pivotField>
    <pivotField compact="0" showAll="0">
      <items count="6">
        <item x="3"/>
        <item x="1"/>
        <item x="4"/>
        <item x="0"/>
        <item x="2"/>
        <item t="default"/>
      </items>
    </pivotField>
    <pivotField dataField="1" compact="0" showAll="0">
      <items count="6">
        <item x="2"/>
        <item x="1"/>
        <item x="3"/>
        <item x="0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2"/>
        <item x="3"/>
        <item x="1"/>
        <item x="0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dataField="1" compact="0" showAll="0">
      <items count="5">
        <item x="0"/>
        <item x="2"/>
        <item x="1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77" showAll="0">
      <items count="187">
        <item x="0"/>
        <item x="50"/>
        <item x="10"/>
        <item x="105"/>
        <item x="100"/>
        <item x="156"/>
        <item x="169"/>
        <item x="130"/>
        <item x="94"/>
        <item x="99"/>
        <item x="98"/>
        <item x="142"/>
        <item x="53"/>
        <item x="86"/>
        <item x="70"/>
        <item x="185"/>
        <item x="30"/>
        <item x="77"/>
        <item x="62"/>
        <item x="57"/>
        <item x="145"/>
        <item x="19"/>
        <item x="89"/>
        <item x="48"/>
        <item x="144"/>
        <item x="154"/>
        <item x="83"/>
        <item x="20"/>
        <item x="15"/>
        <item x="91"/>
        <item x="175"/>
        <item x="97"/>
        <item x="66"/>
        <item x="28"/>
        <item x="131"/>
        <item x="177"/>
        <item x="119"/>
        <item x="139"/>
        <item x="122"/>
        <item x="35"/>
        <item x="79"/>
        <item x="69"/>
        <item x="71"/>
        <item x="63"/>
        <item x="137"/>
        <item x="3"/>
        <item x="52"/>
        <item x="178"/>
        <item x="147"/>
        <item x="59"/>
        <item x="162"/>
        <item x="58"/>
        <item x="181"/>
        <item x="85"/>
        <item x="161"/>
        <item x="146"/>
        <item x="172"/>
        <item x="61"/>
        <item x="112"/>
        <item x="132"/>
        <item x="180"/>
        <item x="11"/>
        <item x="88"/>
        <item x="159"/>
        <item x="6"/>
        <item x="174"/>
        <item x="16"/>
        <item x="92"/>
        <item x="125"/>
        <item x="34"/>
        <item x="51"/>
        <item x="18"/>
        <item x="41"/>
        <item x="93"/>
        <item x="4"/>
        <item x="42"/>
        <item x="76"/>
        <item x="13"/>
        <item x="134"/>
        <item x="23"/>
        <item x="118"/>
        <item x="179"/>
        <item x="111"/>
        <item x="121"/>
        <item x="60"/>
        <item x="114"/>
        <item x="96"/>
        <item x="143"/>
        <item x="170"/>
        <item x="90"/>
        <item x="167"/>
        <item x="129"/>
        <item x="135"/>
        <item x="21"/>
        <item x="153"/>
        <item x="74"/>
        <item x="115"/>
        <item x="73"/>
        <item x="149"/>
        <item x="80"/>
        <item x="46"/>
        <item x="67"/>
        <item x="168"/>
        <item x="176"/>
        <item x="165"/>
        <item x="72"/>
        <item x="45"/>
        <item x="39"/>
        <item x="36"/>
        <item x="78"/>
        <item x="113"/>
        <item x="2"/>
        <item x="152"/>
        <item x="184"/>
        <item x="173"/>
        <item x="124"/>
        <item x="33"/>
        <item x="82"/>
        <item x="164"/>
        <item x="136"/>
        <item x="40"/>
        <item x="138"/>
        <item x="9"/>
        <item x="95"/>
        <item x="64"/>
        <item x="47"/>
        <item x="27"/>
        <item x="43"/>
        <item x="68"/>
        <item x="104"/>
        <item x="102"/>
        <item x="65"/>
        <item x="141"/>
        <item x="166"/>
        <item x="32"/>
        <item x="182"/>
        <item x="49"/>
        <item x="171"/>
        <item x="133"/>
        <item x="56"/>
        <item x="37"/>
        <item x="183"/>
        <item x="126"/>
        <item x="54"/>
        <item x="101"/>
        <item x="17"/>
        <item x="106"/>
        <item x="12"/>
        <item x="81"/>
        <item x="44"/>
        <item x="103"/>
        <item x="163"/>
        <item x="116"/>
        <item x="31"/>
        <item x="75"/>
        <item x="150"/>
        <item x="22"/>
        <item x="1"/>
        <item x="24"/>
        <item x="107"/>
        <item x="108"/>
        <item x="128"/>
        <item x="109"/>
        <item x="157"/>
        <item x="38"/>
        <item x="117"/>
        <item x="148"/>
        <item x="25"/>
        <item x="7"/>
        <item x="87"/>
        <item x="84"/>
        <item x="140"/>
        <item x="120"/>
        <item x="123"/>
        <item x="160"/>
        <item x="29"/>
        <item x="55"/>
        <item x="158"/>
        <item x="5"/>
        <item x="14"/>
        <item x="151"/>
        <item x="26"/>
        <item x="127"/>
        <item x="155"/>
        <item x="8"/>
        <item x="110"/>
        <item t="default"/>
      </items>
    </pivotField>
    <pivotField compact="0" numFmtId="177" showAll="0">
      <items count="83">
        <item x="0"/>
        <item x="27"/>
        <item x="45"/>
        <item x="14"/>
        <item x="81"/>
        <item x="23"/>
        <item x="68"/>
        <item x="67"/>
        <item x="80"/>
        <item x="72"/>
        <item x="21"/>
        <item x="22"/>
        <item x="25"/>
        <item x="30"/>
        <item x="32"/>
        <item x="70"/>
        <item x="2"/>
        <item x="75"/>
        <item x="55"/>
        <item x="3"/>
        <item x="13"/>
        <item x="16"/>
        <item x="29"/>
        <item x="37"/>
        <item x="4"/>
        <item x="47"/>
        <item x="26"/>
        <item x="1"/>
        <item x="51"/>
        <item x="69"/>
        <item x="7"/>
        <item x="6"/>
        <item x="8"/>
        <item x="43"/>
        <item x="44"/>
        <item x="58"/>
        <item x="40"/>
        <item x="11"/>
        <item x="74"/>
        <item x="36"/>
        <item x="65"/>
        <item x="34"/>
        <item x="60"/>
        <item x="33"/>
        <item x="59"/>
        <item x="61"/>
        <item x="71"/>
        <item x="31"/>
        <item x="42"/>
        <item x="62"/>
        <item x="50"/>
        <item x="12"/>
        <item x="17"/>
        <item x="48"/>
        <item x="54"/>
        <item x="28"/>
        <item x="15"/>
        <item x="5"/>
        <item x="66"/>
        <item x="63"/>
        <item x="20"/>
        <item x="9"/>
        <item x="52"/>
        <item x="77"/>
        <item x="39"/>
        <item x="79"/>
        <item x="24"/>
        <item x="56"/>
        <item x="19"/>
        <item x="57"/>
        <item x="76"/>
        <item x="53"/>
        <item x="64"/>
        <item x="49"/>
        <item x="18"/>
        <item x="41"/>
        <item x="73"/>
        <item x="38"/>
        <item x="35"/>
        <item x="10"/>
        <item x="78"/>
        <item x="46"/>
        <item t="default"/>
      </items>
    </pivotField>
    <pivotField compact="0" showAll="0">
      <items count="21">
        <item x="0"/>
        <item x="15"/>
        <item x="18"/>
        <item x="12"/>
        <item x="7"/>
        <item x="2"/>
        <item x="4"/>
        <item x="16"/>
        <item x="5"/>
        <item x="17"/>
        <item x="8"/>
        <item x="13"/>
        <item x="6"/>
        <item x="3"/>
        <item x="1"/>
        <item x="19"/>
        <item x="9"/>
        <item x="11"/>
        <item x="10"/>
        <item x="14"/>
        <item t="default"/>
      </items>
    </pivotField>
    <pivotField compact="0" numFmtId="178" showAll="0">
      <items count="262">
        <item x="146"/>
        <item x="55"/>
        <item x="71"/>
        <item x="81"/>
        <item x="10"/>
        <item x="207"/>
        <item x="31"/>
        <item x="73"/>
        <item x="201"/>
        <item x="257"/>
        <item x="30"/>
        <item x="250"/>
        <item x="0"/>
        <item x="88"/>
        <item x="191"/>
        <item x="140"/>
        <item x="243"/>
        <item x="158"/>
        <item x="170"/>
        <item x="144"/>
        <item x="51"/>
        <item x="173"/>
        <item x="143"/>
        <item x="127"/>
        <item x="212"/>
        <item x="60"/>
        <item x="135"/>
        <item x="36"/>
        <item x="222"/>
        <item x="63"/>
        <item x="38"/>
        <item x="241"/>
        <item x="72"/>
        <item x="85"/>
        <item x="57"/>
        <item x="248"/>
        <item x="106"/>
        <item x="12"/>
        <item x="131"/>
        <item x="166"/>
        <item x="58"/>
        <item x="181"/>
        <item x="115"/>
        <item x="123"/>
        <item x="121"/>
        <item x="226"/>
        <item x="49"/>
        <item x="20"/>
        <item x="138"/>
        <item x="190"/>
        <item x="220"/>
        <item x="53"/>
        <item x="130"/>
        <item x="7"/>
        <item x="129"/>
        <item x="230"/>
        <item x="249"/>
        <item x="56"/>
        <item x="65"/>
        <item x="47"/>
        <item x="120"/>
        <item x="219"/>
        <item x="228"/>
        <item x="208"/>
        <item x="66"/>
        <item x="119"/>
        <item x="179"/>
        <item x="246"/>
        <item x="244"/>
        <item x="200"/>
        <item x="82"/>
        <item x="24"/>
        <item x="45"/>
        <item x="163"/>
        <item x="97"/>
        <item x="86"/>
        <item x="16"/>
        <item x="101"/>
        <item x="103"/>
        <item x="125"/>
        <item x="91"/>
        <item x="227"/>
        <item x="64"/>
        <item x="165"/>
        <item x="3"/>
        <item x="118"/>
        <item x="221"/>
        <item x="206"/>
        <item x="104"/>
        <item x="157"/>
        <item x="183"/>
        <item x="6"/>
        <item x="245"/>
        <item x="252"/>
        <item x="61"/>
        <item x="95"/>
        <item x="254"/>
        <item x="48"/>
        <item x="229"/>
        <item x="172"/>
        <item x="152"/>
        <item x="203"/>
        <item x="2"/>
        <item x="99"/>
        <item x="41"/>
        <item x="145"/>
        <item x="237"/>
        <item x="93"/>
        <item x="134"/>
        <item x="225"/>
        <item x="111"/>
        <item x="233"/>
        <item x="139"/>
        <item x="171"/>
        <item x="195"/>
        <item x="126"/>
        <item x="78"/>
        <item x="205"/>
        <item x="76"/>
        <item x="32"/>
        <item x="67"/>
        <item x="153"/>
        <item x="167"/>
        <item x="189"/>
        <item x="68"/>
        <item x="77"/>
        <item x="160"/>
        <item x="35"/>
        <item x="242"/>
        <item x="209"/>
        <item x="199"/>
        <item x="258"/>
        <item x="42"/>
        <item x="50"/>
        <item x="69"/>
        <item x="210"/>
        <item x="159"/>
        <item x="37"/>
        <item x="4"/>
        <item x="19"/>
        <item x="40"/>
        <item x="216"/>
        <item x="74"/>
        <item x="13"/>
        <item x="54"/>
        <item x="109"/>
        <item x="162"/>
        <item x="184"/>
        <item x="46"/>
        <item x="214"/>
        <item x="26"/>
        <item x="100"/>
        <item x="235"/>
        <item x="80"/>
        <item x="192"/>
        <item x="8"/>
        <item x="168"/>
        <item x="124"/>
        <item x="151"/>
        <item x="202"/>
        <item x="234"/>
        <item x="238"/>
        <item x="39"/>
        <item x="204"/>
        <item x="169"/>
        <item x="188"/>
        <item x="92"/>
        <item x="98"/>
        <item x="52"/>
        <item x="142"/>
        <item x="150"/>
        <item x="180"/>
        <item x="110"/>
        <item x="182"/>
        <item x="114"/>
        <item x="28"/>
        <item x="21"/>
        <item x="177"/>
        <item x="84"/>
        <item x="223"/>
        <item x="256"/>
        <item x="113"/>
        <item x="141"/>
        <item x="260"/>
        <item x="239"/>
        <item x="70"/>
        <item x="79"/>
        <item x="147"/>
        <item x="29"/>
        <item x="5"/>
        <item x="259"/>
        <item x="105"/>
        <item x="251"/>
        <item x="224"/>
        <item x="132"/>
        <item x="90"/>
        <item x="155"/>
        <item x="87"/>
        <item x="211"/>
        <item x="156"/>
        <item x="164"/>
        <item x="236"/>
        <item x="178"/>
        <item x="149"/>
        <item x="75"/>
        <item x="89"/>
        <item x="133"/>
        <item x="240"/>
        <item x="25"/>
        <item x="154"/>
        <item x="217"/>
        <item x="185"/>
        <item x="232"/>
        <item x="102"/>
        <item x="231"/>
        <item x="17"/>
        <item x="117"/>
        <item x="253"/>
        <item x="247"/>
        <item x="23"/>
        <item x="215"/>
        <item x="96"/>
        <item x="137"/>
        <item x="34"/>
        <item x="176"/>
        <item x="94"/>
        <item x="161"/>
        <item x="255"/>
        <item x="11"/>
        <item x="27"/>
        <item x="15"/>
        <item x="1"/>
        <item x="197"/>
        <item x="62"/>
        <item x="107"/>
        <item x="9"/>
        <item x="174"/>
        <item x="112"/>
        <item x="59"/>
        <item x="198"/>
        <item x="128"/>
        <item x="122"/>
        <item x="44"/>
        <item x="136"/>
        <item x="43"/>
        <item x="193"/>
        <item x="83"/>
        <item x="186"/>
        <item x="194"/>
        <item x="33"/>
        <item x="14"/>
        <item x="218"/>
        <item x="148"/>
        <item x="108"/>
        <item x="196"/>
        <item x="18"/>
        <item x="175"/>
        <item x="116"/>
        <item x="22"/>
        <item x="187"/>
        <item x="213"/>
        <item t="default"/>
      </items>
    </pivotField>
    <pivotField compact="0" showAll="0">
      <items count="244">
        <item x="108"/>
        <item x="106"/>
        <item x="188"/>
        <item x="150"/>
        <item x="100"/>
        <item x="178"/>
        <item x="162"/>
        <item x="234"/>
        <item x="37"/>
        <item x="47"/>
        <item x="16"/>
        <item x="2"/>
        <item x="161"/>
        <item x="144"/>
        <item x="233"/>
        <item x="235"/>
        <item x="71"/>
        <item x="189"/>
        <item x="18"/>
        <item x="48"/>
        <item x="186"/>
        <item x="120"/>
        <item x="142"/>
        <item x="154"/>
        <item x="83"/>
        <item x="123"/>
        <item x="98"/>
        <item x="164"/>
        <item x="133"/>
        <item x="156"/>
        <item x="115"/>
        <item x="230"/>
        <item x="110"/>
        <item x="41"/>
        <item x="147"/>
        <item x="187"/>
        <item x="223"/>
        <item x="42"/>
        <item x="181"/>
        <item x="218"/>
        <item x="77"/>
        <item x="38"/>
        <item x="36"/>
        <item x="72"/>
        <item x="109"/>
        <item x="159"/>
        <item x="65"/>
        <item x="103"/>
        <item x="50"/>
        <item x="85"/>
        <item x="212"/>
        <item x="199"/>
        <item x="24"/>
        <item x="86"/>
        <item x="111"/>
        <item x="55"/>
        <item x="134"/>
        <item x="132"/>
        <item x="73"/>
        <item x="168"/>
        <item x="239"/>
        <item x="40"/>
        <item x="87"/>
        <item x="153"/>
        <item x="30"/>
        <item x="117"/>
        <item x="190"/>
        <item x="3"/>
        <item x="229"/>
        <item x="10"/>
        <item x="143"/>
        <item x="97"/>
        <item x="99"/>
        <item x="92"/>
        <item x="43"/>
        <item x="9"/>
        <item x="56"/>
        <item x="225"/>
        <item x="145"/>
        <item x="129"/>
        <item x="89"/>
        <item x="1"/>
        <item x="127"/>
        <item x="57"/>
        <item x="96"/>
        <item x="167"/>
        <item x="160"/>
        <item x="54"/>
        <item x="148"/>
        <item x="63"/>
        <item x="213"/>
        <item x="193"/>
        <item x="140"/>
        <item x="172"/>
        <item x="107"/>
        <item x="58"/>
        <item x="122"/>
        <item x="184"/>
        <item x="125"/>
        <item x="135"/>
        <item x="221"/>
        <item x="26"/>
        <item x="7"/>
        <item x="177"/>
        <item x="49"/>
        <item x="197"/>
        <item x="203"/>
        <item x="28"/>
        <item x="209"/>
        <item x="242"/>
        <item x="146"/>
        <item x="149"/>
        <item x="124"/>
        <item x="232"/>
        <item x="76"/>
        <item x="11"/>
        <item x="166"/>
        <item x="228"/>
        <item x="62"/>
        <item x="195"/>
        <item x="126"/>
        <item x="192"/>
        <item x="208"/>
        <item x="174"/>
        <item x="130"/>
        <item x="226"/>
        <item x="207"/>
        <item x="53"/>
        <item x="171"/>
        <item x="22"/>
        <item x="236"/>
        <item x="200"/>
        <item x="231"/>
        <item x="45"/>
        <item x="74"/>
        <item x="88"/>
        <item x="238"/>
        <item x="104"/>
        <item x="17"/>
        <item x="173"/>
        <item x="194"/>
        <item x="75"/>
        <item x="67"/>
        <item x="128"/>
        <item x="101"/>
        <item x="6"/>
        <item x="78"/>
        <item x="210"/>
        <item x="44"/>
        <item x="34"/>
        <item x="31"/>
        <item x="4"/>
        <item x="237"/>
        <item x="183"/>
        <item x="32"/>
        <item x="214"/>
        <item x="84"/>
        <item x="141"/>
        <item x="19"/>
        <item x="91"/>
        <item x="196"/>
        <item x="227"/>
        <item x="118"/>
        <item x="8"/>
        <item x="152"/>
        <item x="241"/>
        <item x="165"/>
        <item x="220"/>
        <item x="121"/>
        <item x="224"/>
        <item x="82"/>
        <item x="182"/>
        <item x="105"/>
        <item x="112"/>
        <item x="114"/>
        <item x="180"/>
        <item x="61"/>
        <item x="33"/>
        <item x="68"/>
        <item x="0"/>
        <item x="222"/>
        <item x="64"/>
        <item x="191"/>
        <item x="81"/>
        <item x="202"/>
        <item x="151"/>
        <item x="46"/>
        <item x="12"/>
        <item x="157"/>
        <item x="59"/>
        <item x="29"/>
        <item x="70"/>
        <item x="138"/>
        <item x="102"/>
        <item x="15"/>
        <item x="80"/>
        <item x="137"/>
        <item x="95"/>
        <item x="201"/>
        <item x="215"/>
        <item x="240"/>
        <item x="219"/>
        <item x="25"/>
        <item x="27"/>
        <item x="52"/>
        <item x="169"/>
        <item x="5"/>
        <item x="21"/>
        <item x="185"/>
        <item x="198"/>
        <item x="113"/>
        <item x="217"/>
        <item x="69"/>
        <item x="158"/>
        <item x="79"/>
        <item x="155"/>
        <item x="205"/>
        <item x="66"/>
        <item x="175"/>
        <item x="206"/>
        <item x="93"/>
        <item x="23"/>
        <item x="90"/>
        <item x="60"/>
        <item x="116"/>
        <item x="131"/>
        <item x="139"/>
        <item x="94"/>
        <item x="179"/>
        <item x="13"/>
        <item x="14"/>
        <item x="51"/>
        <item x="136"/>
        <item x="20"/>
        <item x="176"/>
        <item x="39"/>
        <item x="35"/>
        <item x="216"/>
        <item x="119"/>
        <item x="170"/>
        <item x="163"/>
        <item x="204"/>
        <item x="211"/>
        <item t="default"/>
      </items>
    </pivotField>
    <pivotField compact="0" showAll="0">
      <items count="168">
        <item x="89"/>
        <item x="99"/>
        <item x="46"/>
        <item x="109"/>
        <item x="38"/>
        <item x="9"/>
        <item x="45"/>
        <item x="2"/>
        <item x="84"/>
        <item x="69"/>
        <item x="35"/>
        <item x="37"/>
        <item x="114"/>
        <item x="68"/>
        <item x="85"/>
        <item x="165"/>
        <item x="17"/>
        <item x="118"/>
        <item x="137"/>
        <item x="22"/>
        <item x="97"/>
        <item x="28"/>
        <item x="162"/>
        <item x="75"/>
        <item x="67"/>
        <item x="116"/>
        <item x="34"/>
        <item x="120"/>
        <item x="161"/>
        <item x="70"/>
        <item x="15"/>
        <item x="54"/>
        <item x="91"/>
        <item x="121"/>
        <item x="148"/>
        <item x="72"/>
        <item x="139"/>
        <item x="102"/>
        <item x="7"/>
        <item x="52"/>
        <item x="87"/>
        <item x="60"/>
        <item x="31"/>
        <item x="39"/>
        <item x="71"/>
        <item x="100"/>
        <item x="107"/>
        <item x="122"/>
        <item x="136"/>
        <item x="63"/>
        <item x="77"/>
        <item x="59"/>
        <item x="127"/>
        <item x="3"/>
        <item x="40"/>
        <item x="49"/>
        <item x="4"/>
        <item x="81"/>
        <item x="117"/>
        <item x="30"/>
        <item x="113"/>
        <item x="151"/>
        <item x="155"/>
        <item x="103"/>
        <item x="163"/>
        <item x="106"/>
        <item x="14"/>
        <item x="62"/>
        <item x="146"/>
        <item x="1"/>
        <item x="56"/>
        <item x="19"/>
        <item x="53"/>
        <item x="157"/>
        <item x="43"/>
        <item x="80"/>
        <item x="27"/>
        <item x="90"/>
        <item x="61"/>
        <item x="76"/>
        <item x="144"/>
        <item x="124"/>
        <item x="108"/>
        <item x="66"/>
        <item x="64"/>
        <item x="24"/>
        <item x="11"/>
        <item x="159"/>
        <item x="16"/>
        <item x="138"/>
        <item x="104"/>
        <item x="79"/>
        <item x="48"/>
        <item x="86"/>
        <item x="166"/>
        <item x="111"/>
        <item x="25"/>
        <item x="130"/>
        <item x="94"/>
        <item x="140"/>
        <item x="55"/>
        <item x="32"/>
        <item x="95"/>
        <item x="112"/>
        <item x="149"/>
        <item x="134"/>
        <item x="101"/>
        <item x="156"/>
        <item x="82"/>
        <item x="6"/>
        <item x="78"/>
        <item x="26"/>
        <item x="131"/>
        <item x="150"/>
        <item x="57"/>
        <item x="8"/>
        <item x="143"/>
        <item x="0"/>
        <item x="119"/>
        <item x="158"/>
        <item x="41"/>
        <item x="29"/>
        <item x="125"/>
        <item x="88"/>
        <item x="10"/>
        <item x="20"/>
        <item x="42"/>
        <item x="105"/>
        <item x="73"/>
        <item x="164"/>
        <item x="12"/>
        <item x="98"/>
        <item x="147"/>
        <item x="135"/>
        <item x="74"/>
        <item x="92"/>
        <item x="58"/>
        <item x="47"/>
        <item x="132"/>
        <item x="110"/>
        <item x="21"/>
        <item x="133"/>
        <item x="36"/>
        <item x="153"/>
        <item x="33"/>
        <item x="128"/>
        <item x="145"/>
        <item x="154"/>
        <item x="115"/>
        <item x="13"/>
        <item x="5"/>
        <item x="50"/>
        <item x="51"/>
        <item x="23"/>
        <item x="160"/>
        <item x="152"/>
        <item x="129"/>
        <item x="18"/>
        <item x="141"/>
        <item x="142"/>
        <item x="83"/>
        <item x="126"/>
        <item x="65"/>
        <item x="93"/>
        <item x="44"/>
        <item x="123"/>
        <item x="96"/>
        <item t="default"/>
      </items>
    </pivotField>
    <pivotField compact="0" numFmtId="177" showAll="0">
      <items count="5">
        <item x="3"/>
        <item x="0"/>
        <item x="1"/>
        <item x="2"/>
        <item t="default"/>
      </items>
    </pivotField>
    <pivotField compact="0" numFmtId="177" showAll="0">
      <items count="4">
        <item x="2"/>
        <item x="1"/>
        <item x="0"/>
        <item t="default"/>
      </items>
    </pivotField>
    <pivotField compact="0" numFmtId="177" showAll="0">
      <items count="4">
        <item x="1"/>
        <item x="2"/>
        <item x="0"/>
        <item t="default"/>
      </items>
    </pivotField>
    <pivotField compact="0" numFmtId="177" showAll="0">
      <items count="4">
        <item x="0"/>
        <item x="1"/>
        <item x="2"/>
        <item t="default"/>
      </items>
    </pivotField>
    <pivotField compact="0" numFmtId="177" showAll="0">
      <items count="6">
        <item x="1"/>
        <item x="2"/>
        <item x="3"/>
        <item x="0"/>
        <item x="4"/>
        <item t="default"/>
      </items>
    </pivotField>
    <pivotField compact="0" numFmtId="177" showAll="0">
      <items count="5">
        <item x="0"/>
        <item x="2"/>
        <item x="1"/>
        <item x="3"/>
        <item t="default"/>
      </items>
    </pivotField>
    <pivotField compact="0" numFmtId="177" showAll="0">
      <items count="16">
        <item x="14"/>
        <item x="10"/>
        <item x="11"/>
        <item x="4"/>
        <item x="1"/>
        <item x="7"/>
        <item x="2"/>
        <item x="0"/>
        <item x="3"/>
        <item x="5"/>
        <item x="8"/>
        <item x="9"/>
        <item x="6"/>
        <item x="13"/>
        <item x="12"/>
        <item t="default"/>
      </items>
    </pivotField>
    <pivotField compact="0" numFmtId="177" showAll="0">
      <items count="41">
        <item x="24"/>
        <item x="29"/>
        <item x="21"/>
        <item x="13"/>
        <item x="4"/>
        <item x="19"/>
        <item x="11"/>
        <item x="3"/>
        <item x="23"/>
        <item x="7"/>
        <item x="15"/>
        <item x="8"/>
        <item x="31"/>
        <item x="16"/>
        <item x="0"/>
        <item x="18"/>
        <item x="14"/>
        <item x="5"/>
        <item x="28"/>
        <item x="10"/>
        <item x="33"/>
        <item x="2"/>
        <item x="1"/>
        <item x="22"/>
        <item x="32"/>
        <item x="27"/>
        <item x="34"/>
        <item x="36"/>
        <item x="35"/>
        <item x="12"/>
        <item x="25"/>
        <item x="38"/>
        <item x="26"/>
        <item x="17"/>
        <item x="30"/>
        <item x="20"/>
        <item x="6"/>
        <item x="37"/>
        <item x="39"/>
        <item x="9"/>
        <item t="default"/>
      </items>
    </pivotField>
    <pivotField compact="0" numFmtId="177" showAll="0">
      <items count="21">
        <item x="4"/>
        <item x="11"/>
        <item x="2"/>
        <item x="9"/>
        <item x="3"/>
        <item x="1"/>
        <item x="5"/>
        <item x="16"/>
        <item x="6"/>
        <item x="12"/>
        <item x="17"/>
        <item x="14"/>
        <item x="0"/>
        <item x="10"/>
        <item x="13"/>
        <item x="15"/>
        <item x="18"/>
        <item x="8"/>
        <item x="7"/>
        <item x="19"/>
        <item t="default"/>
      </items>
    </pivotField>
    <pivotField compact="0" numFmtId="177" showAll="0">
      <items count="21">
        <item x="1"/>
        <item x="8"/>
        <item x="11"/>
        <item x="5"/>
        <item x="14"/>
        <item x="2"/>
        <item x="13"/>
        <item x="10"/>
        <item x="4"/>
        <item x="16"/>
        <item x="6"/>
        <item x="9"/>
        <item x="3"/>
        <item x="7"/>
        <item x="12"/>
        <item x="0"/>
        <item x="17"/>
        <item x="15"/>
        <item x="18"/>
        <item x="19"/>
        <item t="default"/>
      </items>
    </pivotField>
    <pivotField compact="0" numFmtId="177" showAll="0">
      <items count="21">
        <item x="0"/>
        <item x="13"/>
        <item x="1"/>
        <item x="2"/>
        <item x="3"/>
        <item x="4"/>
        <item x="6"/>
        <item x="10"/>
        <item x="9"/>
        <item x="7"/>
        <item x="5"/>
        <item x="14"/>
        <item x="11"/>
        <item x="17"/>
        <item x="19"/>
        <item x="15"/>
        <item x="18"/>
        <item x="12"/>
        <item x="16"/>
        <item x="8"/>
        <item t="default"/>
      </items>
    </pivotField>
    <pivotField compact="0" numFmtId="177" showAll="0">
      <items count="50">
        <item x="35"/>
        <item x="30"/>
        <item x="25"/>
        <item x="4"/>
        <item x="13"/>
        <item x="3"/>
        <item x="11"/>
        <item x="1"/>
        <item x="42"/>
        <item x="23"/>
        <item x="22"/>
        <item x="28"/>
        <item x="43"/>
        <item x="16"/>
        <item x="20"/>
        <item x="14"/>
        <item x="34"/>
        <item x="2"/>
        <item x="27"/>
        <item x="7"/>
        <item x="19"/>
        <item x="41"/>
        <item x="8"/>
        <item x="26"/>
        <item x="38"/>
        <item x="24"/>
        <item x="36"/>
        <item x="5"/>
        <item x="33"/>
        <item x="18"/>
        <item x="6"/>
        <item x="37"/>
        <item x="40"/>
        <item x="0"/>
        <item x="12"/>
        <item x="39"/>
        <item x="21"/>
        <item x="46"/>
        <item x="15"/>
        <item x="31"/>
        <item x="10"/>
        <item x="47"/>
        <item x="9"/>
        <item x="29"/>
        <item x="48"/>
        <item x="45"/>
        <item x="17"/>
        <item x="32"/>
        <item x="44"/>
        <item t="default"/>
      </items>
    </pivotField>
    <pivotField compact="0" numFmtId="177" showAll="0">
      <items count="42">
        <item x="27"/>
        <item x="24"/>
        <item x="36"/>
        <item x="13"/>
        <item x="0"/>
        <item x="19"/>
        <item x="11"/>
        <item x="7"/>
        <item x="29"/>
        <item x="18"/>
        <item x="16"/>
        <item x="1"/>
        <item x="15"/>
        <item x="4"/>
        <item x="2"/>
        <item x="33"/>
        <item x="37"/>
        <item x="3"/>
        <item x="14"/>
        <item x="5"/>
        <item x="10"/>
        <item x="25"/>
        <item x="34"/>
        <item x="38"/>
        <item x="32"/>
        <item x="6"/>
        <item x="28"/>
        <item x="23"/>
        <item x="31"/>
        <item x="35"/>
        <item x="9"/>
        <item x="22"/>
        <item x="30"/>
        <item x="20"/>
        <item x="26"/>
        <item x="12"/>
        <item x="17"/>
        <item x="40"/>
        <item x="21"/>
        <item x="8"/>
        <item x="39"/>
        <item t="default"/>
      </items>
    </pivotField>
    <pivotField compact="0" numFmtId="177" showAll="0">
      <items count="89">
        <item x="32"/>
        <item x="84"/>
        <item x="51"/>
        <item x="78"/>
        <item x="75"/>
        <item x="48"/>
        <item x="54"/>
        <item x="28"/>
        <item x="37"/>
        <item x="5"/>
        <item x="61"/>
        <item x="59"/>
        <item x="63"/>
        <item x="66"/>
        <item x="58"/>
        <item x="68"/>
        <item x="20"/>
        <item x="50"/>
        <item x="49"/>
        <item x="41"/>
        <item x="36"/>
        <item x="1"/>
        <item x="42"/>
        <item x="13"/>
        <item x="45"/>
        <item x="4"/>
        <item x="86"/>
        <item x="30"/>
        <item x="87"/>
        <item x="3"/>
        <item x="2"/>
        <item x="70"/>
        <item x="38"/>
        <item x="23"/>
        <item x="16"/>
        <item x="24"/>
        <item x="43"/>
        <item x="35"/>
        <item x="14"/>
        <item x="46"/>
        <item x="29"/>
        <item x="25"/>
        <item x="56"/>
        <item x="31"/>
        <item x="44"/>
        <item x="40"/>
        <item x="18"/>
        <item x="17"/>
        <item x="6"/>
        <item x="9"/>
        <item x="33"/>
        <item x="8"/>
        <item x="74"/>
        <item x="39"/>
        <item x="55"/>
        <item x="62"/>
        <item x="67"/>
        <item x="0"/>
        <item x="60"/>
        <item x="72"/>
        <item x="73"/>
        <item x="64"/>
        <item x="83"/>
        <item x="27"/>
        <item x="22"/>
        <item x="21"/>
        <item x="19"/>
        <item x="81"/>
        <item x="26"/>
        <item x="69"/>
        <item x="10"/>
        <item x="71"/>
        <item x="7"/>
        <item x="34"/>
        <item x="57"/>
        <item x="11"/>
        <item x="53"/>
        <item x="47"/>
        <item x="65"/>
        <item x="52"/>
        <item x="82"/>
        <item x="15"/>
        <item x="76"/>
        <item x="12"/>
        <item x="79"/>
        <item x="77"/>
        <item x="85"/>
        <item x="80"/>
        <item t="default"/>
      </items>
    </pivotField>
    <pivotField compact="0" numFmtId="1" showAll="0">
      <items count="9">
        <item x="6"/>
        <item x="7"/>
        <item x="2"/>
        <item x="1"/>
        <item x="0"/>
        <item x="3"/>
        <item x="4"/>
        <item x="5"/>
        <item t="default"/>
      </items>
    </pivotField>
    <pivotField compact="0" numFmtId="1" showAll="0">
      <items count="9">
        <item x="6"/>
        <item x="4"/>
        <item x="1"/>
        <item x="0"/>
        <item x="2"/>
        <item x="3"/>
        <item x="7"/>
        <item x="5"/>
        <item t="default"/>
      </items>
    </pivotField>
    <pivotField compact="0" numFmtId="1" showAll="0">
      <items count="4">
        <item x="0"/>
        <item x="1"/>
        <item x="2"/>
        <item t="default"/>
      </items>
    </pivotField>
    <pivotField compact="0" numFmtId="1" showAll="0">
      <items count="9">
        <item x="4"/>
        <item x="2"/>
        <item x="1"/>
        <item x="0"/>
        <item x="3"/>
        <item x="6"/>
        <item x="7"/>
        <item x="5"/>
        <item t="default"/>
      </items>
    </pivotField>
    <pivotField compact="0" numFmtId="1" showAll="0">
      <items count="3">
        <item x="0"/>
        <item x="1"/>
        <item t="default"/>
      </items>
    </pivotField>
    <pivotField dragToCol="0" dragToPage="0" dragToRow="0" compact="0" numFmtI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Interview Styling Completed" fld="6" baseField="0" baseItem="0"/>
    <dataField name="Sum of Confidence Styling Completed" fld="11" baseField="0" baseItem="0"/>
  </dataFields>
  <formats count="2">
    <format dxfId="9">
      <pivotArea type="all" dataOnly="0" outline="0" fieldPosition="0"/>
    </format>
    <format dxfId="10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_Gender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6:C37" firstHeaderRow="0" firstDataRow="1" firstDataCol="0"/>
  <pivotFields count="45">
    <pivotField name="Month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numFmtId="179" showAll="0">
      <items count="2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t="default"/>
      </items>
    </pivotField>
    <pivotField compact="0" showAll="0">
      <items count="6">
        <item x="2"/>
        <item x="3"/>
        <item x="4"/>
        <item x="0"/>
        <item x="1"/>
        <item t="default"/>
      </items>
    </pivotField>
    <pivotField compact="0" showAll="0">
      <items count="6">
        <item x="3"/>
        <item x="1"/>
        <item x="4"/>
        <item x="0"/>
        <item x="2"/>
        <item t="default"/>
      </items>
    </pivotField>
    <pivotField compact="0" showAll="0">
      <items count="6">
        <item x="2"/>
        <item x="1"/>
        <item x="3"/>
        <item x="0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2"/>
        <item x="3"/>
        <item x="1"/>
        <item x="0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77" showAll="0">
      <items count="187">
        <item x="0"/>
        <item x="50"/>
        <item x="10"/>
        <item x="105"/>
        <item x="100"/>
        <item x="156"/>
        <item x="169"/>
        <item x="130"/>
        <item x="94"/>
        <item x="99"/>
        <item x="98"/>
        <item x="142"/>
        <item x="53"/>
        <item x="86"/>
        <item x="70"/>
        <item x="185"/>
        <item x="30"/>
        <item x="77"/>
        <item x="62"/>
        <item x="57"/>
        <item x="145"/>
        <item x="19"/>
        <item x="89"/>
        <item x="48"/>
        <item x="144"/>
        <item x="154"/>
        <item x="83"/>
        <item x="20"/>
        <item x="15"/>
        <item x="91"/>
        <item x="175"/>
        <item x="97"/>
        <item x="66"/>
        <item x="28"/>
        <item x="131"/>
        <item x="177"/>
        <item x="119"/>
        <item x="139"/>
        <item x="122"/>
        <item x="35"/>
        <item x="79"/>
        <item x="69"/>
        <item x="71"/>
        <item x="63"/>
        <item x="137"/>
        <item x="3"/>
        <item x="52"/>
        <item x="178"/>
        <item x="147"/>
        <item x="59"/>
        <item x="162"/>
        <item x="58"/>
        <item x="181"/>
        <item x="85"/>
        <item x="161"/>
        <item x="146"/>
        <item x="172"/>
        <item x="61"/>
        <item x="112"/>
        <item x="132"/>
        <item x="180"/>
        <item x="11"/>
        <item x="88"/>
        <item x="159"/>
        <item x="6"/>
        <item x="174"/>
        <item x="16"/>
        <item x="92"/>
        <item x="125"/>
        <item x="34"/>
        <item x="51"/>
        <item x="18"/>
        <item x="41"/>
        <item x="93"/>
        <item x="4"/>
        <item x="42"/>
        <item x="76"/>
        <item x="13"/>
        <item x="134"/>
        <item x="23"/>
        <item x="118"/>
        <item x="179"/>
        <item x="111"/>
        <item x="121"/>
        <item x="60"/>
        <item x="114"/>
        <item x="96"/>
        <item x="143"/>
        <item x="170"/>
        <item x="90"/>
        <item x="167"/>
        <item x="129"/>
        <item x="135"/>
        <item x="21"/>
        <item x="153"/>
        <item x="74"/>
        <item x="115"/>
        <item x="73"/>
        <item x="149"/>
        <item x="80"/>
        <item x="46"/>
        <item x="67"/>
        <item x="168"/>
        <item x="176"/>
        <item x="165"/>
        <item x="72"/>
        <item x="45"/>
        <item x="39"/>
        <item x="36"/>
        <item x="78"/>
        <item x="113"/>
        <item x="2"/>
        <item x="152"/>
        <item x="184"/>
        <item x="173"/>
        <item x="124"/>
        <item x="33"/>
        <item x="82"/>
        <item x="164"/>
        <item x="136"/>
        <item x="40"/>
        <item x="138"/>
        <item x="9"/>
        <item x="95"/>
        <item x="64"/>
        <item x="47"/>
        <item x="27"/>
        <item x="43"/>
        <item x="68"/>
        <item x="104"/>
        <item x="102"/>
        <item x="65"/>
        <item x="141"/>
        <item x="166"/>
        <item x="32"/>
        <item x="182"/>
        <item x="49"/>
        <item x="171"/>
        <item x="133"/>
        <item x="56"/>
        <item x="37"/>
        <item x="183"/>
        <item x="126"/>
        <item x="54"/>
        <item x="101"/>
        <item x="17"/>
        <item x="106"/>
        <item x="12"/>
        <item x="81"/>
        <item x="44"/>
        <item x="103"/>
        <item x="163"/>
        <item x="116"/>
        <item x="31"/>
        <item x="75"/>
        <item x="150"/>
        <item x="22"/>
        <item x="1"/>
        <item x="24"/>
        <item x="107"/>
        <item x="108"/>
        <item x="128"/>
        <item x="109"/>
        <item x="157"/>
        <item x="38"/>
        <item x="117"/>
        <item x="148"/>
        <item x="25"/>
        <item x="7"/>
        <item x="87"/>
        <item x="84"/>
        <item x="140"/>
        <item x="120"/>
        <item x="123"/>
        <item x="160"/>
        <item x="29"/>
        <item x="55"/>
        <item x="158"/>
        <item x="5"/>
        <item x="14"/>
        <item x="151"/>
        <item x="26"/>
        <item x="127"/>
        <item x="155"/>
        <item x="8"/>
        <item x="110"/>
        <item t="default"/>
      </items>
    </pivotField>
    <pivotField compact="0" numFmtId="177" showAll="0">
      <items count="83">
        <item x="0"/>
        <item x="27"/>
        <item x="45"/>
        <item x="14"/>
        <item x="81"/>
        <item x="23"/>
        <item x="68"/>
        <item x="67"/>
        <item x="80"/>
        <item x="72"/>
        <item x="21"/>
        <item x="22"/>
        <item x="25"/>
        <item x="30"/>
        <item x="32"/>
        <item x="70"/>
        <item x="2"/>
        <item x="75"/>
        <item x="55"/>
        <item x="3"/>
        <item x="13"/>
        <item x="16"/>
        <item x="29"/>
        <item x="37"/>
        <item x="4"/>
        <item x="47"/>
        <item x="26"/>
        <item x="1"/>
        <item x="51"/>
        <item x="69"/>
        <item x="7"/>
        <item x="6"/>
        <item x="8"/>
        <item x="43"/>
        <item x="44"/>
        <item x="58"/>
        <item x="40"/>
        <item x="11"/>
        <item x="74"/>
        <item x="36"/>
        <item x="65"/>
        <item x="34"/>
        <item x="60"/>
        <item x="33"/>
        <item x="59"/>
        <item x="61"/>
        <item x="71"/>
        <item x="31"/>
        <item x="42"/>
        <item x="62"/>
        <item x="50"/>
        <item x="12"/>
        <item x="17"/>
        <item x="48"/>
        <item x="54"/>
        <item x="28"/>
        <item x="15"/>
        <item x="5"/>
        <item x="66"/>
        <item x="63"/>
        <item x="20"/>
        <item x="9"/>
        <item x="52"/>
        <item x="77"/>
        <item x="39"/>
        <item x="79"/>
        <item x="24"/>
        <item x="56"/>
        <item x="19"/>
        <item x="57"/>
        <item x="76"/>
        <item x="53"/>
        <item x="64"/>
        <item x="49"/>
        <item x="18"/>
        <item x="41"/>
        <item x="73"/>
        <item x="38"/>
        <item x="35"/>
        <item x="10"/>
        <item x="78"/>
        <item x="46"/>
        <item t="default"/>
      </items>
    </pivotField>
    <pivotField compact="0" showAll="0">
      <items count="21">
        <item x="0"/>
        <item x="15"/>
        <item x="18"/>
        <item x="12"/>
        <item x="7"/>
        <item x="2"/>
        <item x="4"/>
        <item x="16"/>
        <item x="5"/>
        <item x="17"/>
        <item x="8"/>
        <item x="13"/>
        <item x="6"/>
        <item x="3"/>
        <item x="1"/>
        <item x="19"/>
        <item x="9"/>
        <item x="11"/>
        <item x="10"/>
        <item x="14"/>
        <item t="default"/>
      </items>
    </pivotField>
    <pivotField compact="0" numFmtId="178" showAll="0">
      <items count="262">
        <item x="146"/>
        <item x="55"/>
        <item x="71"/>
        <item x="81"/>
        <item x="10"/>
        <item x="207"/>
        <item x="31"/>
        <item x="73"/>
        <item x="201"/>
        <item x="257"/>
        <item x="30"/>
        <item x="250"/>
        <item x="0"/>
        <item x="88"/>
        <item x="191"/>
        <item x="140"/>
        <item x="243"/>
        <item x="158"/>
        <item x="170"/>
        <item x="144"/>
        <item x="51"/>
        <item x="173"/>
        <item x="143"/>
        <item x="127"/>
        <item x="212"/>
        <item x="60"/>
        <item x="135"/>
        <item x="36"/>
        <item x="222"/>
        <item x="63"/>
        <item x="38"/>
        <item x="241"/>
        <item x="72"/>
        <item x="85"/>
        <item x="57"/>
        <item x="248"/>
        <item x="106"/>
        <item x="12"/>
        <item x="131"/>
        <item x="166"/>
        <item x="58"/>
        <item x="181"/>
        <item x="115"/>
        <item x="123"/>
        <item x="121"/>
        <item x="226"/>
        <item x="49"/>
        <item x="20"/>
        <item x="138"/>
        <item x="190"/>
        <item x="220"/>
        <item x="53"/>
        <item x="130"/>
        <item x="7"/>
        <item x="129"/>
        <item x="230"/>
        <item x="249"/>
        <item x="56"/>
        <item x="65"/>
        <item x="47"/>
        <item x="120"/>
        <item x="219"/>
        <item x="228"/>
        <item x="208"/>
        <item x="66"/>
        <item x="119"/>
        <item x="179"/>
        <item x="246"/>
        <item x="244"/>
        <item x="200"/>
        <item x="82"/>
        <item x="24"/>
        <item x="45"/>
        <item x="163"/>
        <item x="97"/>
        <item x="86"/>
        <item x="16"/>
        <item x="101"/>
        <item x="103"/>
        <item x="125"/>
        <item x="91"/>
        <item x="227"/>
        <item x="64"/>
        <item x="165"/>
        <item x="3"/>
        <item x="118"/>
        <item x="221"/>
        <item x="206"/>
        <item x="104"/>
        <item x="157"/>
        <item x="183"/>
        <item x="6"/>
        <item x="245"/>
        <item x="252"/>
        <item x="61"/>
        <item x="95"/>
        <item x="254"/>
        <item x="48"/>
        <item x="229"/>
        <item x="172"/>
        <item x="152"/>
        <item x="203"/>
        <item x="2"/>
        <item x="99"/>
        <item x="41"/>
        <item x="145"/>
        <item x="237"/>
        <item x="93"/>
        <item x="134"/>
        <item x="225"/>
        <item x="111"/>
        <item x="233"/>
        <item x="139"/>
        <item x="171"/>
        <item x="195"/>
        <item x="126"/>
        <item x="78"/>
        <item x="205"/>
        <item x="76"/>
        <item x="32"/>
        <item x="67"/>
        <item x="153"/>
        <item x="167"/>
        <item x="189"/>
        <item x="68"/>
        <item x="77"/>
        <item x="160"/>
        <item x="35"/>
        <item x="242"/>
        <item x="209"/>
        <item x="199"/>
        <item x="258"/>
        <item x="42"/>
        <item x="50"/>
        <item x="69"/>
        <item x="210"/>
        <item x="159"/>
        <item x="37"/>
        <item x="4"/>
        <item x="19"/>
        <item x="40"/>
        <item x="216"/>
        <item x="74"/>
        <item x="13"/>
        <item x="54"/>
        <item x="109"/>
        <item x="162"/>
        <item x="184"/>
        <item x="46"/>
        <item x="214"/>
        <item x="26"/>
        <item x="100"/>
        <item x="235"/>
        <item x="80"/>
        <item x="192"/>
        <item x="8"/>
        <item x="168"/>
        <item x="124"/>
        <item x="151"/>
        <item x="202"/>
        <item x="234"/>
        <item x="238"/>
        <item x="39"/>
        <item x="204"/>
        <item x="169"/>
        <item x="188"/>
        <item x="92"/>
        <item x="98"/>
        <item x="52"/>
        <item x="142"/>
        <item x="150"/>
        <item x="180"/>
        <item x="110"/>
        <item x="182"/>
        <item x="114"/>
        <item x="28"/>
        <item x="21"/>
        <item x="177"/>
        <item x="84"/>
        <item x="223"/>
        <item x="256"/>
        <item x="113"/>
        <item x="141"/>
        <item x="260"/>
        <item x="239"/>
        <item x="70"/>
        <item x="79"/>
        <item x="147"/>
        <item x="29"/>
        <item x="5"/>
        <item x="259"/>
        <item x="105"/>
        <item x="251"/>
        <item x="224"/>
        <item x="132"/>
        <item x="90"/>
        <item x="155"/>
        <item x="87"/>
        <item x="211"/>
        <item x="156"/>
        <item x="164"/>
        <item x="236"/>
        <item x="178"/>
        <item x="149"/>
        <item x="75"/>
        <item x="89"/>
        <item x="133"/>
        <item x="240"/>
        <item x="25"/>
        <item x="154"/>
        <item x="217"/>
        <item x="185"/>
        <item x="232"/>
        <item x="102"/>
        <item x="231"/>
        <item x="17"/>
        <item x="117"/>
        <item x="253"/>
        <item x="247"/>
        <item x="23"/>
        <item x="215"/>
        <item x="96"/>
        <item x="137"/>
        <item x="34"/>
        <item x="176"/>
        <item x="94"/>
        <item x="161"/>
        <item x="255"/>
        <item x="11"/>
        <item x="27"/>
        <item x="15"/>
        <item x="1"/>
        <item x="197"/>
        <item x="62"/>
        <item x="107"/>
        <item x="9"/>
        <item x="174"/>
        <item x="112"/>
        <item x="59"/>
        <item x="198"/>
        <item x="128"/>
        <item x="122"/>
        <item x="44"/>
        <item x="136"/>
        <item x="43"/>
        <item x="193"/>
        <item x="83"/>
        <item x="186"/>
        <item x="194"/>
        <item x="33"/>
        <item x="14"/>
        <item x="218"/>
        <item x="148"/>
        <item x="108"/>
        <item x="196"/>
        <item x="18"/>
        <item x="175"/>
        <item x="116"/>
        <item x="22"/>
        <item x="187"/>
        <item x="213"/>
        <item t="default"/>
      </items>
    </pivotField>
    <pivotField compact="0" showAll="0">
      <items count="244">
        <item x="108"/>
        <item x="106"/>
        <item x="188"/>
        <item x="150"/>
        <item x="100"/>
        <item x="178"/>
        <item x="162"/>
        <item x="234"/>
        <item x="37"/>
        <item x="47"/>
        <item x="16"/>
        <item x="2"/>
        <item x="161"/>
        <item x="144"/>
        <item x="233"/>
        <item x="235"/>
        <item x="71"/>
        <item x="189"/>
        <item x="18"/>
        <item x="48"/>
        <item x="186"/>
        <item x="120"/>
        <item x="142"/>
        <item x="154"/>
        <item x="83"/>
        <item x="123"/>
        <item x="98"/>
        <item x="164"/>
        <item x="133"/>
        <item x="156"/>
        <item x="115"/>
        <item x="230"/>
        <item x="110"/>
        <item x="41"/>
        <item x="147"/>
        <item x="187"/>
        <item x="223"/>
        <item x="42"/>
        <item x="181"/>
        <item x="218"/>
        <item x="77"/>
        <item x="38"/>
        <item x="36"/>
        <item x="72"/>
        <item x="109"/>
        <item x="159"/>
        <item x="65"/>
        <item x="103"/>
        <item x="50"/>
        <item x="85"/>
        <item x="212"/>
        <item x="199"/>
        <item x="24"/>
        <item x="86"/>
        <item x="111"/>
        <item x="55"/>
        <item x="134"/>
        <item x="132"/>
        <item x="73"/>
        <item x="168"/>
        <item x="239"/>
        <item x="40"/>
        <item x="87"/>
        <item x="153"/>
        <item x="30"/>
        <item x="117"/>
        <item x="190"/>
        <item x="3"/>
        <item x="229"/>
        <item x="10"/>
        <item x="143"/>
        <item x="97"/>
        <item x="99"/>
        <item x="92"/>
        <item x="43"/>
        <item x="9"/>
        <item x="56"/>
        <item x="225"/>
        <item x="145"/>
        <item x="129"/>
        <item x="89"/>
        <item x="1"/>
        <item x="127"/>
        <item x="57"/>
        <item x="96"/>
        <item x="167"/>
        <item x="160"/>
        <item x="54"/>
        <item x="148"/>
        <item x="63"/>
        <item x="213"/>
        <item x="193"/>
        <item x="140"/>
        <item x="172"/>
        <item x="107"/>
        <item x="58"/>
        <item x="122"/>
        <item x="184"/>
        <item x="125"/>
        <item x="135"/>
        <item x="221"/>
        <item x="26"/>
        <item x="7"/>
        <item x="177"/>
        <item x="49"/>
        <item x="197"/>
        <item x="203"/>
        <item x="28"/>
        <item x="209"/>
        <item x="242"/>
        <item x="146"/>
        <item x="149"/>
        <item x="124"/>
        <item x="232"/>
        <item x="76"/>
        <item x="11"/>
        <item x="166"/>
        <item x="228"/>
        <item x="62"/>
        <item x="195"/>
        <item x="126"/>
        <item x="192"/>
        <item x="208"/>
        <item x="174"/>
        <item x="130"/>
        <item x="226"/>
        <item x="207"/>
        <item x="53"/>
        <item x="171"/>
        <item x="22"/>
        <item x="236"/>
        <item x="200"/>
        <item x="231"/>
        <item x="45"/>
        <item x="74"/>
        <item x="88"/>
        <item x="238"/>
        <item x="104"/>
        <item x="17"/>
        <item x="173"/>
        <item x="194"/>
        <item x="75"/>
        <item x="67"/>
        <item x="128"/>
        <item x="101"/>
        <item x="6"/>
        <item x="78"/>
        <item x="210"/>
        <item x="44"/>
        <item x="34"/>
        <item x="31"/>
        <item x="4"/>
        <item x="237"/>
        <item x="183"/>
        <item x="32"/>
        <item x="214"/>
        <item x="84"/>
        <item x="141"/>
        <item x="19"/>
        <item x="91"/>
        <item x="196"/>
        <item x="227"/>
        <item x="118"/>
        <item x="8"/>
        <item x="152"/>
        <item x="241"/>
        <item x="165"/>
        <item x="220"/>
        <item x="121"/>
        <item x="224"/>
        <item x="82"/>
        <item x="182"/>
        <item x="105"/>
        <item x="112"/>
        <item x="114"/>
        <item x="180"/>
        <item x="61"/>
        <item x="33"/>
        <item x="68"/>
        <item x="0"/>
        <item x="222"/>
        <item x="64"/>
        <item x="191"/>
        <item x="81"/>
        <item x="202"/>
        <item x="151"/>
        <item x="46"/>
        <item x="12"/>
        <item x="157"/>
        <item x="59"/>
        <item x="29"/>
        <item x="70"/>
        <item x="138"/>
        <item x="102"/>
        <item x="15"/>
        <item x="80"/>
        <item x="137"/>
        <item x="95"/>
        <item x="201"/>
        <item x="215"/>
        <item x="240"/>
        <item x="219"/>
        <item x="25"/>
        <item x="27"/>
        <item x="52"/>
        <item x="169"/>
        <item x="5"/>
        <item x="21"/>
        <item x="185"/>
        <item x="198"/>
        <item x="113"/>
        <item x="217"/>
        <item x="69"/>
        <item x="158"/>
        <item x="79"/>
        <item x="155"/>
        <item x="205"/>
        <item x="66"/>
        <item x="175"/>
        <item x="206"/>
        <item x="93"/>
        <item x="23"/>
        <item x="90"/>
        <item x="60"/>
        <item x="116"/>
        <item x="131"/>
        <item x="139"/>
        <item x="94"/>
        <item x="179"/>
        <item x="13"/>
        <item x="14"/>
        <item x="51"/>
        <item x="136"/>
        <item x="20"/>
        <item x="176"/>
        <item x="39"/>
        <item x="35"/>
        <item x="216"/>
        <item x="119"/>
        <item x="170"/>
        <item x="163"/>
        <item x="204"/>
        <item x="211"/>
        <item t="default"/>
      </items>
    </pivotField>
    <pivotField compact="0" showAll="0">
      <items count="168">
        <item x="89"/>
        <item x="99"/>
        <item x="46"/>
        <item x="109"/>
        <item x="38"/>
        <item x="9"/>
        <item x="45"/>
        <item x="2"/>
        <item x="84"/>
        <item x="69"/>
        <item x="35"/>
        <item x="37"/>
        <item x="114"/>
        <item x="68"/>
        <item x="85"/>
        <item x="165"/>
        <item x="17"/>
        <item x="118"/>
        <item x="137"/>
        <item x="22"/>
        <item x="97"/>
        <item x="28"/>
        <item x="162"/>
        <item x="75"/>
        <item x="67"/>
        <item x="116"/>
        <item x="34"/>
        <item x="120"/>
        <item x="161"/>
        <item x="70"/>
        <item x="15"/>
        <item x="54"/>
        <item x="91"/>
        <item x="121"/>
        <item x="148"/>
        <item x="72"/>
        <item x="139"/>
        <item x="102"/>
        <item x="7"/>
        <item x="52"/>
        <item x="87"/>
        <item x="60"/>
        <item x="31"/>
        <item x="39"/>
        <item x="71"/>
        <item x="100"/>
        <item x="107"/>
        <item x="122"/>
        <item x="136"/>
        <item x="63"/>
        <item x="77"/>
        <item x="59"/>
        <item x="127"/>
        <item x="3"/>
        <item x="40"/>
        <item x="49"/>
        <item x="4"/>
        <item x="81"/>
        <item x="117"/>
        <item x="30"/>
        <item x="113"/>
        <item x="151"/>
        <item x="155"/>
        <item x="103"/>
        <item x="163"/>
        <item x="106"/>
        <item x="14"/>
        <item x="62"/>
        <item x="146"/>
        <item x="1"/>
        <item x="56"/>
        <item x="19"/>
        <item x="53"/>
        <item x="157"/>
        <item x="43"/>
        <item x="80"/>
        <item x="27"/>
        <item x="90"/>
        <item x="61"/>
        <item x="76"/>
        <item x="144"/>
        <item x="124"/>
        <item x="108"/>
        <item x="66"/>
        <item x="64"/>
        <item x="24"/>
        <item x="11"/>
        <item x="159"/>
        <item x="16"/>
        <item x="138"/>
        <item x="104"/>
        <item x="79"/>
        <item x="48"/>
        <item x="86"/>
        <item x="166"/>
        <item x="111"/>
        <item x="25"/>
        <item x="130"/>
        <item x="94"/>
        <item x="140"/>
        <item x="55"/>
        <item x="32"/>
        <item x="95"/>
        <item x="112"/>
        <item x="149"/>
        <item x="134"/>
        <item x="101"/>
        <item x="156"/>
        <item x="82"/>
        <item x="6"/>
        <item x="78"/>
        <item x="26"/>
        <item x="131"/>
        <item x="150"/>
        <item x="57"/>
        <item x="8"/>
        <item x="143"/>
        <item x="0"/>
        <item x="119"/>
        <item x="158"/>
        <item x="41"/>
        <item x="29"/>
        <item x="125"/>
        <item x="88"/>
        <item x="10"/>
        <item x="20"/>
        <item x="42"/>
        <item x="105"/>
        <item x="73"/>
        <item x="164"/>
        <item x="12"/>
        <item x="98"/>
        <item x="147"/>
        <item x="135"/>
        <item x="74"/>
        <item x="92"/>
        <item x="58"/>
        <item x="47"/>
        <item x="132"/>
        <item x="110"/>
        <item x="21"/>
        <item x="133"/>
        <item x="36"/>
        <item x="153"/>
        <item x="33"/>
        <item x="128"/>
        <item x="145"/>
        <item x="154"/>
        <item x="115"/>
        <item x="13"/>
        <item x="5"/>
        <item x="50"/>
        <item x="51"/>
        <item x="23"/>
        <item x="160"/>
        <item x="152"/>
        <item x="129"/>
        <item x="18"/>
        <item x="141"/>
        <item x="142"/>
        <item x="83"/>
        <item x="126"/>
        <item x="65"/>
        <item x="93"/>
        <item x="44"/>
        <item x="123"/>
        <item x="96"/>
        <item t="default"/>
      </items>
    </pivotField>
    <pivotField compact="0" numFmtId="177" showAll="0">
      <items count="5">
        <item x="3"/>
        <item x="0"/>
        <item x="1"/>
        <item x="2"/>
        <item t="default"/>
      </items>
    </pivotField>
    <pivotField compact="0" numFmtId="177" showAll="0">
      <items count="4">
        <item x="2"/>
        <item x="1"/>
        <item x="0"/>
        <item t="default"/>
      </items>
    </pivotField>
    <pivotField compact="0" numFmtId="177" showAll="0">
      <items count="4">
        <item x="1"/>
        <item x="2"/>
        <item x="0"/>
        <item t="default"/>
      </items>
    </pivotField>
    <pivotField compact="0" numFmtId="177" showAll="0">
      <items count="4">
        <item x="0"/>
        <item x="1"/>
        <item x="2"/>
        <item t="default"/>
      </items>
    </pivotField>
    <pivotField compact="0" numFmtId="177" showAll="0">
      <items count="6">
        <item x="1"/>
        <item x="2"/>
        <item x="3"/>
        <item x="0"/>
        <item x="4"/>
        <item t="default"/>
      </items>
    </pivotField>
    <pivotField compact="0" numFmtId="177" showAll="0">
      <items count="5">
        <item x="0"/>
        <item x="2"/>
        <item x="1"/>
        <item x="3"/>
        <item t="default"/>
      </items>
    </pivotField>
    <pivotField compact="0" numFmtId="177" showAll="0">
      <items count="16">
        <item x="14"/>
        <item x="10"/>
        <item x="11"/>
        <item x="4"/>
        <item x="1"/>
        <item x="7"/>
        <item x="2"/>
        <item x="0"/>
        <item x="3"/>
        <item x="5"/>
        <item x="8"/>
        <item x="9"/>
        <item x="6"/>
        <item x="13"/>
        <item x="12"/>
        <item t="default"/>
      </items>
    </pivotField>
    <pivotField compact="0" numFmtId="177" showAll="0">
      <items count="41">
        <item x="24"/>
        <item x="29"/>
        <item x="21"/>
        <item x="13"/>
        <item x="4"/>
        <item x="19"/>
        <item x="11"/>
        <item x="3"/>
        <item x="23"/>
        <item x="7"/>
        <item x="15"/>
        <item x="8"/>
        <item x="31"/>
        <item x="16"/>
        <item x="0"/>
        <item x="18"/>
        <item x="14"/>
        <item x="5"/>
        <item x="28"/>
        <item x="10"/>
        <item x="33"/>
        <item x="2"/>
        <item x="1"/>
        <item x="22"/>
        <item x="32"/>
        <item x="27"/>
        <item x="34"/>
        <item x="36"/>
        <item x="35"/>
        <item x="12"/>
        <item x="25"/>
        <item x="38"/>
        <item x="26"/>
        <item x="17"/>
        <item x="30"/>
        <item x="20"/>
        <item x="6"/>
        <item x="37"/>
        <item x="39"/>
        <item x="9"/>
        <item t="default"/>
      </items>
    </pivotField>
    <pivotField compact="0" numFmtId="177" showAll="0">
      <items count="21">
        <item x="4"/>
        <item x="11"/>
        <item x="2"/>
        <item x="9"/>
        <item x="3"/>
        <item x="1"/>
        <item x="5"/>
        <item x="16"/>
        <item x="6"/>
        <item x="12"/>
        <item x="17"/>
        <item x="14"/>
        <item x="0"/>
        <item x="10"/>
        <item x="13"/>
        <item x="15"/>
        <item x="18"/>
        <item x="8"/>
        <item x="7"/>
        <item x="19"/>
        <item t="default"/>
      </items>
    </pivotField>
    <pivotField compact="0" numFmtId="177" showAll="0">
      <items count="21">
        <item x="1"/>
        <item x="8"/>
        <item x="11"/>
        <item x="5"/>
        <item x="14"/>
        <item x="2"/>
        <item x="13"/>
        <item x="10"/>
        <item x="4"/>
        <item x="16"/>
        <item x="6"/>
        <item x="9"/>
        <item x="3"/>
        <item x="7"/>
        <item x="12"/>
        <item x="0"/>
        <item x="17"/>
        <item x="15"/>
        <item x="18"/>
        <item x="19"/>
        <item t="default"/>
      </items>
    </pivotField>
    <pivotField compact="0" numFmtId="177" showAll="0">
      <items count="21">
        <item x="0"/>
        <item x="13"/>
        <item x="1"/>
        <item x="2"/>
        <item x="3"/>
        <item x="4"/>
        <item x="6"/>
        <item x="10"/>
        <item x="9"/>
        <item x="7"/>
        <item x="5"/>
        <item x="14"/>
        <item x="11"/>
        <item x="17"/>
        <item x="19"/>
        <item x="15"/>
        <item x="18"/>
        <item x="12"/>
        <item x="16"/>
        <item x="8"/>
        <item t="default"/>
      </items>
    </pivotField>
    <pivotField compact="0" numFmtId="177" showAll="0">
      <items count="50">
        <item x="35"/>
        <item x="30"/>
        <item x="25"/>
        <item x="4"/>
        <item x="13"/>
        <item x="3"/>
        <item x="11"/>
        <item x="1"/>
        <item x="42"/>
        <item x="23"/>
        <item x="22"/>
        <item x="28"/>
        <item x="43"/>
        <item x="16"/>
        <item x="20"/>
        <item x="14"/>
        <item x="34"/>
        <item x="2"/>
        <item x="27"/>
        <item x="7"/>
        <item x="19"/>
        <item x="41"/>
        <item x="8"/>
        <item x="26"/>
        <item x="38"/>
        <item x="24"/>
        <item x="36"/>
        <item x="5"/>
        <item x="33"/>
        <item x="18"/>
        <item x="6"/>
        <item x="37"/>
        <item x="40"/>
        <item x="0"/>
        <item x="12"/>
        <item x="39"/>
        <item x="21"/>
        <item x="46"/>
        <item x="15"/>
        <item x="31"/>
        <item x="10"/>
        <item x="47"/>
        <item x="9"/>
        <item x="29"/>
        <item x="48"/>
        <item x="45"/>
        <item x="17"/>
        <item x="32"/>
        <item x="44"/>
        <item t="default"/>
      </items>
    </pivotField>
    <pivotField compact="0" numFmtId="177" showAll="0">
      <items count="42">
        <item x="27"/>
        <item x="24"/>
        <item x="36"/>
        <item x="13"/>
        <item x="0"/>
        <item x="19"/>
        <item x="11"/>
        <item x="7"/>
        <item x="29"/>
        <item x="18"/>
        <item x="16"/>
        <item x="1"/>
        <item x="15"/>
        <item x="4"/>
        <item x="2"/>
        <item x="33"/>
        <item x="37"/>
        <item x="3"/>
        <item x="14"/>
        <item x="5"/>
        <item x="10"/>
        <item x="25"/>
        <item x="34"/>
        <item x="38"/>
        <item x="32"/>
        <item x="6"/>
        <item x="28"/>
        <item x="23"/>
        <item x="31"/>
        <item x="35"/>
        <item x="9"/>
        <item x="22"/>
        <item x="30"/>
        <item x="20"/>
        <item x="26"/>
        <item x="12"/>
        <item x="17"/>
        <item x="40"/>
        <item x="21"/>
        <item x="8"/>
        <item x="39"/>
        <item t="default"/>
      </items>
    </pivotField>
    <pivotField compact="0" numFmtId="177" showAll="0">
      <items count="89">
        <item x="32"/>
        <item x="84"/>
        <item x="51"/>
        <item x="78"/>
        <item x="75"/>
        <item x="48"/>
        <item x="54"/>
        <item x="28"/>
        <item x="37"/>
        <item x="5"/>
        <item x="61"/>
        <item x="59"/>
        <item x="63"/>
        <item x="66"/>
        <item x="58"/>
        <item x="68"/>
        <item x="20"/>
        <item x="50"/>
        <item x="49"/>
        <item x="41"/>
        <item x="36"/>
        <item x="1"/>
        <item x="42"/>
        <item x="13"/>
        <item x="45"/>
        <item x="4"/>
        <item x="86"/>
        <item x="30"/>
        <item x="87"/>
        <item x="3"/>
        <item x="2"/>
        <item x="70"/>
        <item x="38"/>
        <item x="23"/>
        <item x="16"/>
        <item x="24"/>
        <item x="43"/>
        <item x="35"/>
        <item x="14"/>
        <item x="46"/>
        <item x="29"/>
        <item x="25"/>
        <item x="56"/>
        <item x="31"/>
        <item x="44"/>
        <item x="40"/>
        <item x="18"/>
        <item x="17"/>
        <item x="6"/>
        <item x="9"/>
        <item x="33"/>
        <item x="8"/>
        <item x="74"/>
        <item x="39"/>
        <item x="55"/>
        <item x="62"/>
        <item x="67"/>
        <item x="0"/>
        <item x="60"/>
        <item x="72"/>
        <item x="73"/>
        <item x="64"/>
        <item x="83"/>
        <item x="27"/>
        <item x="22"/>
        <item x="21"/>
        <item x="19"/>
        <item x="81"/>
        <item x="26"/>
        <item x="69"/>
        <item x="10"/>
        <item x="71"/>
        <item x="7"/>
        <item x="34"/>
        <item x="57"/>
        <item x="11"/>
        <item x="53"/>
        <item x="47"/>
        <item x="65"/>
        <item x="52"/>
        <item x="82"/>
        <item x="15"/>
        <item x="76"/>
        <item x="12"/>
        <item x="79"/>
        <item x="77"/>
        <item x="85"/>
        <item x="80"/>
        <item t="default"/>
      </items>
    </pivotField>
    <pivotField compact="0" numFmtId="1" showAll="0">
      <items count="9">
        <item x="6"/>
        <item x="7"/>
        <item x="2"/>
        <item x="1"/>
        <item x="0"/>
        <item x="3"/>
        <item x="4"/>
        <item x="5"/>
        <item t="default"/>
      </items>
    </pivotField>
    <pivotField compact="0" numFmtId="1" showAll="0">
      <items count="9">
        <item x="6"/>
        <item x="4"/>
        <item x="1"/>
        <item x="0"/>
        <item x="2"/>
        <item x="3"/>
        <item x="7"/>
        <item x="5"/>
        <item t="default"/>
      </items>
    </pivotField>
    <pivotField dataField="1" compact="0" numFmtId="1" showAll="0">
      <items count="4">
        <item x="0"/>
        <item x="1"/>
        <item x="2"/>
        <item t="default"/>
      </items>
    </pivotField>
    <pivotField dataField="1" compact="0" numFmtId="1" showAll="0">
      <items count="9">
        <item x="4"/>
        <item x="2"/>
        <item x="1"/>
        <item x="0"/>
        <item x="3"/>
        <item x="6"/>
        <item x="7"/>
        <item x="5"/>
        <item t="default"/>
      </items>
    </pivotField>
    <pivotField dataField="1" compact="0" numFmtId="1" showAll="0">
      <items count="3">
        <item x="0"/>
        <item x="1"/>
        <item t="default"/>
      </items>
    </pivotField>
    <pivotField dragToCol="0" dragToPage="0" dragToRow="0" compact="0" numFmtId="1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Total Male" fld="41" baseField="0" baseItem="0"/>
    <dataField name="Sum of Total Female" fld="42" baseField="0" baseItem="0"/>
    <dataField name="Sum of Total Non-Binary" fld="43" baseField="0" baseItem="0"/>
  </dataFields>
  <formats count="2">
    <format dxfId="11">
      <pivotArea type="all" dataOnly="0" outline="0" fieldPosition="0"/>
    </format>
    <format dxfId="12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_WEV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42:D43" firstHeaderRow="0" firstDataRow="1" firstDataCol="0"/>
  <pivotFields count="45"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numFmtId="179" showAll="0">
      <items count="2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t="default"/>
      </items>
    </pivotField>
    <pivotField compact="0" showAll="0">
      <items count="6">
        <item x="2"/>
        <item x="3"/>
        <item x="4"/>
        <item x="0"/>
        <item x="1"/>
        <item t="default"/>
      </items>
    </pivotField>
    <pivotField compact="0" showAll="0">
      <items count="6">
        <item x="3"/>
        <item x="1"/>
        <item x="4"/>
        <item x="0"/>
        <item x="2"/>
        <item t="default"/>
      </items>
    </pivotField>
    <pivotField compact="0" showAll="0">
      <items count="6">
        <item x="2"/>
        <item x="1"/>
        <item x="3"/>
        <item x="0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2"/>
        <item x="3"/>
        <item x="1"/>
        <item x="0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4">
        <item x="1"/>
        <item x="0"/>
        <item x="2"/>
        <item t="default"/>
      </items>
    </pivotField>
    <pivotField dataField="1" compact="0" showAll="0">
      <items count="3">
        <item x="0"/>
        <item x="1"/>
        <item t="default"/>
      </items>
    </pivotField>
    <pivotField dataField="1" compact="0" showAll="0">
      <items count="3">
        <item x="0"/>
        <item x="1"/>
        <item t="default"/>
      </items>
    </pivotField>
    <pivotField dataField="1" compact="0" showAll="0">
      <items count="3">
        <item x="0"/>
        <item x="1"/>
        <item t="default"/>
      </items>
    </pivotField>
    <pivotField compact="0" numFmtId="177" showAll="0">
      <items count="187">
        <item x="0"/>
        <item x="50"/>
        <item x="10"/>
        <item x="105"/>
        <item x="100"/>
        <item x="156"/>
        <item x="169"/>
        <item x="130"/>
        <item x="94"/>
        <item x="99"/>
        <item x="98"/>
        <item x="142"/>
        <item x="53"/>
        <item x="86"/>
        <item x="70"/>
        <item x="185"/>
        <item x="30"/>
        <item x="77"/>
        <item x="62"/>
        <item x="57"/>
        <item x="145"/>
        <item x="19"/>
        <item x="89"/>
        <item x="48"/>
        <item x="144"/>
        <item x="154"/>
        <item x="83"/>
        <item x="20"/>
        <item x="15"/>
        <item x="91"/>
        <item x="175"/>
        <item x="97"/>
        <item x="66"/>
        <item x="28"/>
        <item x="131"/>
        <item x="177"/>
        <item x="119"/>
        <item x="139"/>
        <item x="122"/>
        <item x="35"/>
        <item x="79"/>
        <item x="69"/>
        <item x="71"/>
        <item x="63"/>
        <item x="137"/>
        <item x="3"/>
        <item x="52"/>
        <item x="178"/>
        <item x="147"/>
        <item x="59"/>
        <item x="162"/>
        <item x="58"/>
        <item x="181"/>
        <item x="85"/>
        <item x="161"/>
        <item x="146"/>
        <item x="172"/>
        <item x="61"/>
        <item x="112"/>
        <item x="132"/>
        <item x="180"/>
        <item x="11"/>
        <item x="88"/>
        <item x="159"/>
        <item x="6"/>
        <item x="174"/>
        <item x="16"/>
        <item x="92"/>
        <item x="125"/>
        <item x="34"/>
        <item x="51"/>
        <item x="18"/>
        <item x="41"/>
        <item x="93"/>
        <item x="4"/>
        <item x="42"/>
        <item x="76"/>
        <item x="13"/>
        <item x="134"/>
        <item x="23"/>
        <item x="118"/>
        <item x="179"/>
        <item x="111"/>
        <item x="121"/>
        <item x="60"/>
        <item x="114"/>
        <item x="96"/>
        <item x="143"/>
        <item x="170"/>
        <item x="90"/>
        <item x="167"/>
        <item x="129"/>
        <item x="135"/>
        <item x="21"/>
        <item x="153"/>
        <item x="74"/>
        <item x="115"/>
        <item x="73"/>
        <item x="149"/>
        <item x="80"/>
        <item x="46"/>
        <item x="67"/>
        <item x="168"/>
        <item x="176"/>
        <item x="165"/>
        <item x="72"/>
        <item x="45"/>
        <item x="39"/>
        <item x="36"/>
        <item x="78"/>
        <item x="113"/>
        <item x="2"/>
        <item x="152"/>
        <item x="184"/>
        <item x="173"/>
        <item x="124"/>
        <item x="33"/>
        <item x="82"/>
        <item x="164"/>
        <item x="136"/>
        <item x="40"/>
        <item x="138"/>
        <item x="9"/>
        <item x="95"/>
        <item x="64"/>
        <item x="47"/>
        <item x="27"/>
        <item x="43"/>
        <item x="68"/>
        <item x="104"/>
        <item x="102"/>
        <item x="65"/>
        <item x="141"/>
        <item x="166"/>
        <item x="32"/>
        <item x="182"/>
        <item x="49"/>
        <item x="171"/>
        <item x="133"/>
        <item x="56"/>
        <item x="37"/>
        <item x="183"/>
        <item x="126"/>
        <item x="54"/>
        <item x="101"/>
        <item x="17"/>
        <item x="106"/>
        <item x="12"/>
        <item x="81"/>
        <item x="44"/>
        <item x="103"/>
        <item x="163"/>
        <item x="116"/>
        <item x="31"/>
        <item x="75"/>
        <item x="150"/>
        <item x="22"/>
        <item x="1"/>
        <item x="24"/>
        <item x="107"/>
        <item x="108"/>
        <item x="128"/>
        <item x="109"/>
        <item x="157"/>
        <item x="38"/>
        <item x="117"/>
        <item x="148"/>
        <item x="25"/>
        <item x="7"/>
        <item x="87"/>
        <item x="84"/>
        <item x="140"/>
        <item x="120"/>
        <item x="123"/>
        <item x="160"/>
        <item x="29"/>
        <item x="55"/>
        <item x="158"/>
        <item x="5"/>
        <item x="14"/>
        <item x="151"/>
        <item x="26"/>
        <item x="127"/>
        <item x="155"/>
        <item x="8"/>
        <item x="110"/>
        <item t="default"/>
      </items>
    </pivotField>
    <pivotField compact="0" numFmtId="177" showAll="0">
      <items count="83">
        <item x="0"/>
        <item x="27"/>
        <item x="45"/>
        <item x="14"/>
        <item x="81"/>
        <item x="23"/>
        <item x="68"/>
        <item x="67"/>
        <item x="80"/>
        <item x="72"/>
        <item x="21"/>
        <item x="22"/>
        <item x="25"/>
        <item x="30"/>
        <item x="32"/>
        <item x="70"/>
        <item x="2"/>
        <item x="75"/>
        <item x="55"/>
        <item x="3"/>
        <item x="13"/>
        <item x="16"/>
        <item x="29"/>
        <item x="37"/>
        <item x="4"/>
        <item x="47"/>
        <item x="26"/>
        <item x="1"/>
        <item x="51"/>
        <item x="69"/>
        <item x="7"/>
        <item x="6"/>
        <item x="8"/>
        <item x="43"/>
        <item x="44"/>
        <item x="58"/>
        <item x="40"/>
        <item x="11"/>
        <item x="74"/>
        <item x="36"/>
        <item x="65"/>
        <item x="34"/>
        <item x="60"/>
        <item x="33"/>
        <item x="59"/>
        <item x="61"/>
        <item x="71"/>
        <item x="31"/>
        <item x="42"/>
        <item x="62"/>
        <item x="50"/>
        <item x="12"/>
        <item x="17"/>
        <item x="48"/>
        <item x="54"/>
        <item x="28"/>
        <item x="15"/>
        <item x="5"/>
        <item x="66"/>
        <item x="63"/>
        <item x="20"/>
        <item x="9"/>
        <item x="52"/>
        <item x="77"/>
        <item x="39"/>
        <item x="79"/>
        <item x="24"/>
        <item x="56"/>
        <item x="19"/>
        <item x="57"/>
        <item x="76"/>
        <item x="53"/>
        <item x="64"/>
        <item x="49"/>
        <item x="18"/>
        <item x="41"/>
        <item x="73"/>
        <item x="38"/>
        <item x="35"/>
        <item x="10"/>
        <item x="78"/>
        <item x="46"/>
        <item t="default"/>
      </items>
    </pivotField>
    <pivotField compact="0" showAll="0">
      <items count="21">
        <item x="0"/>
        <item x="15"/>
        <item x="18"/>
        <item x="12"/>
        <item x="7"/>
        <item x="2"/>
        <item x="4"/>
        <item x="16"/>
        <item x="5"/>
        <item x="17"/>
        <item x="8"/>
        <item x="13"/>
        <item x="6"/>
        <item x="3"/>
        <item x="1"/>
        <item x="19"/>
        <item x="9"/>
        <item x="11"/>
        <item x="10"/>
        <item x="14"/>
        <item t="default"/>
      </items>
    </pivotField>
    <pivotField compact="0" numFmtId="178" showAll="0">
      <items count="262">
        <item x="146"/>
        <item x="55"/>
        <item x="71"/>
        <item x="81"/>
        <item x="10"/>
        <item x="207"/>
        <item x="31"/>
        <item x="73"/>
        <item x="201"/>
        <item x="257"/>
        <item x="30"/>
        <item x="250"/>
        <item x="0"/>
        <item x="88"/>
        <item x="191"/>
        <item x="140"/>
        <item x="243"/>
        <item x="158"/>
        <item x="170"/>
        <item x="144"/>
        <item x="51"/>
        <item x="173"/>
        <item x="143"/>
        <item x="127"/>
        <item x="212"/>
        <item x="60"/>
        <item x="135"/>
        <item x="36"/>
        <item x="222"/>
        <item x="63"/>
        <item x="38"/>
        <item x="241"/>
        <item x="72"/>
        <item x="85"/>
        <item x="57"/>
        <item x="248"/>
        <item x="106"/>
        <item x="12"/>
        <item x="131"/>
        <item x="166"/>
        <item x="58"/>
        <item x="181"/>
        <item x="115"/>
        <item x="123"/>
        <item x="121"/>
        <item x="226"/>
        <item x="49"/>
        <item x="20"/>
        <item x="138"/>
        <item x="190"/>
        <item x="220"/>
        <item x="53"/>
        <item x="130"/>
        <item x="7"/>
        <item x="129"/>
        <item x="230"/>
        <item x="249"/>
        <item x="56"/>
        <item x="65"/>
        <item x="47"/>
        <item x="120"/>
        <item x="219"/>
        <item x="228"/>
        <item x="208"/>
        <item x="66"/>
        <item x="119"/>
        <item x="179"/>
        <item x="246"/>
        <item x="244"/>
        <item x="200"/>
        <item x="82"/>
        <item x="24"/>
        <item x="45"/>
        <item x="163"/>
        <item x="97"/>
        <item x="86"/>
        <item x="16"/>
        <item x="101"/>
        <item x="103"/>
        <item x="125"/>
        <item x="91"/>
        <item x="227"/>
        <item x="64"/>
        <item x="165"/>
        <item x="3"/>
        <item x="118"/>
        <item x="221"/>
        <item x="206"/>
        <item x="104"/>
        <item x="157"/>
        <item x="183"/>
        <item x="6"/>
        <item x="245"/>
        <item x="252"/>
        <item x="61"/>
        <item x="95"/>
        <item x="254"/>
        <item x="48"/>
        <item x="229"/>
        <item x="172"/>
        <item x="152"/>
        <item x="203"/>
        <item x="2"/>
        <item x="99"/>
        <item x="41"/>
        <item x="145"/>
        <item x="237"/>
        <item x="93"/>
        <item x="134"/>
        <item x="225"/>
        <item x="111"/>
        <item x="233"/>
        <item x="139"/>
        <item x="171"/>
        <item x="195"/>
        <item x="126"/>
        <item x="78"/>
        <item x="205"/>
        <item x="76"/>
        <item x="32"/>
        <item x="67"/>
        <item x="153"/>
        <item x="167"/>
        <item x="189"/>
        <item x="68"/>
        <item x="77"/>
        <item x="160"/>
        <item x="35"/>
        <item x="242"/>
        <item x="209"/>
        <item x="199"/>
        <item x="258"/>
        <item x="42"/>
        <item x="50"/>
        <item x="69"/>
        <item x="210"/>
        <item x="159"/>
        <item x="37"/>
        <item x="4"/>
        <item x="19"/>
        <item x="40"/>
        <item x="216"/>
        <item x="74"/>
        <item x="13"/>
        <item x="54"/>
        <item x="109"/>
        <item x="162"/>
        <item x="184"/>
        <item x="46"/>
        <item x="214"/>
        <item x="26"/>
        <item x="100"/>
        <item x="235"/>
        <item x="80"/>
        <item x="192"/>
        <item x="8"/>
        <item x="168"/>
        <item x="124"/>
        <item x="151"/>
        <item x="202"/>
        <item x="234"/>
        <item x="238"/>
        <item x="39"/>
        <item x="204"/>
        <item x="169"/>
        <item x="188"/>
        <item x="92"/>
        <item x="98"/>
        <item x="52"/>
        <item x="142"/>
        <item x="150"/>
        <item x="180"/>
        <item x="110"/>
        <item x="182"/>
        <item x="114"/>
        <item x="28"/>
        <item x="21"/>
        <item x="177"/>
        <item x="84"/>
        <item x="223"/>
        <item x="256"/>
        <item x="113"/>
        <item x="141"/>
        <item x="260"/>
        <item x="239"/>
        <item x="70"/>
        <item x="79"/>
        <item x="147"/>
        <item x="29"/>
        <item x="5"/>
        <item x="259"/>
        <item x="105"/>
        <item x="251"/>
        <item x="224"/>
        <item x="132"/>
        <item x="90"/>
        <item x="155"/>
        <item x="87"/>
        <item x="211"/>
        <item x="156"/>
        <item x="164"/>
        <item x="236"/>
        <item x="178"/>
        <item x="149"/>
        <item x="75"/>
        <item x="89"/>
        <item x="133"/>
        <item x="240"/>
        <item x="25"/>
        <item x="154"/>
        <item x="217"/>
        <item x="185"/>
        <item x="232"/>
        <item x="102"/>
        <item x="231"/>
        <item x="17"/>
        <item x="117"/>
        <item x="253"/>
        <item x="247"/>
        <item x="23"/>
        <item x="215"/>
        <item x="96"/>
        <item x="137"/>
        <item x="34"/>
        <item x="176"/>
        <item x="94"/>
        <item x="161"/>
        <item x="255"/>
        <item x="11"/>
        <item x="27"/>
        <item x="15"/>
        <item x="1"/>
        <item x="197"/>
        <item x="62"/>
        <item x="107"/>
        <item x="9"/>
        <item x="174"/>
        <item x="112"/>
        <item x="59"/>
        <item x="198"/>
        <item x="128"/>
        <item x="122"/>
        <item x="44"/>
        <item x="136"/>
        <item x="43"/>
        <item x="193"/>
        <item x="83"/>
        <item x="186"/>
        <item x="194"/>
        <item x="33"/>
        <item x="14"/>
        <item x="218"/>
        <item x="148"/>
        <item x="108"/>
        <item x="196"/>
        <item x="18"/>
        <item x="175"/>
        <item x="116"/>
        <item x="22"/>
        <item x="187"/>
        <item x="213"/>
        <item t="default"/>
      </items>
    </pivotField>
    <pivotField compact="0" showAll="0">
      <items count="244">
        <item x="108"/>
        <item x="106"/>
        <item x="188"/>
        <item x="150"/>
        <item x="100"/>
        <item x="178"/>
        <item x="162"/>
        <item x="234"/>
        <item x="37"/>
        <item x="47"/>
        <item x="16"/>
        <item x="2"/>
        <item x="161"/>
        <item x="144"/>
        <item x="233"/>
        <item x="235"/>
        <item x="71"/>
        <item x="189"/>
        <item x="18"/>
        <item x="48"/>
        <item x="186"/>
        <item x="120"/>
        <item x="142"/>
        <item x="154"/>
        <item x="83"/>
        <item x="123"/>
        <item x="98"/>
        <item x="164"/>
        <item x="133"/>
        <item x="156"/>
        <item x="115"/>
        <item x="230"/>
        <item x="110"/>
        <item x="41"/>
        <item x="147"/>
        <item x="187"/>
        <item x="223"/>
        <item x="42"/>
        <item x="181"/>
        <item x="218"/>
        <item x="77"/>
        <item x="38"/>
        <item x="36"/>
        <item x="72"/>
        <item x="109"/>
        <item x="159"/>
        <item x="65"/>
        <item x="103"/>
        <item x="50"/>
        <item x="85"/>
        <item x="212"/>
        <item x="199"/>
        <item x="24"/>
        <item x="86"/>
        <item x="111"/>
        <item x="55"/>
        <item x="134"/>
        <item x="132"/>
        <item x="73"/>
        <item x="168"/>
        <item x="239"/>
        <item x="40"/>
        <item x="87"/>
        <item x="153"/>
        <item x="30"/>
        <item x="117"/>
        <item x="190"/>
        <item x="3"/>
        <item x="229"/>
        <item x="10"/>
        <item x="143"/>
        <item x="97"/>
        <item x="99"/>
        <item x="92"/>
        <item x="43"/>
        <item x="9"/>
        <item x="56"/>
        <item x="225"/>
        <item x="145"/>
        <item x="129"/>
        <item x="89"/>
        <item x="1"/>
        <item x="127"/>
        <item x="57"/>
        <item x="96"/>
        <item x="167"/>
        <item x="160"/>
        <item x="54"/>
        <item x="148"/>
        <item x="63"/>
        <item x="213"/>
        <item x="193"/>
        <item x="140"/>
        <item x="172"/>
        <item x="107"/>
        <item x="58"/>
        <item x="122"/>
        <item x="184"/>
        <item x="125"/>
        <item x="135"/>
        <item x="221"/>
        <item x="26"/>
        <item x="7"/>
        <item x="177"/>
        <item x="49"/>
        <item x="197"/>
        <item x="203"/>
        <item x="28"/>
        <item x="209"/>
        <item x="242"/>
        <item x="146"/>
        <item x="149"/>
        <item x="124"/>
        <item x="232"/>
        <item x="76"/>
        <item x="11"/>
        <item x="166"/>
        <item x="228"/>
        <item x="62"/>
        <item x="195"/>
        <item x="126"/>
        <item x="192"/>
        <item x="208"/>
        <item x="174"/>
        <item x="130"/>
        <item x="226"/>
        <item x="207"/>
        <item x="53"/>
        <item x="171"/>
        <item x="22"/>
        <item x="236"/>
        <item x="200"/>
        <item x="231"/>
        <item x="45"/>
        <item x="74"/>
        <item x="88"/>
        <item x="238"/>
        <item x="104"/>
        <item x="17"/>
        <item x="173"/>
        <item x="194"/>
        <item x="75"/>
        <item x="67"/>
        <item x="128"/>
        <item x="101"/>
        <item x="6"/>
        <item x="78"/>
        <item x="210"/>
        <item x="44"/>
        <item x="34"/>
        <item x="31"/>
        <item x="4"/>
        <item x="237"/>
        <item x="183"/>
        <item x="32"/>
        <item x="214"/>
        <item x="84"/>
        <item x="141"/>
        <item x="19"/>
        <item x="91"/>
        <item x="196"/>
        <item x="227"/>
        <item x="118"/>
        <item x="8"/>
        <item x="152"/>
        <item x="241"/>
        <item x="165"/>
        <item x="220"/>
        <item x="121"/>
        <item x="224"/>
        <item x="82"/>
        <item x="182"/>
        <item x="105"/>
        <item x="112"/>
        <item x="114"/>
        <item x="180"/>
        <item x="61"/>
        <item x="33"/>
        <item x="68"/>
        <item x="0"/>
        <item x="222"/>
        <item x="64"/>
        <item x="191"/>
        <item x="81"/>
        <item x="202"/>
        <item x="151"/>
        <item x="46"/>
        <item x="12"/>
        <item x="157"/>
        <item x="59"/>
        <item x="29"/>
        <item x="70"/>
        <item x="138"/>
        <item x="102"/>
        <item x="15"/>
        <item x="80"/>
        <item x="137"/>
        <item x="95"/>
        <item x="201"/>
        <item x="215"/>
        <item x="240"/>
        <item x="219"/>
        <item x="25"/>
        <item x="27"/>
        <item x="52"/>
        <item x="169"/>
        <item x="5"/>
        <item x="21"/>
        <item x="185"/>
        <item x="198"/>
        <item x="113"/>
        <item x="217"/>
        <item x="69"/>
        <item x="158"/>
        <item x="79"/>
        <item x="155"/>
        <item x="205"/>
        <item x="66"/>
        <item x="175"/>
        <item x="206"/>
        <item x="93"/>
        <item x="23"/>
        <item x="90"/>
        <item x="60"/>
        <item x="116"/>
        <item x="131"/>
        <item x="139"/>
        <item x="94"/>
        <item x="179"/>
        <item x="13"/>
        <item x="14"/>
        <item x="51"/>
        <item x="136"/>
        <item x="20"/>
        <item x="176"/>
        <item x="39"/>
        <item x="35"/>
        <item x="216"/>
        <item x="119"/>
        <item x="170"/>
        <item x="163"/>
        <item x="204"/>
        <item x="211"/>
        <item t="default"/>
      </items>
    </pivotField>
    <pivotField compact="0" showAll="0">
      <items count="168">
        <item x="89"/>
        <item x="99"/>
        <item x="46"/>
        <item x="109"/>
        <item x="38"/>
        <item x="9"/>
        <item x="45"/>
        <item x="2"/>
        <item x="84"/>
        <item x="69"/>
        <item x="35"/>
        <item x="37"/>
        <item x="114"/>
        <item x="68"/>
        <item x="85"/>
        <item x="165"/>
        <item x="17"/>
        <item x="118"/>
        <item x="137"/>
        <item x="22"/>
        <item x="97"/>
        <item x="28"/>
        <item x="162"/>
        <item x="75"/>
        <item x="67"/>
        <item x="116"/>
        <item x="34"/>
        <item x="120"/>
        <item x="161"/>
        <item x="70"/>
        <item x="15"/>
        <item x="54"/>
        <item x="91"/>
        <item x="121"/>
        <item x="148"/>
        <item x="72"/>
        <item x="139"/>
        <item x="102"/>
        <item x="7"/>
        <item x="52"/>
        <item x="87"/>
        <item x="60"/>
        <item x="31"/>
        <item x="39"/>
        <item x="71"/>
        <item x="100"/>
        <item x="107"/>
        <item x="122"/>
        <item x="136"/>
        <item x="63"/>
        <item x="77"/>
        <item x="59"/>
        <item x="127"/>
        <item x="3"/>
        <item x="40"/>
        <item x="49"/>
        <item x="4"/>
        <item x="81"/>
        <item x="117"/>
        <item x="30"/>
        <item x="113"/>
        <item x="151"/>
        <item x="155"/>
        <item x="103"/>
        <item x="163"/>
        <item x="106"/>
        <item x="14"/>
        <item x="62"/>
        <item x="146"/>
        <item x="1"/>
        <item x="56"/>
        <item x="19"/>
        <item x="53"/>
        <item x="157"/>
        <item x="43"/>
        <item x="80"/>
        <item x="27"/>
        <item x="90"/>
        <item x="61"/>
        <item x="76"/>
        <item x="144"/>
        <item x="124"/>
        <item x="108"/>
        <item x="66"/>
        <item x="64"/>
        <item x="24"/>
        <item x="11"/>
        <item x="159"/>
        <item x="16"/>
        <item x="138"/>
        <item x="104"/>
        <item x="79"/>
        <item x="48"/>
        <item x="86"/>
        <item x="166"/>
        <item x="111"/>
        <item x="25"/>
        <item x="130"/>
        <item x="94"/>
        <item x="140"/>
        <item x="55"/>
        <item x="32"/>
        <item x="95"/>
        <item x="112"/>
        <item x="149"/>
        <item x="134"/>
        <item x="101"/>
        <item x="156"/>
        <item x="82"/>
        <item x="6"/>
        <item x="78"/>
        <item x="26"/>
        <item x="131"/>
        <item x="150"/>
        <item x="57"/>
        <item x="8"/>
        <item x="143"/>
        <item x="0"/>
        <item x="119"/>
        <item x="158"/>
        <item x="41"/>
        <item x="29"/>
        <item x="125"/>
        <item x="88"/>
        <item x="10"/>
        <item x="20"/>
        <item x="42"/>
        <item x="105"/>
        <item x="73"/>
        <item x="164"/>
        <item x="12"/>
        <item x="98"/>
        <item x="147"/>
        <item x="135"/>
        <item x="74"/>
        <item x="92"/>
        <item x="58"/>
        <item x="47"/>
        <item x="132"/>
        <item x="110"/>
        <item x="21"/>
        <item x="133"/>
        <item x="36"/>
        <item x="153"/>
        <item x="33"/>
        <item x="128"/>
        <item x="145"/>
        <item x="154"/>
        <item x="115"/>
        <item x="13"/>
        <item x="5"/>
        <item x="50"/>
        <item x="51"/>
        <item x="23"/>
        <item x="160"/>
        <item x="152"/>
        <item x="129"/>
        <item x="18"/>
        <item x="141"/>
        <item x="142"/>
        <item x="83"/>
        <item x="126"/>
        <item x="65"/>
        <item x="93"/>
        <item x="44"/>
        <item x="123"/>
        <item x="96"/>
        <item t="default"/>
      </items>
    </pivotField>
    <pivotField compact="0" numFmtId="177" showAll="0">
      <items count="5">
        <item x="3"/>
        <item x="0"/>
        <item x="1"/>
        <item x="2"/>
        <item t="default"/>
      </items>
    </pivotField>
    <pivotField compact="0" numFmtId="177" showAll="0">
      <items count="4">
        <item x="2"/>
        <item x="1"/>
        <item x="0"/>
        <item t="default"/>
      </items>
    </pivotField>
    <pivotField compact="0" numFmtId="177" showAll="0">
      <items count="4">
        <item x="1"/>
        <item x="2"/>
        <item x="0"/>
        <item t="default"/>
      </items>
    </pivotField>
    <pivotField compact="0" numFmtId="177" showAll="0">
      <items count="4">
        <item x="0"/>
        <item x="1"/>
        <item x="2"/>
        <item t="default"/>
      </items>
    </pivotField>
    <pivotField compact="0" numFmtId="177" showAll="0">
      <items count="6">
        <item x="1"/>
        <item x="2"/>
        <item x="3"/>
        <item x="0"/>
        <item x="4"/>
        <item t="default"/>
      </items>
    </pivotField>
    <pivotField compact="0" numFmtId="177" showAll="0">
      <items count="5">
        <item x="0"/>
        <item x="2"/>
        <item x="1"/>
        <item x="3"/>
        <item t="default"/>
      </items>
    </pivotField>
    <pivotField compact="0" numFmtId="177" showAll="0">
      <items count="16">
        <item x="14"/>
        <item x="10"/>
        <item x="11"/>
        <item x="4"/>
        <item x="1"/>
        <item x="7"/>
        <item x="2"/>
        <item x="0"/>
        <item x="3"/>
        <item x="5"/>
        <item x="8"/>
        <item x="9"/>
        <item x="6"/>
        <item x="13"/>
        <item x="12"/>
        <item t="default"/>
      </items>
    </pivotField>
    <pivotField compact="0" numFmtId="177" showAll="0">
      <items count="41">
        <item x="24"/>
        <item x="29"/>
        <item x="21"/>
        <item x="13"/>
        <item x="4"/>
        <item x="19"/>
        <item x="11"/>
        <item x="3"/>
        <item x="23"/>
        <item x="7"/>
        <item x="15"/>
        <item x="8"/>
        <item x="31"/>
        <item x="16"/>
        <item x="0"/>
        <item x="18"/>
        <item x="14"/>
        <item x="5"/>
        <item x="28"/>
        <item x="10"/>
        <item x="33"/>
        <item x="2"/>
        <item x="1"/>
        <item x="22"/>
        <item x="32"/>
        <item x="27"/>
        <item x="34"/>
        <item x="36"/>
        <item x="35"/>
        <item x="12"/>
        <item x="25"/>
        <item x="38"/>
        <item x="26"/>
        <item x="17"/>
        <item x="30"/>
        <item x="20"/>
        <item x="6"/>
        <item x="37"/>
        <item x="39"/>
        <item x="9"/>
        <item t="default"/>
      </items>
    </pivotField>
    <pivotField compact="0" numFmtId="177" showAll="0">
      <items count="21">
        <item x="4"/>
        <item x="11"/>
        <item x="2"/>
        <item x="9"/>
        <item x="3"/>
        <item x="1"/>
        <item x="5"/>
        <item x="16"/>
        <item x="6"/>
        <item x="12"/>
        <item x="17"/>
        <item x="14"/>
        <item x="0"/>
        <item x="10"/>
        <item x="13"/>
        <item x="15"/>
        <item x="18"/>
        <item x="8"/>
        <item x="7"/>
        <item x="19"/>
        <item t="default"/>
      </items>
    </pivotField>
    <pivotField compact="0" numFmtId="177" showAll="0">
      <items count="21">
        <item x="1"/>
        <item x="8"/>
        <item x="11"/>
        <item x="5"/>
        <item x="14"/>
        <item x="2"/>
        <item x="13"/>
        <item x="10"/>
        <item x="4"/>
        <item x="16"/>
        <item x="6"/>
        <item x="9"/>
        <item x="3"/>
        <item x="7"/>
        <item x="12"/>
        <item x="0"/>
        <item x="17"/>
        <item x="15"/>
        <item x="18"/>
        <item x="19"/>
        <item t="default"/>
      </items>
    </pivotField>
    <pivotField compact="0" numFmtId="177" showAll="0">
      <items count="21">
        <item x="0"/>
        <item x="13"/>
        <item x="1"/>
        <item x="2"/>
        <item x="3"/>
        <item x="4"/>
        <item x="6"/>
        <item x="10"/>
        <item x="9"/>
        <item x="7"/>
        <item x="5"/>
        <item x="14"/>
        <item x="11"/>
        <item x="17"/>
        <item x="19"/>
        <item x="15"/>
        <item x="18"/>
        <item x="12"/>
        <item x="16"/>
        <item x="8"/>
        <item t="default"/>
      </items>
    </pivotField>
    <pivotField compact="0" numFmtId="177" showAll="0">
      <items count="50">
        <item x="35"/>
        <item x="30"/>
        <item x="25"/>
        <item x="4"/>
        <item x="13"/>
        <item x="3"/>
        <item x="11"/>
        <item x="1"/>
        <item x="42"/>
        <item x="23"/>
        <item x="22"/>
        <item x="28"/>
        <item x="43"/>
        <item x="16"/>
        <item x="20"/>
        <item x="14"/>
        <item x="34"/>
        <item x="2"/>
        <item x="27"/>
        <item x="7"/>
        <item x="19"/>
        <item x="41"/>
        <item x="8"/>
        <item x="26"/>
        <item x="38"/>
        <item x="24"/>
        <item x="36"/>
        <item x="5"/>
        <item x="33"/>
        <item x="18"/>
        <item x="6"/>
        <item x="37"/>
        <item x="40"/>
        <item x="0"/>
        <item x="12"/>
        <item x="39"/>
        <item x="21"/>
        <item x="46"/>
        <item x="15"/>
        <item x="31"/>
        <item x="10"/>
        <item x="47"/>
        <item x="9"/>
        <item x="29"/>
        <item x="48"/>
        <item x="45"/>
        <item x="17"/>
        <item x="32"/>
        <item x="44"/>
        <item t="default"/>
      </items>
    </pivotField>
    <pivotField compact="0" numFmtId="177" showAll="0">
      <items count="42">
        <item x="27"/>
        <item x="24"/>
        <item x="36"/>
        <item x="13"/>
        <item x="0"/>
        <item x="19"/>
        <item x="11"/>
        <item x="7"/>
        <item x="29"/>
        <item x="18"/>
        <item x="16"/>
        <item x="1"/>
        <item x="15"/>
        <item x="4"/>
        <item x="2"/>
        <item x="33"/>
        <item x="37"/>
        <item x="3"/>
        <item x="14"/>
        <item x="5"/>
        <item x="10"/>
        <item x="25"/>
        <item x="34"/>
        <item x="38"/>
        <item x="32"/>
        <item x="6"/>
        <item x="28"/>
        <item x="23"/>
        <item x="31"/>
        <item x="35"/>
        <item x="9"/>
        <item x="22"/>
        <item x="30"/>
        <item x="20"/>
        <item x="26"/>
        <item x="12"/>
        <item x="17"/>
        <item x="40"/>
        <item x="21"/>
        <item x="8"/>
        <item x="39"/>
        <item t="default"/>
      </items>
    </pivotField>
    <pivotField compact="0" numFmtId="177" showAll="0">
      <items count="89">
        <item x="32"/>
        <item x="84"/>
        <item x="51"/>
        <item x="78"/>
        <item x="75"/>
        <item x="48"/>
        <item x="54"/>
        <item x="28"/>
        <item x="37"/>
        <item x="5"/>
        <item x="61"/>
        <item x="59"/>
        <item x="63"/>
        <item x="66"/>
        <item x="58"/>
        <item x="68"/>
        <item x="20"/>
        <item x="50"/>
        <item x="49"/>
        <item x="41"/>
        <item x="36"/>
        <item x="1"/>
        <item x="42"/>
        <item x="13"/>
        <item x="45"/>
        <item x="4"/>
        <item x="86"/>
        <item x="30"/>
        <item x="87"/>
        <item x="3"/>
        <item x="2"/>
        <item x="70"/>
        <item x="38"/>
        <item x="23"/>
        <item x="16"/>
        <item x="24"/>
        <item x="43"/>
        <item x="35"/>
        <item x="14"/>
        <item x="46"/>
        <item x="29"/>
        <item x="25"/>
        <item x="56"/>
        <item x="31"/>
        <item x="44"/>
        <item x="40"/>
        <item x="18"/>
        <item x="17"/>
        <item x="6"/>
        <item x="9"/>
        <item x="33"/>
        <item x="8"/>
        <item x="74"/>
        <item x="39"/>
        <item x="55"/>
        <item x="62"/>
        <item x="67"/>
        <item x="0"/>
        <item x="60"/>
        <item x="72"/>
        <item x="73"/>
        <item x="64"/>
        <item x="83"/>
        <item x="27"/>
        <item x="22"/>
        <item x="21"/>
        <item x="19"/>
        <item x="81"/>
        <item x="26"/>
        <item x="69"/>
        <item x="10"/>
        <item x="71"/>
        <item x="7"/>
        <item x="34"/>
        <item x="57"/>
        <item x="11"/>
        <item x="53"/>
        <item x="47"/>
        <item x="65"/>
        <item x="52"/>
        <item x="82"/>
        <item x="15"/>
        <item x="76"/>
        <item x="12"/>
        <item x="79"/>
        <item x="77"/>
        <item x="85"/>
        <item x="80"/>
        <item t="default"/>
      </items>
    </pivotField>
    <pivotField compact="0" numFmtId="1" showAll="0">
      <items count="9">
        <item x="6"/>
        <item x="7"/>
        <item x="2"/>
        <item x="1"/>
        <item x="0"/>
        <item x="3"/>
        <item x="4"/>
        <item x="5"/>
        <item t="default"/>
      </items>
    </pivotField>
    <pivotField compact="0" numFmtId="1" showAll="0">
      <items count="9">
        <item x="6"/>
        <item x="4"/>
        <item x="1"/>
        <item x="0"/>
        <item x="2"/>
        <item x="3"/>
        <item x="7"/>
        <item x="5"/>
        <item t="default"/>
      </items>
    </pivotField>
    <pivotField compact="0" numFmtId="1" showAll="0">
      <items count="4">
        <item x="0"/>
        <item x="1"/>
        <item x="2"/>
        <item t="default"/>
      </items>
    </pivotField>
    <pivotField compact="0" numFmtId="1" showAll="0">
      <items count="9">
        <item x="4"/>
        <item x="2"/>
        <item x="1"/>
        <item x="0"/>
        <item x="3"/>
        <item x="6"/>
        <item x="7"/>
        <item x="5"/>
        <item t="default"/>
      </items>
    </pivotField>
    <pivotField compact="0" numFmtId="1" showAll="0">
      <items count="3">
        <item x="0"/>
        <item x="1"/>
        <item t="default"/>
      </items>
    </pivotField>
    <pivotField dragToCol="0" dragToPage="0" dragToRow="0" compact="0" numFmtId="1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WEV Registrations" fld="15" baseField="0" baseItem="0"/>
    <dataField name="Sum of WEV Onboarded" fld="16" baseField="0" baseItem="0"/>
    <dataField name="Sum of WEV Offboarded" fld="17" baseField="0" baseItem="0"/>
    <dataField name="Sum of WEV Employed" fld="18" baseField="0" baseItem="0"/>
  </dataFields>
  <formats count="1">
    <format dxfId="13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48:C61" firstHeaderRow="0" firstDataRow="1" firstDataCol="1"/>
  <pivotFields count="45">
    <pivotField axis="axisRow" name="Month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numFmtId="179" showAll="0">
      <items count="2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t="default"/>
      </items>
    </pivotField>
    <pivotField compact="0" showAll="0">
      <items count="6">
        <item x="2"/>
        <item x="3"/>
        <item x="4"/>
        <item x="0"/>
        <item x="1"/>
        <item t="default"/>
      </items>
    </pivotField>
    <pivotField compact="0" showAll="0">
      <items count="6">
        <item x="3"/>
        <item x="1"/>
        <item x="4"/>
        <item x="0"/>
        <item x="2"/>
        <item t="default"/>
      </items>
    </pivotField>
    <pivotField compact="0" showAll="0">
      <items count="6">
        <item x="2"/>
        <item x="1"/>
        <item x="3"/>
        <item x="0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2"/>
        <item x="3"/>
        <item x="1"/>
        <item x="0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dataField="1" compact="0" numFmtId="177" showAll="0">
      <items count="187">
        <item x="0"/>
        <item x="50"/>
        <item x="10"/>
        <item x="105"/>
        <item x="100"/>
        <item x="156"/>
        <item x="169"/>
        <item x="130"/>
        <item x="94"/>
        <item x="99"/>
        <item x="98"/>
        <item x="142"/>
        <item x="53"/>
        <item x="86"/>
        <item x="70"/>
        <item x="185"/>
        <item x="30"/>
        <item x="77"/>
        <item x="62"/>
        <item x="57"/>
        <item x="145"/>
        <item x="19"/>
        <item x="89"/>
        <item x="48"/>
        <item x="144"/>
        <item x="154"/>
        <item x="83"/>
        <item x="20"/>
        <item x="15"/>
        <item x="91"/>
        <item x="175"/>
        <item x="97"/>
        <item x="66"/>
        <item x="28"/>
        <item x="131"/>
        <item x="177"/>
        <item x="119"/>
        <item x="139"/>
        <item x="122"/>
        <item x="35"/>
        <item x="79"/>
        <item x="69"/>
        <item x="71"/>
        <item x="63"/>
        <item x="137"/>
        <item x="3"/>
        <item x="52"/>
        <item x="178"/>
        <item x="147"/>
        <item x="59"/>
        <item x="162"/>
        <item x="58"/>
        <item x="181"/>
        <item x="85"/>
        <item x="161"/>
        <item x="146"/>
        <item x="172"/>
        <item x="61"/>
        <item x="112"/>
        <item x="132"/>
        <item x="180"/>
        <item x="11"/>
        <item x="88"/>
        <item x="159"/>
        <item x="6"/>
        <item x="174"/>
        <item x="16"/>
        <item x="92"/>
        <item x="125"/>
        <item x="34"/>
        <item x="51"/>
        <item x="18"/>
        <item x="41"/>
        <item x="93"/>
        <item x="4"/>
        <item x="42"/>
        <item x="76"/>
        <item x="13"/>
        <item x="134"/>
        <item x="23"/>
        <item x="118"/>
        <item x="179"/>
        <item x="111"/>
        <item x="121"/>
        <item x="60"/>
        <item x="114"/>
        <item x="96"/>
        <item x="143"/>
        <item x="170"/>
        <item x="90"/>
        <item x="167"/>
        <item x="129"/>
        <item x="135"/>
        <item x="21"/>
        <item x="153"/>
        <item x="74"/>
        <item x="115"/>
        <item x="73"/>
        <item x="149"/>
        <item x="80"/>
        <item x="46"/>
        <item x="67"/>
        <item x="168"/>
        <item x="176"/>
        <item x="165"/>
        <item x="72"/>
        <item x="45"/>
        <item x="39"/>
        <item x="36"/>
        <item x="78"/>
        <item x="113"/>
        <item x="2"/>
        <item x="152"/>
        <item x="184"/>
        <item x="173"/>
        <item x="124"/>
        <item x="33"/>
        <item x="82"/>
        <item x="164"/>
        <item x="136"/>
        <item x="40"/>
        <item x="138"/>
        <item x="9"/>
        <item x="95"/>
        <item x="64"/>
        <item x="47"/>
        <item x="27"/>
        <item x="43"/>
        <item x="68"/>
        <item x="104"/>
        <item x="102"/>
        <item x="65"/>
        <item x="141"/>
        <item x="166"/>
        <item x="32"/>
        <item x="182"/>
        <item x="49"/>
        <item x="171"/>
        <item x="133"/>
        <item x="56"/>
        <item x="37"/>
        <item x="183"/>
        <item x="126"/>
        <item x="54"/>
        <item x="101"/>
        <item x="17"/>
        <item x="106"/>
        <item x="12"/>
        <item x="81"/>
        <item x="44"/>
        <item x="103"/>
        <item x="163"/>
        <item x="116"/>
        <item x="31"/>
        <item x="75"/>
        <item x="150"/>
        <item x="22"/>
        <item x="1"/>
        <item x="24"/>
        <item x="107"/>
        <item x="108"/>
        <item x="128"/>
        <item x="109"/>
        <item x="157"/>
        <item x="38"/>
        <item x="117"/>
        <item x="148"/>
        <item x="25"/>
        <item x="7"/>
        <item x="87"/>
        <item x="84"/>
        <item x="140"/>
        <item x="120"/>
        <item x="123"/>
        <item x="160"/>
        <item x="29"/>
        <item x="55"/>
        <item x="158"/>
        <item x="5"/>
        <item x="14"/>
        <item x="151"/>
        <item x="26"/>
        <item x="127"/>
        <item x="155"/>
        <item x="8"/>
        <item x="110"/>
        <item t="default"/>
      </items>
    </pivotField>
    <pivotField dataField="1" compact="0" numFmtId="177" showAll="0">
      <items count="83">
        <item x="0"/>
        <item x="27"/>
        <item x="45"/>
        <item x="14"/>
        <item x="81"/>
        <item x="23"/>
        <item x="68"/>
        <item x="67"/>
        <item x="80"/>
        <item x="72"/>
        <item x="21"/>
        <item x="22"/>
        <item x="25"/>
        <item x="30"/>
        <item x="32"/>
        <item x="70"/>
        <item x="2"/>
        <item x="75"/>
        <item x="55"/>
        <item x="3"/>
        <item x="13"/>
        <item x="16"/>
        <item x="29"/>
        <item x="37"/>
        <item x="4"/>
        <item x="47"/>
        <item x="26"/>
        <item x="1"/>
        <item x="51"/>
        <item x="69"/>
        <item x="7"/>
        <item x="6"/>
        <item x="8"/>
        <item x="43"/>
        <item x="44"/>
        <item x="58"/>
        <item x="40"/>
        <item x="11"/>
        <item x="74"/>
        <item x="36"/>
        <item x="65"/>
        <item x="34"/>
        <item x="60"/>
        <item x="33"/>
        <item x="59"/>
        <item x="61"/>
        <item x="71"/>
        <item x="31"/>
        <item x="42"/>
        <item x="62"/>
        <item x="50"/>
        <item x="12"/>
        <item x="17"/>
        <item x="48"/>
        <item x="54"/>
        <item x="28"/>
        <item x="15"/>
        <item x="5"/>
        <item x="66"/>
        <item x="63"/>
        <item x="20"/>
        <item x="9"/>
        <item x="52"/>
        <item x="77"/>
        <item x="39"/>
        <item x="79"/>
        <item x="24"/>
        <item x="56"/>
        <item x="19"/>
        <item x="57"/>
        <item x="76"/>
        <item x="53"/>
        <item x="64"/>
        <item x="49"/>
        <item x="18"/>
        <item x="41"/>
        <item x="73"/>
        <item x="38"/>
        <item x="35"/>
        <item x="10"/>
        <item x="78"/>
        <item x="46"/>
        <item t="default"/>
      </items>
    </pivotField>
    <pivotField compact="0" showAll="0">
      <items count="21">
        <item x="0"/>
        <item x="15"/>
        <item x="18"/>
        <item x="12"/>
        <item x="7"/>
        <item x="2"/>
        <item x="4"/>
        <item x="16"/>
        <item x="5"/>
        <item x="17"/>
        <item x="8"/>
        <item x="13"/>
        <item x="6"/>
        <item x="3"/>
        <item x="1"/>
        <item x="19"/>
        <item x="9"/>
        <item x="11"/>
        <item x="10"/>
        <item x="14"/>
        <item t="default"/>
      </items>
    </pivotField>
    <pivotField compact="0" numFmtId="178" showAll="0">
      <items count="262">
        <item x="146"/>
        <item x="55"/>
        <item x="71"/>
        <item x="81"/>
        <item x="10"/>
        <item x="207"/>
        <item x="31"/>
        <item x="73"/>
        <item x="201"/>
        <item x="257"/>
        <item x="30"/>
        <item x="250"/>
        <item x="0"/>
        <item x="88"/>
        <item x="191"/>
        <item x="140"/>
        <item x="243"/>
        <item x="158"/>
        <item x="170"/>
        <item x="144"/>
        <item x="51"/>
        <item x="173"/>
        <item x="143"/>
        <item x="127"/>
        <item x="212"/>
        <item x="60"/>
        <item x="135"/>
        <item x="36"/>
        <item x="222"/>
        <item x="63"/>
        <item x="38"/>
        <item x="241"/>
        <item x="72"/>
        <item x="85"/>
        <item x="57"/>
        <item x="248"/>
        <item x="106"/>
        <item x="12"/>
        <item x="131"/>
        <item x="166"/>
        <item x="58"/>
        <item x="181"/>
        <item x="115"/>
        <item x="123"/>
        <item x="121"/>
        <item x="226"/>
        <item x="49"/>
        <item x="20"/>
        <item x="138"/>
        <item x="190"/>
        <item x="220"/>
        <item x="53"/>
        <item x="130"/>
        <item x="7"/>
        <item x="129"/>
        <item x="230"/>
        <item x="249"/>
        <item x="56"/>
        <item x="65"/>
        <item x="47"/>
        <item x="120"/>
        <item x="219"/>
        <item x="228"/>
        <item x="208"/>
        <item x="66"/>
        <item x="119"/>
        <item x="179"/>
        <item x="246"/>
        <item x="244"/>
        <item x="200"/>
        <item x="82"/>
        <item x="24"/>
        <item x="45"/>
        <item x="163"/>
        <item x="97"/>
        <item x="86"/>
        <item x="16"/>
        <item x="101"/>
        <item x="103"/>
        <item x="125"/>
        <item x="91"/>
        <item x="227"/>
        <item x="64"/>
        <item x="165"/>
        <item x="3"/>
        <item x="118"/>
        <item x="221"/>
        <item x="206"/>
        <item x="104"/>
        <item x="157"/>
        <item x="183"/>
        <item x="6"/>
        <item x="245"/>
        <item x="252"/>
        <item x="61"/>
        <item x="95"/>
        <item x="254"/>
        <item x="48"/>
        <item x="229"/>
        <item x="172"/>
        <item x="152"/>
        <item x="203"/>
        <item x="2"/>
        <item x="99"/>
        <item x="41"/>
        <item x="145"/>
        <item x="237"/>
        <item x="93"/>
        <item x="134"/>
        <item x="225"/>
        <item x="111"/>
        <item x="233"/>
        <item x="139"/>
        <item x="171"/>
        <item x="195"/>
        <item x="126"/>
        <item x="78"/>
        <item x="205"/>
        <item x="76"/>
        <item x="32"/>
        <item x="67"/>
        <item x="153"/>
        <item x="167"/>
        <item x="189"/>
        <item x="68"/>
        <item x="77"/>
        <item x="160"/>
        <item x="35"/>
        <item x="242"/>
        <item x="209"/>
        <item x="199"/>
        <item x="258"/>
        <item x="42"/>
        <item x="50"/>
        <item x="69"/>
        <item x="210"/>
        <item x="159"/>
        <item x="37"/>
        <item x="4"/>
        <item x="19"/>
        <item x="40"/>
        <item x="216"/>
        <item x="74"/>
        <item x="13"/>
        <item x="54"/>
        <item x="109"/>
        <item x="162"/>
        <item x="184"/>
        <item x="46"/>
        <item x="214"/>
        <item x="26"/>
        <item x="100"/>
        <item x="235"/>
        <item x="80"/>
        <item x="192"/>
        <item x="8"/>
        <item x="168"/>
        <item x="124"/>
        <item x="151"/>
        <item x="202"/>
        <item x="234"/>
        <item x="238"/>
        <item x="39"/>
        <item x="204"/>
        <item x="169"/>
        <item x="188"/>
        <item x="92"/>
        <item x="98"/>
        <item x="52"/>
        <item x="142"/>
        <item x="150"/>
        <item x="180"/>
        <item x="110"/>
        <item x="182"/>
        <item x="114"/>
        <item x="28"/>
        <item x="21"/>
        <item x="177"/>
        <item x="84"/>
        <item x="223"/>
        <item x="256"/>
        <item x="113"/>
        <item x="141"/>
        <item x="260"/>
        <item x="239"/>
        <item x="70"/>
        <item x="79"/>
        <item x="147"/>
        <item x="29"/>
        <item x="5"/>
        <item x="259"/>
        <item x="105"/>
        <item x="251"/>
        <item x="224"/>
        <item x="132"/>
        <item x="90"/>
        <item x="155"/>
        <item x="87"/>
        <item x="211"/>
        <item x="156"/>
        <item x="164"/>
        <item x="236"/>
        <item x="178"/>
        <item x="149"/>
        <item x="75"/>
        <item x="89"/>
        <item x="133"/>
        <item x="240"/>
        <item x="25"/>
        <item x="154"/>
        <item x="217"/>
        <item x="185"/>
        <item x="232"/>
        <item x="102"/>
        <item x="231"/>
        <item x="17"/>
        <item x="117"/>
        <item x="253"/>
        <item x="247"/>
        <item x="23"/>
        <item x="215"/>
        <item x="96"/>
        <item x="137"/>
        <item x="34"/>
        <item x="176"/>
        <item x="94"/>
        <item x="161"/>
        <item x="255"/>
        <item x="11"/>
        <item x="27"/>
        <item x="15"/>
        <item x="1"/>
        <item x="197"/>
        <item x="62"/>
        <item x="107"/>
        <item x="9"/>
        <item x="174"/>
        <item x="112"/>
        <item x="59"/>
        <item x="198"/>
        <item x="128"/>
        <item x="122"/>
        <item x="44"/>
        <item x="136"/>
        <item x="43"/>
        <item x="193"/>
        <item x="83"/>
        <item x="186"/>
        <item x="194"/>
        <item x="33"/>
        <item x="14"/>
        <item x="218"/>
        <item x="148"/>
        <item x="108"/>
        <item x="196"/>
        <item x="18"/>
        <item x="175"/>
        <item x="116"/>
        <item x="22"/>
        <item x="187"/>
        <item x="213"/>
        <item t="default"/>
      </items>
    </pivotField>
    <pivotField compact="0" showAll="0">
      <items count="244">
        <item x="108"/>
        <item x="106"/>
        <item x="188"/>
        <item x="150"/>
        <item x="100"/>
        <item x="178"/>
        <item x="162"/>
        <item x="234"/>
        <item x="37"/>
        <item x="47"/>
        <item x="16"/>
        <item x="2"/>
        <item x="161"/>
        <item x="144"/>
        <item x="233"/>
        <item x="235"/>
        <item x="71"/>
        <item x="189"/>
        <item x="18"/>
        <item x="48"/>
        <item x="186"/>
        <item x="120"/>
        <item x="142"/>
        <item x="154"/>
        <item x="83"/>
        <item x="123"/>
        <item x="98"/>
        <item x="164"/>
        <item x="133"/>
        <item x="156"/>
        <item x="115"/>
        <item x="230"/>
        <item x="110"/>
        <item x="41"/>
        <item x="147"/>
        <item x="187"/>
        <item x="223"/>
        <item x="42"/>
        <item x="181"/>
        <item x="218"/>
        <item x="77"/>
        <item x="38"/>
        <item x="36"/>
        <item x="72"/>
        <item x="109"/>
        <item x="159"/>
        <item x="65"/>
        <item x="103"/>
        <item x="50"/>
        <item x="85"/>
        <item x="212"/>
        <item x="199"/>
        <item x="24"/>
        <item x="86"/>
        <item x="111"/>
        <item x="55"/>
        <item x="134"/>
        <item x="132"/>
        <item x="73"/>
        <item x="168"/>
        <item x="239"/>
        <item x="40"/>
        <item x="87"/>
        <item x="153"/>
        <item x="30"/>
        <item x="117"/>
        <item x="190"/>
        <item x="3"/>
        <item x="229"/>
        <item x="10"/>
        <item x="143"/>
        <item x="97"/>
        <item x="99"/>
        <item x="92"/>
        <item x="43"/>
        <item x="9"/>
        <item x="56"/>
        <item x="225"/>
        <item x="145"/>
        <item x="129"/>
        <item x="89"/>
        <item x="1"/>
        <item x="127"/>
        <item x="57"/>
        <item x="96"/>
        <item x="167"/>
        <item x="160"/>
        <item x="54"/>
        <item x="148"/>
        <item x="63"/>
        <item x="213"/>
        <item x="193"/>
        <item x="140"/>
        <item x="172"/>
        <item x="107"/>
        <item x="58"/>
        <item x="122"/>
        <item x="184"/>
        <item x="125"/>
        <item x="135"/>
        <item x="221"/>
        <item x="26"/>
        <item x="7"/>
        <item x="177"/>
        <item x="49"/>
        <item x="197"/>
        <item x="203"/>
        <item x="28"/>
        <item x="209"/>
        <item x="242"/>
        <item x="146"/>
        <item x="149"/>
        <item x="124"/>
        <item x="232"/>
        <item x="76"/>
        <item x="11"/>
        <item x="166"/>
        <item x="228"/>
        <item x="62"/>
        <item x="195"/>
        <item x="126"/>
        <item x="192"/>
        <item x="208"/>
        <item x="174"/>
        <item x="130"/>
        <item x="226"/>
        <item x="207"/>
        <item x="53"/>
        <item x="171"/>
        <item x="22"/>
        <item x="236"/>
        <item x="200"/>
        <item x="231"/>
        <item x="45"/>
        <item x="74"/>
        <item x="88"/>
        <item x="238"/>
        <item x="104"/>
        <item x="17"/>
        <item x="173"/>
        <item x="194"/>
        <item x="75"/>
        <item x="67"/>
        <item x="128"/>
        <item x="101"/>
        <item x="6"/>
        <item x="78"/>
        <item x="210"/>
        <item x="44"/>
        <item x="34"/>
        <item x="31"/>
        <item x="4"/>
        <item x="237"/>
        <item x="183"/>
        <item x="32"/>
        <item x="214"/>
        <item x="84"/>
        <item x="141"/>
        <item x="19"/>
        <item x="91"/>
        <item x="196"/>
        <item x="227"/>
        <item x="118"/>
        <item x="8"/>
        <item x="152"/>
        <item x="241"/>
        <item x="165"/>
        <item x="220"/>
        <item x="121"/>
        <item x="224"/>
        <item x="82"/>
        <item x="182"/>
        <item x="105"/>
        <item x="112"/>
        <item x="114"/>
        <item x="180"/>
        <item x="61"/>
        <item x="33"/>
        <item x="68"/>
        <item x="0"/>
        <item x="222"/>
        <item x="64"/>
        <item x="191"/>
        <item x="81"/>
        <item x="202"/>
        <item x="151"/>
        <item x="46"/>
        <item x="12"/>
        <item x="157"/>
        <item x="59"/>
        <item x="29"/>
        <item x="70"/>
        <item x="138"/>
        <item x="102"/>
        <item x="15"/>
        <item x="80"/>
        <item x="137"/>
        <item x="95"/>
        <item x="201"/>
        <item x="215"/>
        <item x="240"/>
        <item x="219"/>
        <item x="25"/>
        <item x="27"/>
        <item x="52"/>
        <item x="169"/>
        <item x="5"/>
        <item x="21"/>
        <item x="185"/>
        <item x="198"/>
        <item x="113"/>
        <item x="217"/>
        <item x="69"/>
        <item x="158"/>
        <item x="79"/>
        <item x="155"/>
        <item x="205"/>
        <item x="66"/>
        <item x="175"/>
        <item x="206"/>
        <item x="93"/>
        <item x="23"/>
        <item x="90"/>
        <item x="60"/>
        <item x="116"/>
        <item x="131"/>
        <item x="139"/>
        <item x="94"/>
        <item x="179"/>
        <item x="13"/>
        <item x="14"/>
        <item x="51"/>
        <item x="136"/>
        <item x="20"/>
        <item x="176"/>
        <item x="39"/>
        <item x="35"/>
        <item x="216"/>
        <item x="119"/>
        <item x="170"/>
        <item x="163"/>
        <item x="204"/>
        <item x="211"/>
        <item t="default"/>
      </items>
    </pivotField>
    <pivotField compact="0" showAll="0">
      <items count="168">
        <item x="89"/>
        <item x="99"/>
        <item x="46"/>
        <item x="109"/>
        <item x="38"/>
        <item x="9"/>
        <item x="45"/>
        <item x="2"/>
        <item x="84"/>
        <item x="69"/>
        <item x="35"/>
        <item x="37"/>
        <item x="114"/>
        <item x="68"/>
        <item x="85"/>
        <item x="165"/>
        <item x="17"/>
        <item x="118"/>
        <item x="137"/>
        <item x="22"/>
        <item x="97"/>
        <item x="28"/>
        <item x="162"/>
        <item x="75"/>
        <item x="67"/>
        <item x="116"/>
        <item x="34"/>
        <item x="120"/>
        <item x="161"/>
        <item x="70"/>
        <item x="15"/>
        <item x="54"/>
        <item x="91"/>
        <item x="121"/>
        <item x="148"/>
        <item x="72"/>
        <item x="139"/>
        <item x="102"/>
        <item x="7"/>
        <item x="52"/>
        <item x="87"/>
        <item x="60"/>
        <item x="31"/>
        <item x="39"/>
        <item x="71"/>
        <item x="100"/>
        <item x="107"/>
        <item x="122"/>
        <item x="136"/>
        <item x="63"/>
        <item x="77"/>
        <item x="59"/>
        <item x="127"/>
        <item x="3"/>
        <item x="40"/>
        <item x="49"/>
        <item x="4"/>
        <item x="81"/>
        <item x="117"/>
        <item x="30"/>
        <item x="113"/>
        <item x="151"/>
        <item x="155"/>
        <item x="103"/>
        <item x="163"/>
        <item x="106"/>
        <item x="14"/>
        <item x="62"/>
        <item x="146"/>
        <item x="1"/>
        <item x="56"/>
        <item x="19"/>
        <item x="53"/>
        <item x="157"/>
        <item x="43"/>
        <item x="80"/>
        <item x="27"/>
        <item x="90"/>
        <item x="61"/>
        <item x="76"/>
        <item x="144"/>
        <item x="124"/>
        <item x="108"/>
        <item x="66"/>
        <item x="64"/>
        <item x="24"/>
        <item x="11"/>
        <item x="159"/>
        <item x="16"/>
        <item x="138"/>
        <item x="104"/>
        <item x="79"/>
        <item x="48"/>
        <item x="86"/>
        <item x="166"/>
        <item x="111"/>
        <item x="25"/>
        <item x="130"/>
        <item x="94"/>
        <item x="140"/>
        <item x="55"/>
        <item x="32"/>
        <item x="95"/>
        <item x="112"/>
        <item x="149"/>
        <item x="134"/>
        <item x="101"/>
        <item x="156"/>
        <item x="82"/>
        <item x="6"/>
        <item x="78"/>
        <item x="26"/>
        <item x="131"/>
        <item x="150"/>
        <item x="57"/>
        <item x="8"/>
        <item x="143"/>
        <item x="0"/>
        <item x="119"/>
        <item x="158"/>
        <item x="41"/>
        <item x="29"/>
        <item x="125"/>
        <item x="88"/>
        <item x="10"/>
        <item x="20"/>
        <item x="42"/>
        <item x="105"/>
        <item x="73"/>
        <item x="164"/>
        <item x="12"/>
        <item x="98"/>
        <item x="147"/>
        <item x="135"/>
        <item x="74"/>
        <item x="92"/>
        <item x="58"/>
        <item x="47"/>
        <item x="132"/>
        <item x="110"/>
        <item x="21"/>
        <item x="133"/>
        <item x="36"/>
        <item x="153"/>
        <item x="33"/>
        <item x="128"/>
        <item x="145"/>
        <item x="154"/>
        <item x="115"/>
        <item x="13"/>
        <item x="5"/>
        <item x="50"/>
        <item x="51"/>
        <item x="23"/>
        <item x="160"/>
        <item x="152"/>
        <item x="129"/>
        <item x="18"/>
        <item x="141"/>
        <item x="142"/>
        <item x="83"/>
        <item x="126"/>
        <item x="65"/>
        <item x="93"/>
        <item x="44"/>
        <item x="123"/>
        <item x="96"/>
        <item t="default"/>
      </items>
    </pivotField>
    <pivotField compact="0" numFmtId="177" showAll="0">
      <items count="5">
        <item x="3"/>
        <item x="0"/>
        <item x="1"/>
        <item x="2"/>
        <item t="default"/>
      </items>
    </pivotField>
    <pivotField compact="0" numFmtId="177" showAll="0">
      <items count="4">
        <item x="2"/>
        <item x="1"/>
        <item x="0"/>
        <item t="default"/>
      </items>
    </pivotField>
    <pivotField compact="0" numFmtId="177" showAll="0">
      <items count="4">
        <item x="1"/>
        <item x="2"/>
        <item x="0"/>
        <item t="default"/>
      </items>
    </pivotField>
    <pivotField compact="0" numFmtId="177" showAll="0">
      <items count="4">
        <item x="0"/>
        <item x="1"/>
        <item x="2"/>
        <item t="default"/>
      </items>
    </pivotField>
    <pivotField compact="0" numFmtId="177" showAll="0">
      <items count="6">
        <item x="1"/>
        <item x="2"/>
        <item x="3"/>
        <item x="0"/>
        <item x="4"/>
        <item t="default"/>
      </items>
    </pivotField>
    <pivotField compact="0" numFmtId="177" showAll="0">
      <items count="5">
        <item x="0"/>
        <item x="2"/>
        <item x="1"/>
        <item x="3"/>
        <item t="default"/>
      </items>
    </pivotField>
    <pivotField compact="0" numFmtId="177" showAll="0">
      <items count="16">
        <item x="14"/>
        <item x="10"/>
        <item x="11"/>
        <item x="4"/>
        <item x="1"/>
        <item x="7"/>
        <item x="2"/>
        <item x="0"/>
        <item x="3"/>
        <item x="5"/>
        <item x="8"/>
        <item x="9"/>
        <item x="6"/>
        <item x="13"/>
        <item x="12"/>
        <item t="default"/>
      </items>
    </pivotField>
    <pivotField compact="0" numFmtId="177" showAll="0">
      <items count="41">
        <item x="24"/>
        <item x="29"/>
        <item x="21"/>
        <item x="13"/>
        <item x="4"/>
        <item x="19"/>
        <item x="11"/>
        <item x="3"/>
        <item x="23"/>
        <item x="7"/>
        <item x="15"/>
        <item x="8"/>
        <item x="31"/>
        <item x="16"/>
        <item x="0"/>
        <item x="18"/>
        <item x="14"/>
        <item x="5"/>
        <item x="28"/>
        <item x="10"/>
        <item x="33"/>
        <item x="2"/>
        <item x="1"/>
        <item x="22"/>
        <item x="32"/>
        <item x="27"/>
        <item x="34"/>
        <item x="36"/>
        <item x="35"/>
        <item x="12"/>
        <item x="25"/>
        <item x="38"/>
        <item x="26"/>
        <item x="17"/>
        <item x="30"/>
        <item x="20"/>
        <item x="6"/>
        <item x="37"/>
        <item x="39"/>
        <item x="9"/>
        <item t="default"/>
      </items>
    </pivotField>
    <pivotField compact="0" numFmtId="177" showAll="0">
      <items count="21">
        <item x="4"/>
        <item x="11"/>
        <item x="2"/>
        <item x="9"/>
        <item x="3"/>
        <item x="1"/>
        <item x="5"/>
        <item x="16"/>
        <item x="6"/>
        <item x="12"/>
        <item x="17"/>
        <item x="14"/>
        <item x="0"/>
        <item x="10"/>
        <item x="13"/>
        <item x="15"/>
        <item x="18"/>
        <item x="8"/>
        <item x="7"/>
        <item x="19"/>
        <item t="default"/>
      </items>
    </pivotField>
    <pivotField compact="0" numFmtId="177" showAll="0">
      <items count="21">
        <item x="1"/>
        <item x="8"/>
        <item x="11"/>
        <item x="5"/>
        <item x="14"/>
        <item x="2"/>
        <item x="13"/>
        <item x="10"/>
        <item x="4"/>
        <item x="16"/>
        <item x="6"/>
        <item x="9"/>
        <item x="3"/>
        <item x="7"/>
        <item x="12"/>
        <item x="0"/>
        <item x="17"/>
        <item x="15"/>
        <item x="18"/>
        <item x="19"/>
        <item t="default"/>
      </items>
    </pivotField>
    <pivotField compact="0" numFmtId="177" showAll="0">
      <items count="21">
        <item x="0"/>
        <item x="13"/>
        <item x="1"/>
        <item x="2"/>
        <item x="3"/>
        <item x="4"/>
        <item x="6"/>
        <item x="10"/>
        <item x="9"/>
        <item x="7"/>
        <item x="5"/>
        <item x="14"/>
        <item x="11"/>
        <item x="17"/>
        <item x="19"/>
        <item x="15"/>
        <item x="18"/>
        <item x="12"/>
        <item x="16"/>
        <item x="8"/>
        <item t="default"/>
      </items>
    </pivotField>
    <pivotField compact="0" numFmtId="177" showAll="0">
      <items count="50">
        <item x="35"/>
        <item x="30"/>
        <item x="25"/>
        <item x="4"/>
        <item x="13"/>
        <item x="3"/>
        <item x="11"/>
        <item x="1"/>
        <item x="42"/>
        <item x="23"/>
        <item x="22"/>
        <item x="28"/>
        <item x="43"/>
        <item x="16"/>
        <item x="20"/>
        <item x="14"/>
        <item x="34"/>
        <item x="2"/>
        <item x="27"/>
        <item x="7"/>
        <item x="19"/>
        <item x="41"/>
        <item x="8"/>
        <item x="26"/>
        <item x="38"/>
        <item x="24"/>
        <item x="36"/>
        <item x="5"/>
        <item x="33"/>
        <item x="18"/>
        <item x="6"/>
        <item x="37"/>
        <item x="40"/>
        <item x="0"/>
        <item x="12"/>
        <item x="39"/>
        <item x="21"/>
        <item x="46"/>
        <item x="15"/>
        <item x="31"/>
        <item x="10"/>
        <item x="47"/>
        <item x="9"/>
        <item x="29"/>
        <item x="48"/>
        <item x="45"/>
        <item x="17"/>
        <item x="32"/>
        <item x="44"/>
        <item t="default"/>
      </items>
    </pivotField>
    <pivotField compact="0" numFmtId="177" showAll="0">
      <items count="42">
        <item x="27"/>
        <item x="24"/>
        <item x="36"/>
        <item x="13"/>
        <item x="0"/>
        <item x="19"/>
        <item x="11"/>
        <item x="7"/>
        <item x="29"/>
        <item x="18"/>
        <item x="16"/>
        <item x="1"/>
        <item x="15"/>
        <item x="4"/>
        <item x="2"/>
        <item x="33"/>
        <item x="37"/>
        <item x="3"/>
        <item x="14"/>
        <item x="5"/>
        <item x="10"/>
        <item x="25"/>
        <item x="34"/>
        <item x="38"/>
        <item x="32"/>
        <item x="6"/>
        <item x="28"/>
        <item x="23"/>
        <item x="31"/>
        <item x="35"/>
        <item x="9"/>
        <item x="22"/>
        <item x="30"/>
        <item x="20"/>
        <item x="26"/>
        <item x="12"/>
        <item x="17"/>
        <item x="40"/>
        <item x="21"/>
        <item x="8"/>
        <item x="39"/>
        <item t="default"/>
      </items>
    </pivotField>
    <pivotField compact="0" numFmtId="177" showAll="0">
      <items count="89">
        <item x="32"/>
        <item x="84"/>
        <item x="51"/>
        <item x="78"/>
        <item x="75"/>
        <item x="48"/>
        <item x="54"/>
        <item x="28"/>
        <item x="37"/>
        <item x="5"/>
        <item x="61"/>
        <item x="59"/>
        <item x="63"/>
        <item x="66"/>
        <item x="58"/>
        <item x="68"/>
        <item x="20"/>
        <item x="50"/>
        <item x="49"/>
        <item x="41"/>
        <item x="36"/>
        <item x="1"/>
        <item x="42"/>
        <item x="13"/>
        <item x="45"/>
        <item x="4"/>
        <item x="86"/>
        <item x="30"/>
        <item x="87"/>
        <item x="3"/>
        <item x="2"/>
        <item x="70"/>
        <item x="38"/>
        <item x="23"/>
        <item x="16"/>
        <item x="24"/>
        <item x="43"/>
        <item x="35"/>
        <item x="14"/>
        <item x="46"/>
        <item x="29"/>
        <item x="25"/>
        <item x="56"/>
        <item x="31"/>
        <item x="44"/>
        <item x="40"/>
        <item x="18"/>
        <item x="17"/>
        <item x="6"/>
        <item x="9"/>
        <item x="33"/>
        <item x="8"/>
        <item x="74"/>
        <item x="39"/>
        <item x="55"/>
        <item x="62"/>
        <item x="67"/>
        <item x="0"/>
        <item x="60"/>
        <item x="72"/>
        <item x="73"/>
        <item x="64"/>
        <item x="83"/>
        <item x="27"/>
        <item x="22"/>
        <item x="21"/>
        <item x="19"/>
        <item x="81"/>
        <item x="26"/>
        <item x="69"/>
        <item x="10"/>
        <item x="71"/>
        <item x="7"/>
        <item x="34"/>
        <item x="57"/>
        <item x="11"/>
        <item x="53"/>
        <item x="47"/>
        <item x="65"/>
        <item x="52"/>
        <item x="82"/>
        <item x="15"/>
        <item x="76"/>
        <item x="12"/>
        <item x="79"/>
        <item x="77"/>
        <item x="85"/>
        <item x="80"/>
        <item t="default"/>
      </items>
    </pivotField>
    <pivotField compact="0" numFmtId="1" showAll="0">
      <items count="9">
        <item x="6"/>
        <item x="7"/>
        <item x="2"/>
        <item x="1"/>
        <item x="0"/>
        <item x="3"/>
        <item x="4"/>
        <item x="5"/>
        <item t="default"/>
      </items>
    </pivotField>
    <pivotField compact="0" numFmtId="1" showAll="0">
      <items count="9">
        <item x="6"/>
        <item x="4"/>
        <item x="1"/>
        <item x="0"/>
        <item x="2"/>
        <item x="3"/>
        <item x="7"/>
        <item x="5"/>
        <item t="default"/>
      </items>
    </pivotField>
    <pivotField compact="0" numFmtId="1" showAll="0">
      <items count="4">
        <item x="0"/>
        <item x="1"/>
        <item x="2"/>
        <item t="default"/>
      </items>
    </pivotField>
    <pivotField compact="0" numFmtId="1" showAll="0">
      <items count="9">
        <item x="4"/>
        <item x="2"/>
        <item x="1"/>
        <item x="0"/>
        <item x="3"/>
        <item x="6"/>
        <item x="7"/>
        <item x="5"/>
        <item t="default"/>
      </items>
    </pivotField>
    <pivotField compact="0" numFmtId="1" showAll="0">
      <items count="3">
        <item x="0"/>
        <item x="1"/>
        <item t="default"/>
      </items>
    </pivotField>
    <pivotField dragToCol="0" dragToPage="0" dragToRow="0" compact="0" numFmtI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onations Received kg" fld="19" baseField="0" baseItem="0"/>
    <dataField name="Sum of Re-Donations kg" fld="20" baseField="0" baseItem="0"/>
  </dataFields>
  <formats count="1">
    <format dxfId="14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t_Marketing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63:C76" firstHeaderRow="0" firstDataRow="1" firstDataCol="1"/>
  <pivotFields count="45">
    <pivotField axis="axisRow" name="Month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numFmtId="179" showAll="0">
      <items count="2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t="default"/>
      </items>
    </pivotField>
    <pivotField compact="0" showAll="0">
      <items count="6">
        <item x="2"/>
        <item x="3"/>
        <item x="4"/>
        <item x="0"/>
        <item x="1"/>
        <item t="default"/>
      </items>
    </pivotField>
    <pivotField compact="0" showAll="0">
      <items count="6">
        <item x="3"/>
        <item x="1"/>
        <item x="4"/>
        <item x="0"/>
        <item x="2"/>
        <item t="default"/>
      </items>
    </pivotField>
    <pivotField compact="0" showAll="0">
      <items count="6">
        <item x="2"/>
        <item x="1"/>
        <item x="3"/>
        <item x="0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2"/>
        <item x="3"/>
        <item x="1"/>
        <item x="0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77" showAll="0">
      <items count="187">
        <item x="0"/>
        <item x="50"/>
        <item x="10"/>
        <item x="105"/>
        <item x="100"/>
        <item x="156"/>
        <item x="169"/>
        <item x="130"/>
        <item x="94"/>
        <item x="99"/>
        <item x="98"/>
        <item x="142"/>
        <item x="53"/>
        <item x="86"/>
        <item x="70"/>
        <item x="185"/>
        <item x="30"/>
        <item x="77"/>
        <item x="62"/>
        <item x="57"/>
        <item x="145"/>
        <item x="19"/>
        <item x="89"/>
        <item x="48"/>
        <item x="144"/>
        <item x="154"/>
        <item x="83"/>
        <item x="20"/>
        <item x="15"/>
        <item x="91"/>
        <item x="175"/>
        <item x="97"/>
        <item x="66"/>
        <item x="28"/>
        <item x="131"/>
        <item x="177"/>
        <item x="119"/>
        <item x="139"/>
        <item x="122"/>
        <item x="35"/>
        <item x="79"/>
        <item x="69"/>
        <item x="71"/>
        <item x="63"/>
        <item x="137"/>
        <item x="3"/>
        <item x="52"/>
        <item x="178"/>
        <item x="147"/>
        <item x="59"/>
        <item x="162"/>
        <item x="58"/>
        <item x="181"/>
        <item x="85"/>
        <item x="161"/>
        <item x="146"/>
        <item x="172"/>
        <item x="61"/>
        <item x="112"/>
        <item x="132"/>
        <item x="180"/>
        <item x="11"/>
        <item x="88"/>
        <item x="159"/>
        <item x="6"/>
        <item x="174"/>
        <item x="16"/>
        <item x="92"/>
        <item x="125"/>
        <item x="34"/>
        <item x="51"/>
        <item x="18"/>
        <item x="41"/>
        <item x="93"/>
        <item x="4"/>
        <item x="42"/>
        <item x="76"/>
        <item x="13"/>
        <item x="134"/>
        <item x="23"/>
        <item x="118"/>
        <item x="179"/>
        <item x="111"/>
        <item x="121"/>
        <item x="60"/>
        <item x="114"/>
        <item x="96"/>
        <item x="143"/>
        <item x="170"/>
        <item x="90"/>
        <item x="167"/>
        <item x="129"/>
        <item x="135"/>
        <item x="21"/>
        <item x="153"/>
        <item x="74"/>
        <item x="115"/>
        <item x="73"/>
        <item x="149"/>
        <item x="80"/>
        <item x="46"/>
        <item x="67"/>
        <item x="168"/>
        <item x="176"/>
        <item x="165"/>
        <item x="72"/>
        <item x="45"/>
        <item x="39"/>
        <item x="36"/>
        <item x="78"/>
        <item x="113"/>
        <item x="2"/>
        <item x="152"/>
        <item x="184"/>
        <item x="173"/>
        <item x="124"/>
        <item x="33"/>
        <item x="82"/>
        <item x="164"/>
        <item x="136"/>
        <item x="40"/>
        <item x="138"/>
        <item x="9"/>
        <item x="95"/>
        <item x="64"/>
        <item x="47"/>
        <item x="27"/>
        <item x="43"/>
        <item x="68"/>
        <item x="104"/>
        <item x="102"/>
        <item x="65"/>
        <item x="141"/>
        <item x="166"/>
        <item x="32"/>
        <item x="182"/>
        <item x="49"/>
        <item x="171"/>
        <item x="133"/>
        <item x="56"/>
        <item x="37"/>
        <item x="183"/>
        <item x="126"/>
        <item x="54"/>
        <item x="101"/>
        <item x="17"/>
        <item x="106"/>
        <item x="12"/>
        <item x="81"/>
        <item x="44"/>
        <item x="103"/>
        <item x="163"/>
        <item x="116"/>
        <item x="31"/>
        <item x="75"/>
        <item x="150"/>
        <item x="22"/>
        <item x="1"/>
        <item x="24"/>
        <item x="107"/>
        <item x="108"/>
        <item x="128"/>
        <item x="109"/>
        <item x="157"/>
        <item x="38"/>
        <item x="117"/>
        <item x="148"/>
        <item x="25"/>
        <item x="7"/>
        <item x="87"/>
        <item x="84"/>
        <item x="140"/>
        <item x="120"/>
        <item x="123"/>
        <item x="160"/>
        <item x="29"/>
        <item x="55"/>
        <item x="158"/>
        <item x="5"/>
        <item x="14"/>
        <item x="151"/>
        <item x="26"/>
        <item x="127"/>
        <item x="155"/>
        <item x="8"/>
        <item x="110"/>
        <item t="default"/>
      </items>
    </pivotField>
    <pivotField compact="0" numFmtId="177" showAll="0">
      <items count="83">
        <item x="0"/>
        <item x="27"/>
        <item x="45"/>
        <item x="14"/>
        <item x="81"/>
        <item x="23"/>
        <item x="68"/>
        <item x="67"/>
        <item x="80"/>
        <item x="72"/>
        <item x="21"/>
        <item x="22"/>
        <item x="25"/>
        <item x="30"/>
        <item x="32"/>
        <item x="70"/>
        <item x="2"/>
        <item x="75"/>
        <item x="55"/>
        <item x="3"/>
        <item x="13"/>
        <item x="16"/>
        <item x="29"/>
        <item x="37"/>
        <item x="4"/>
        <item x="47"/>
        <item x="26"/>
        <item x="1"/>
        <item x="51"/>
        <item x="69"/>
        <item x="7"/>
        <item x="6"/>
        <item x="8"/>
        <item x="43"/>
        <item x="44"/>
        <item x="58"/>
        <item x="40"/>
        <item x="11"/>
        <item x="74"/>
        <item x="36"/>
        <item x="65"/>
        <item x="34"/>
        <item x="60"/>
        <item x="33"/>
        <item x="59"/>
        <item x="61"/>
        <item x="71"/>
        <item x="31"/>
        <item x="42"/>
        <item x="62"/>
        <item x="50"/>
        <item x="12"/>
        <item x="17"/>
        <item x="48"/>
        <item x="54"/>
        <item x="28"/>
        <item x="15"/>
        <item x="5"/>
        <item x="66"/>
        <item x="63"/>
        <item x="20"/>
        <item x="9"/>
        <item x="52"/>
        <item x="77"/>
        <item x="39"/>
        <item x="79"/>
        <item x="24"/>
        <item x="56"/>
        <item x="19"/>
        <item x="57"/>
        <item x="76"/>
        <item x="53"/>
        <item x="64"/>
        <item x="49"/>
        <item x="18"/>
        <item x="41"/>
        <item x="73"/>
        <item x="38"/>
        <item x="35"/>
        <item x="10"/>
        <item x="78"/>
        <item x="46"/>
        <item t="default"/>
      </items>
    </pivotField>
    <pivotField compact="0" showAll="0">
      <items count="21">
        <item x="0"/>
        <item x="15"/>
        <item x="18"/>
        <item x="12"/>
        <item x="7"/>
        <item x="2"/>
        <item x="4"/>
        <item x="16"/>
        <item x="5"/>
        <item x="17"/>
        <item x="8"/>
        <item x="13"/>
        <item x="6"/>
        <item x="3"/>
        <item x="1"/>
        <item x="19"/>
        <item x="9"/>
        <item x="11"/>
        <item x="10"/>
        <item x="14"/>
        <item t="default"/>
      </items>
    </pivotField>
    <pivotField compact="0" numFmtId="178" showAll="0">
      <items count="262">
        <item x="146"/>
        <item x="55"/>
        <item x="71"/>
        <item x="81"/>
        <item x="10"/>
        <item x="207"/>
        <item x="31"/>
        <item x="73"/>
        <item x="201"/>
        <item x="257"/>
        <item x="30"/>
        <item x="250"/>
        <item x="0"/>
        <item x="88"/>
        <item x="191"/>
        <item x="140"/>
        <item x="243"/>
        <item x="158"/>
        <item x="170"/>
        <item x="144"/>
        <item x="51"/>
        <item x="173"/>
        <item x="143"/>
        <item x="127"/>
        <item x="212"/>
        <item x="60"/>
        <item x="135"/>
        <item x="36"/>
        <item x="222"/>
        <item x="63"/>
        <item x="38"/>
        <item x="241"/>
        <item x="72"/>
        <item x="85"/>
        <item x="57"/>
        <item x="248"/>
        <item x="106"/>
        <item x="12"/>
        <item x="131"/>
        <item x="166"/>
        <item x="58"/>
        <item x="181"/>
        <item x="115"/>
        <item x="123"/>
        <item x="121"/>
        <item x="226"/>
        <item x="49"/>
        <item x="20"/>
        <item x="138"/>
        <item x="190"/>
        <item x="220"/>
        <item x="53"/>
        <item x="130"/>
        <item x="7"/>
        <item x="129"/>
        <item x="230"/>
        <item x="249"/>
        <item x="56"/>
        <item x="65"/>
        <item x="47"/>
        <item x="120"/>
        <item x="219"/>
        <item x="228"/>
        <item x="208"/>
        <item x="66"/>
        <item x="119"/>
        <item x="179"/>
        <item x="246"/>
        <item x="244"/>
        <item x="200"/>
        <item x="82"/>
        <item x="24"/>
        <item x="45"/>
        <item x="163"/>
        <item x="97"/>
        <item x="86"/>
        <item x="16"/>
        <item x="101"/>
        <item x="103"/>
        <item x="125"/>
        <item x="91"/>
        <item x="227"/>
        <item x="64"/>
        <item x="165"/>
        <item x="3"/>
        <item x="118"/>
        <item x="221"/>
        <item x="206"/>
        <item x="104"/>
        <item x="157"/>
        <item x="183"/>
        <item x="6"/>
        <item x="245"/>
        <item x="252"/>
        <item x="61"/>
        <item x="95"/>
        <item x="254"/>
        <item x="48"/>
        <item x="229"/>
        <item x="172"/>
        <item x="152"/>
        <item x="203"/>
        <item x="2"/>
        <item x="99"/>
        <item x="41"/>
        <item x="145"/>
        <item x="237"/>
        <item x="93"/>
        <item x="134"/>
        <item x="225"/>
        <item x="111"/>
        <item x="233"/>
        <item x="139"/>
        <item x="171"/>
        <item x="195"/>
        <item x="126"/>
        <item x="78"/>
        <item x="205"/>
        <item x="76"/>
        <item x="32"/>
        <item x="67"/>
        <item x="153"/>
        <item x="167"/>
        <item x="189"/>
        <item x="68"/>
        <item x="77"/>
        <item x="160"/>
        <item x="35"/>
        <item x="242"/>
        <item x="209"/>
        <item x="199"/>
        <item x="258"/>
        <item x="42"/>
        <item x="50"/>
        <item x="69"/>
        <item x="210"/>
        <item x="159"/>
        <item x="37"/>
        <item x="4"/>
        <item x="19"/>
        <item x="40"/>
        <item x="216"/>
        <item x="74"/>
        <item x="13"/>
        <item x="54"/>
        <item x="109"/>
        <item x="162"/>
        <item x="184"/>
        <item x="46"/>
        <item x="214"/>
        <item x="26"/>
        <item x="100"/>
        <item x="235"/>
        <item x="80"/>
        <item x="192"/>
        <item x="8"/>
        <item x="168"/>
        <item x="124"/>
        <item x="151"/>
        <item x="202"/>
        <item x="234"/>
        <item x="238"/>
        <item x="39"/>
        <item x="204"/>
        <item x="169"/>
        <item x="188"/>
        <item x="92"/>
        <item x="98"/>
        <item x="52"/>
        <item x="142"/>
        <item x="150"/>
        <item x="180"/>
        <item x="110"/>
        <item x="182"/>
        <item x="114"/>
        <item x="28"/>
        <item x="21"/>
        <item x="177"/>
        <item x="84"/>
        <item x="223"/>
        <item x="256"/>
        <item x="113"/>
        <item x="141"/>
        <item x="260"/>
        <item x="239"/>
        <item x="70"/>
        <item x="79"/>
        <item x="147"/>
        <item x="29"/>
        <item x="5"/>
        <item x="259"/>
        <item x="105"/>
        <item x="251"/>
        <item x="224"/>
        <item x="132"/>
        <item x="90"/>
        <item x="155"/>
        <item x="87"/>
        <item x="211"/>
        <item x="156"/>
        <item x="164"/>
        <item x="236"/>
        <item x="178"/>
        <item x="149"/>
        <item x="75"/>
        <item x="89"/>
        <item x="133"/>
        <item x="240"/>
        <item x="25"/>
        <item x="154"/>
        <item x="217"/>
        <item x="185"/>
        <item x="232"/>
        <item x="102"/>
        <item x="231"/>
        <item x="17"/>
        <item x="117"/>
        <item x="253"/>
        <item x="247"/>
        <item x="23"/>
        <item x="215"/>
        <item x="96"/>
        <item x="137"/>
        <item x="34"/>
        <item x="176"/>
        <item x="94"/>
        <item x="161"/>
        <item x="255"/>
        <item x="11"/>
        <item x="27"/>
        <item x="15"/>
        <item x="1"/>
        <item x="197"/>
        <item x="62"/>
        <item x="107"/>
        <item x="9"/>
        <item x="174"/>
        <item x="112"/>
        <item x="59"/>
        <item x="198"/>
        <item x="128"/>
        <item x="122"/>
        <item x="44"/>
        <item x="136"/>
        <item x="43"/>
        <item x="193"/>
        <item x="83"/>
        <item x="186"/>
        <item x="194"/>
        <item x="33"/>
        <item x="14"/>
        <item x="218"/>
        <item x="148"/>
        <item x="108"/>
        <item x="196"/>
        <item x="18"/>
        <item x="175"/>
        <item x="116"/>
        <item x="22"/>
        <item x="187"/>
        <item x="213"/>
        <item t="default"/>
      </items>
    </pivotField>
    <pivotField dataField="1" compact="0" showAll="0">
      <items count="244">
        <item x="108"/>
        <item x="106"/>
        <item x="188"/>
        <item x="150"/>
        <item x="100"/>
        <item x="178"/>
        <item x="162"/>
        <item x="234"/>
        <item x="37"/>
        <item x="47"/>
        <item x="16"/>
        <item x="2"/>
        <item x="161"/>
        <item x="144"/>
        <item x="233"/>
        <item x="235"/>
        <item x="71"/>
        <item x="189"/>
        <item x="18"/>
        <item x="48"/>
        <item x="186"/>
        <item x="120"/>
        <item x="142"/>
        <item x="154"/>
        <item x="83"/>
        <item x="123"/>
        <item x="98"/>
        <item x="164"/>
        <item x="133"/>
        <item x="156"/>
        <item x="115"/>
        <item x="230"/>
        <item x="110"/>
        <item x="41"/>
        <item x="147"/>
        <item x="187"/>
        <item x="223"/>
        <item x="42"/>
        <item x="181"/>
        <item x="218"/>
        <item x="77"/>
        <item x="38"/>
        <item x="36"/>
        <item x="72"/>
        <item x="109"/>
        <item x="159"/>
        <item x="65"/>
        <item x="103"/>
        <item x="50"/>
        <item x="85"/>
        <item x="212"/>
        <item x="199"/>
        <item x="24"/>
        <item x="86"/>
        <item x="111"/>
        <item x="55"/>
        <item x="134"/>
        <item x="132"/>
        <item x="73"/>
        <item x="168"/>
        <item x="239"/>
        <item x="40"/>
        <item x="87"/>
        <item x="153"/>
        <item x="30"/>
        <item x="117"/>
        <item x="190"/>
        <item x="3"/>
        <item x="229"/>
        <item x="10"/>
        <item x="143"/>
        <item x="97"/>
        <item x="99"/>
        <item x="92"/>
        <item x="43"/>
        <item x="9"/>
        <item x="56"/>
        <item x="225"/>
        <item x="145"/>
        <item x="129"/>
        <item x="89"/>
        <item x="1"/>
        <item x="127"/>
        <item x="57"/>
        <item x="96"/>
        <item x="167"/>
        <item x="160"/>
        <item x="54"/>
        <item x="148"/>
        <item x="63"/>
        <item x="213"/>
        <item x="193"/>
        <item x="140"/>
        <item x="172"/>
        <item x="107"/>
        <item x="58"/>
        <item x="122"/>
        <item x="184"/>
        <item x="125"/>
        <item x="135"/>
        <item x="221"/>
        <item x="26"/>
        <item x="7"/>
        <item x="177"/>
        <item x="49"/>
        <item x="197"/>
        <item x="203"/>
        <item x="28"/>
        <item x="209"/>
        <item x="242"/>
        <item x="146"/>
        <item x="149"/>
        <item x="124"/>
        <item x="232"/>
        <item x="76"/>
        <item x="11"/>
        <item x="166"/>
        <item x="228"/>
        <item x="62"/>
        <item x="195"/>
        <item x="126"/>
        <item x="192"/>
        <item x="208"/>
        <item x="174"/>
        <item x="130"/>
        <item x="226"/>
        <item x="207"/>
        <item x="53"/>
        <item x="171"/>
        <item x="22"/>
        <item x="236"/>
        <item x="200"/>
        <item x="231"/>
        <item x="45"/>
        <item x="74"/>
        <item x="88"/>
        <item x="238"/>
        <item x="104"/>
        <item x="17"/>
        <item x="173"/>
        <item x="194"/>
        <item x="75"/>
        <item x="67"/>
        <item x="128"/>
        <item x="101"/>
        <item x="6"/>
        <item x="78"/>
        <item x="210"/>
        <item x="44"/>
        <item x="34"/>
        <item x="31"/>
        <item x="4"/>
        <item x="237"/>
        <item x="183"/>
        <item x="32"/>
        <item x="214"/>
        <item x="84"/>
        <item x="141"/>
        <item x="19"/>
        <item x="91"/>
        <item x="196"/>
        <item x="227"/>
        <item x="118"/>
        <item x="8"/>
        <item x="152"/>
        <item x="241"/>
        <item x="165"/>
        <item x="220"/>
        <item x="121"/>
        <item x="224"/>
        <item x="82"/>
        <item x="182"/>
        <item x="105"/>
        <item x="112"/>
        <item x="114"/>
        <item x="180"/>
        <item x="61"/>
        <item x="33"/>
        <item x="68"/>
        <item x="0"/>
        <item x="222"/>
        <item x="64"/>
        <item x="191"/>
        <item x="81"/>
        <item x="202"/>
        <item x="151"/>
        <item x="46"/>
        <item x="12"/>
        <item x="157"/>
        <item x="59"/>
        <item x="29"/>
        <item x="70"/>
        <item x="138"/>
        <item x="102"/>
        <item x="15"/>
        <item x="80"/>
        <item x="137"/>
        <item x="95"/>
        <item x="201"/>
        <item x="215"/>
        <item x="240"/>
        <item x="219"/>
        <item x="25"/>
        <item x="27"/>
        <item x="52"/>
        <item x="169"/>
        <item x="5"/>
        <item x="21"/>
        <item x="185"/>
        <item x="198"/>
        <item x="113"/>
        <item x="217"/>
        <item x="69"/>
        <item x="158"/>
        <item x="79"/>
        <item x="155"/>
        <item x="205"/>
        <item x="66"/>
        <item x="175"/>
        <item x="206"/>
        <item x="93"/>
        <item x="23"/>
        <item x="90"/>
        <item x="60"/>
        <item x="116"/>
        <item x="131"/>
        <item x="139"/>
        <item x="94"/>
        <item x="179"/>
        <item x="13"/>
        <item x="14"/>
        <item x="51"/>
        <item x="136"/>
        <item x="20"/>
        <item x="176"/>
        <item x="39"/>
        <item x="35"/>
        <item x="216"/>
        <item x="119"/>
        <item x="170"/>
        <item x="163"/>
        <item x="204"/>
        <item x="211"/>
        <item t="default"/>
      </items>
    </pivotField>
    <pivotField dataField="1" compact="0" showAll="0">
      <items count="168">
        <item x="89"/>
        <item x="99"/>
        <item x="46"/>
        <item x="109"/>
        <item x="38"/>
        <item x="9"/>
        <item x="45"/>
        <item x="2"/>
        <item x="84"/>
        <item x="69"/>
        <item x="35"/>
        <item x="37"/>
        <item x="114"/>
        <item x="68"/>
        <item x="85"/>
        <item x="165"/>
        <item x="17"/>
        <item x="118"/>
        <item x="137"/>
        <item x="22"/>
        <item x="97"/>
        <item x="28"/>
        <item x="162"/>
        <item x="75"/>
        <item x="67"/>
        <item x="116"/>
        <item x="34"/>
        <item x="120"/>
        <item x="161"/>
        <item x="70"/>
        <item x="15"/>
        <item x="54"/>
        <item x="91"/>
        <item x="121"/>
        <item x="148"/>
        <item x="72"/>
        <item x="139"/>
        <item x="102"/>
        <item x="7"/>
        <item x="52"/>
        <item x="87"/>
        <item x="60"/>
        <item x="31"/>
        <item x="39"/>
        <item x="71"/>
        <item x="100"/>
        <item x="107"/>
        <item x="122"/>
        <item x="136"/>
        <item x="63"/>
        <item x="77"/>
        <item x="59"/>
        <item x="127"/>
        <item x="3"/>
        <item x="40"/>
        <item x="49"/>
        <item x="4"/>
        <item x="81"/>
        <item x="117"/>
        <item x="30"/>
        <item x="113"/>
        <item x="151"/>
        <item x="155"/>
        <item x="103"/>
        <item x="163"/>
        <item x="106"/>
        <item x="14"/>
        <item x="62"/>
        <item x="146"/>
        <item x="1"/>
        <item x="56"/>
        <item x="19"/>
        <item x="53"/>
        <item x="157"/>
        <item x="43"/>
        <item x="80"/>
        <item x="27"/>
        <item x="90"/>
        <item x="61"/>
        <item x="76"/>
        <item x="144"/>
        <item x="124"/>
        <item x="108"/>
        <item x="66"/>
        <item x="64"/>
        <item x="24"/>
        <item x="11"/>
        <item x="159"/>
        <item x="16"/>
        <item x="138"/>
        <item x="104"/>
        <item x="79"/>
        <item x="48"/>
        <item x="86"/>
        <item x="166"/>
        <item x="111"/>
        <item x="25"/>
        <item x="130"/>
        <item x="94"/>
        <item x="140"/>
        <item x="55"/>
        <item x="32"/>
        <item x="95"/>
        <item x="112"/>
        <item x="149"/>
        <item x="134"/>
        <item x="101"/>
        <item x="156"/>
        <item x="82"/>
        <item x="6"/>
        <item x="78"/>
        <item x="26"/>
        <item x="131"/>
        <item x="150"/>
        <item x="57"/>
        <item x="8"/>
        <item x="143"/>
        <item x="0"/>
        <item x="119"/>
        <item x="158"/>
        <item x="41"/>
        <item x="29"/>
        <item x="125"/>
        <item x="88"/>
        <item x="10"/>
        <item x="20"/>
        <item x="42"/>
        <item x="105"/>
        <item x="73"/>
        <item x="164"/>
        <item x="12"/>
        <item x="98"/>
        <item x="147"/>
        <item x="135"/>
        <item x="74"/>
        <item x="92"/>
        <item x="58"/>
        <item x="47"/>
        <item x="132"/>
        <item x="110"/>
        <item x="21"/>
        <item x="133"/>
        <item x="36"/>
        <item x="153"/>
        <item x="33"/>
        <item x="128"/>
        <item x="145"/>
        <item x="154"/>
        <item x="115"/>
        <item x="13"/>
        <item x="5"/>
        <item x="50"/>
        <item x="51"/>
        <item x="23"/>
        <item x="160"/>
        <item x="152"/>
        <item x="129"/>
        <item x="18"/>
        <item x="141"/>
        <item x="142"/>
        <item x="83"/>
        <item x="126"/>
        <item x="65"/>
        <item x="93"/>
        <item x="44"/>
        <item x="123"/>
        <item x="96"/>
        <item t="default"/>
      </items>
    </pivotField>
    <pivotField compact="0" numFmtId="177" showAll="0">
      <items count="5">
        <item x="3"/>
        <item x="0"/>
        <item x="1"/>
        <item x="2"/>
        <item t="default"/>
      </items>
    </pivotField>
    <pivotField compact="0" numFmtId="177" showAll="0">
      <items count="4">
        <item x="2"/>
        <item x="1"/>
        <item x="0"/>
        <item t="default"/>
      </items>
    </pivotField>
    <pivotField compact="0" numFmtId="177" showAll="0">
      <items count="4">
        <item x="1"/>
        <item x="2"/>
        <item x="0"/>
        <item t="default"/>
      </items>
    </pivotField>
    <pivotField compact="0" numFmtId="177" showAll="0">
      <items count="4">
        <item x="0"/>
        <item x="1"/>
        <item x="2"/>
        <item t="default"/>
      </items>
    </pivotField>
    <pivotField compact="0" numFmtId="177" showAll="0">
      <items count="6">
        <item x="1"/>
        <item x="2"/>
        <item x="3"/>
        <item x="0"/>
        <item x="4"/>
        <item t="default"/>
      </items>
    </pivotField>
    <pivotField compact="0" numFmtId="177" showAll="0">
      <items count="5">
        <item x="0"/>
        <item x="2"/>
        <item x="1"/>
        <item x="3"/>
        <item t="default"/>
      </items>
    </pivotField>
    <pivotField compact="0" numFmtId="177" showAll="0">
      <items count="16">
        <item x="14"/>
        <item x="10"/>
        <item x="11"/>
        <item x="4"/>
        <item x="1"/>
        <item x="7"/>
        <item x="2"/>
        <item x="0"/>
        <item x="3"/>
        <item x="5"/>
        <item x="8"/>
        <item x="9"/>
        <item x="6"/>
        <item x="13"/>
        <item x="12"/>
        <item t="default"/>
      </items>
    </pivotField>
    <pivotField compact="0" numFmtId="177" showAll="0">
      <items count="41">
        <item x="24"/>
        <item x="29"/>
        <item x="21"/>
        <item x="13"/>
        <item x="4"/>
        <item x="19"/>
        <item x="11"/>
        <item x="3"/>
        <item x="23"/>
        <item x="7"/>
        <item x="15"/>
        <item x="8"/>
        <item x="31"/>
        <item x="16"/>
        <item x="0"/>
        <item x="18"/>
        <item x="14"/>
        <item x="5"/>
        <item x="28"/>
        <item x="10"/>
        <item x="33"/>
        <item x="2"/>
        <item x="1"/>
        <item x="22"/>
        <item x="32"/>
        <item x="27"/>
        <item x="34"/>
        <item x="36"/>
        <item x="35"/>
        <item x="12"/>
        <item x="25"/>
        <item x="38"/>
        <item x="26"/>
        <item x="17"/>
        <item x="30"/>
        <item x="20"/>
        <item x="6"/>
        <item x="37"/>
        <item x="39"/>
        <item x="9"/>
        <item t="default"/>
      </items>
    </pivotField>
    <pivotField compact="0" numFmtId="177" showAll="0">
      <items count="21">
        <item x="4"/>
        <item x="11"/>
        <item x="2"/>
        <item x="9"/>
        <item x="3"/>
        <item x="1"/>
        <item x="5"/>
        <item x="16"/>
        <item x="6"/>
        <item x="12"/>
        <item x="17"/>
        <item x="14"/>
        <item x="0"/>
        <item x="10"/>
        <item x="13"/>
        <item x="15"/>
        <item x="18"/>
        <item x="8"/>
        <item x="7"/>
        <item x="19"/>
        <item t="default"/>
      </items>
    </pivotField>
    <pivotField compact="0" numFmtId="177" showAll="0">
      <items count="21">
        <item x="1"/>
        <item x="8"/>
        <item x="11"/>
        <item x="5"/>
        <item x="14"/>
        <item x="2"/>
        <item x="13"/>
        <item x="10"/>
        <item x="4"/>
        <item x="16"/>
        <item x="6"/>
        <item x="9"/>
        <item x="3"/>
        <item x="7"/>
        <item x="12"/>
        <item x="0"/>
        <item x="17"/>
        <item x="15"/>
        <item x="18"/>
        <item x="19"/>
        <item t="default"/>
      </items>
    </pivotField>
    <pivotField compact="0" numFmtId="177" showAll="0">
      <items count="21">
        <item x="0"/>
        <item x="13"/>
        <item x="1"/>
        <item x="2"/>
        <item x="3"/>
        <item x="4"/>
        <item x="6"/>
        <item x="10"/>
        <item x="9"/>
        <item x="7"/>
        <item x="5"/>
        <item x="14"/>
        <item x="11"/>
        <item x="17"/>
        <item x="19"/>
        <item x="15"/>
        <item x="18"/>
        <item x="12"/>
        <item x="16"/>
        <item x="8"/>
        <item t="default"/>
      </items>
    </pivotField>
    <pivotField compact="0" numFmtId="177" showAll="0">
      <items count="50">
        <item x="35"/>
        <item x="30"/>
        <item x="25"/>
        <item x="4"/>
        <item x="13"/>
        <item x="3"/>
        <item x="11"/>
        <item x="1"/>
        <item x="42"/>
        <item x="23"/>
        <item x="22"/>
        <item x="28"/>
        <item x="43"/>
        <item x="16"/>
        <item x="20"/>
        <item x="14"/>
        <item x="34"/>
        <item x="2"/>
        <item x="27"/>
        <item x="7"/>
        <item x="19"/>
        <item x="41"/>
        <item x="8"/>
        <item x="26"/>
        <item x="38"/>
        <item x="24"/>
        <item x="36"/>
        <item x="5"/>
        <item x="33"/>
        <item x="18"/>
        <item x="6"/>
        <item x="37"/>
        <item x="40"/>
        <item x="0"/>
        <item x="12"/>
        <item x="39"/>
        <item x="21"/>
        <item x="46"/>
        <item x="15"/>
        <item x="31"/>
        <item x="10"/>
        <item x="47"/>
        <item x="9"/>
        <item x="29"/>
        <item x="48"/>
        <item x="45"/>
        <item x="17"/>
        <item x="32"/>
        <item x="44"/>
        <item t="default"/>
      </items>
    </pivotField>
    <pivotField compact="0" numFmtId="177" showAll="0">
      <items count="42">
        <item x="27"/>
        <item x="24"/>
        <item x="36"/>
        <item x="13"/>
        <item x="0"/>
        <item x="19"/>
        <item x="11"/>
        <item x="7"/>
        <item x="29"/>
        <item x="18"/>
        <item x="16"/>
        <item x="1"/>
        <item x="15"/>
        <item x="4"/>
        <item x="2"/>
        <item x="33"/>
        <item x="37"/>
        <item x="3"/>
        <item x="14"/>
        <item x="5"/>
        <item x="10"/>
        <item x="25"/>
        <item x="34"/>
        <item x="38"/>
        <item x="32"/>
        <item x="6"/>
        <item x="28"/>
        <item x="23"/>
        <item x="31"/>
        <item x="35"/>
        <item x="9"/>
        <item x="22"/>
        <item x="30"/>
        <item x="20"/>
        <item x="26"/>
        <item x="12"/>
        <item x="17"/>
        <item x="40"/>
        <item x="21"/>
        <item x="8"/>
        <item x="39"/>
        <item t="default"/>
      </items>
    </pivotField>
    <pivotField compact="0" numFmtId="177" showAll="0">
      <items count="89">
        <item x="32"/>
        <item x="84"/>
        <item x="51"/>
        <item x="78"/>
        <item x="75"/>
        <item x="48"/>
        <item x="54"/>
        <item x="28"/>
        <item x="37"/>
        <item x="5"/>
        <item x="61"/>
        <item x="59"/>
        <item x="63"/>
        <item x="66"/>
        <item x="58"/>
        <item x="68"/>
        <item x="20"/>
        <item x="50"/>
        <item x="49"/>
        <item x="41"/>
        <item x="36"/>
        <item x="1"/>
        <item x="42"/>
        <item x="13"/>
        <item x="45"/>
        <item x="4"/>
        <item x="86"/>
        <item x="30"/>
        <item x="87"/>
        <item x="3"/>
        <item x="2"/>
        <item x="70"/>
        <item x="38"/>
        <item x="23"/>
        <item x="16"/>
        <item x="24"/>
        <item x="43"/>
        <item x="35"/>
        <item x="14"/>
        <item x="46"/>
        <item x="29"/>
        <item x="25"/>
        <item x="56"/>
        <item x="31"/>
        <item x="44"/>
        <item x="40"/>
        <item x="18"/>
        <item x="17"/>
        <item x="6"/>
        <item x="9"/>
        <item x="33"/>
        <item x="8"/>
        <item x="74"/>
        <item x="39"/>
        <item x="55"/>
        <item x="62"/>
        <item x="67"/>
        <item x="0"/>
        <item x="60"/>
        <item x="72"/>
        <item x="73"/>
        <item x="64"/>
        <item x="83"/>
        <item x="27"/>
        <item x="22"/>
        <item x="21"/>
        <item x="19"/>
        <item x="81"/>
        <item x="26"/>
        <item x="69"/>
        <item x="10"/>
        <item x="71"/>
        <item x="7"/>
        <item x="34"/>
        <item x="57"/>
        <item x="11"/>
        <item x="53"/>
        <item x="47"/>
        <item x="65"/>
        <item x="52"/>
        <item x="82"/>
        <item x="15"/>
        <item x="76"/>
        <item x="12"/>
        <item x="79"/>
        <item x="77"/>
        <item x="85"/>
        <item x="80"/>
        <item t="default"/>
      </items>
    </pivotField>
    <pivotField compact="0" numFmtId="1" showAll="0">
      <items count="9">
        <item x="6"/>
        <item x="7"/>
        <item x="2"/>
        <item x="1"/>
        <item x="0"/>
        <item x="3"/>
        <item x="4"/>
        <item x="5"/>
        <item t="default"/>
      </items>
    </pivotField>
    <pivotField compact="0" numFmtId="1" showAll="0">
      <items count="9">
        <item x="6"/>
        <item x="4"/>
        <item x="1"/>
        <item x="0"/>
        <item x="2"/>
        <item x="3"/>
        <item x="7"/>
        <item x="5"/>
        <item t="default"/>
      </items>
    </pivotField>
    <pivotField compact="0" numFmtId="1" showAll="0">
      <items count="4">
        <item x="0"/>
        <item x="1"/>
        <item x="2"/>
        <item t="default"/>
      </items>
    </pivotField>
    <pivotField compact="0" numFmtId="1" showAll="0">
      <items count="9">
        <item x="4"/>
        <item x="2"/>
        <item x="1"/>
        <item x="0"/>
        <item x="3"/>
        <item x="6"/>
        <item x="7"/>
        <item x="5"/>
        <item t="default"/>
      </items>
    </pivotField>
    <pivotField compact="0" numFmtId="1" showAll="0">
      <items count="3">
        <item x="0"/>
        <item x="1"/>
        <item t="default"/>
      </items>
    </pivotField>
    <pivotField dragToCol="0" dragToPage="0" dragToRow="0" compact="0" numFmtI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ocial Media Outreach" fld="23" baseField="0" baseItem="0"/>
    <dataField name="Sum of Social Media Engagement" fld="24" baseField="0" baseItem="0"/>
  </dataFields>
  <formats count="1">
    <format dxfId="15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olumn1" sourceName="Column1">
  <pivotTables>
    <pivotTable tabId="18" name="Pivot_Income"/>
    <pivotTable tabId="18" name="Pivot_Services"/>
    <pivotTable tabId="18" name="Pivot_KPI"/>
    <pivotTable tabId="18" name="Pivot_Gender"/>
    <pivotTable tabId="18" name="Pivot_WEV"/>
    <pivotTable tabId="18" name="PivotTable8"/>
    <pivotTable tabId="18" name="pt_Marketing"/>
  </pivotTables>
  <data>
    <tabular pivotCacheId="1">
      <items count="1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Quarter" sourceName="Quarter">
  <pivotTables>
    <pivotTable tabId="18" name="Pivot_Income"/>
    <pivotTable tabId="18" name="Pivot_Services"/>
    <pivotTable tabId="18" name="Pivot_KPI"/>
    <pivotTable tabId="18" name="Pivot_Gender"/>
    <pivotTable tabId="18" name="Pivot_WEV"/>
    <pivotTable tabId="18" name="PivotTable8"/>
    <pivotTable tabId="18" name="pt_Marketing"/>
  </pivotTables>
  <data>
    <tabular pivotCacheId="1">
      <items count="4">
        <i x="0" s="1"/>
        <i x="1" s="1"/>
        <i x="2" s="1"/>
        <i x="3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ay" sourceName="Day">
  <pivotTables>
    <pivotTable tabId="18" name="Pivot_Income"/>
    <pivotTable tabId="18" name="Pivot_Services"/>
    <pivotTable tabId="18" name="Pivot_KPI"/>
    <pivotTable tabId="18" name="Pivot_Gender"/>
    <pivotTable tabId="18" name="Pivot_WEV"/>
    <pivotTable tabId="18" name="PivotTable8"/>
    <pivotTable tabId="18" name="pt_Marketing"/>
  </pivotTables>
  <data>
    <tabular pivotCacheId="1">
      <items count="5">
        <i x="2" s="1"/>
        <i x="3" s="1"/>
        <i x="4" s="1"/>
        <i x="0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Quarter" cache="Slicer_Quarter" caption="Quarter" rowHeight="225425"/>
  <slicer name="Day" cache="Slicer_Day" caption="Day" rowHeight="225425"/>
  <slicer name="Month" cache="Slicer_Column1" caption="Month" rowHeight="225425"/>
</slicers>
</file>

<file path=xl/tables/table1.xml><?xml version="1.0" encoding="utf-8"?>
<table xmlns="http://schemas.openxmlformats.org/spreadsheetml/2006/main" id="1" name="tbl_operations" displayName="tbl_operations" ref="A1:AR262">
  <autoFilter xmlns:etc="http://www.wps.cn/officeDocument/2017/etCustomData" ref="A1:AR262" etc:filterBottomFollowUsedRange="0"/>
  <tableColumns count="44">
    <tableColumn id="1" name="Month" dataDxfId="16"/>
    <tableColumn id="38" name="Quarter" dataDxfId="17"/>
    <tableColumn id="2" name="Week" dataDxfId="18"/>
    <tableColumn id="3" name="Date" dataDxfId="19"/>
    <tableColumn id="39" name="Day" dataDxfId="20">
      <calculatedColumnFormula>TEXT(D2,"dddd")</calculatedColumnFormula>
    </tableColumn>
    <tableColumn id="4" name="Interview Styling Registrations" dataDxfId="21"/>
    <tableColumn id="5" name="Interview Styling Completed" dataDxfId="22"/>
    <tableColumn id="6" name="Interview Styling Male" dataDxfId="23"/>
    <tableColumn id="7" name="Interview Styling Female" dataDxfId="24"/>
    <tableColumn id="8" name="Interview Styling Non-Binary" dataDxfId="25"/>
    <tableColumn id="9" name="Confidence Styling Registrations" dataDxfId="26"/>
    <tableColumn id="10" name="Confidence Styling Completed" dataDxfId="27"/>
    <tableColumn id="11" name="Confidence Styling Male" dataDxfId="28"/>
    <tableColumn id="12" name="Confidence Styling Female" dataDxfId="29"/>
    <tableColumn id="13" name="Confidence Styling Non-Binary" dataDxfId="30"/>
    <tableColumn id="14" name="WEV Registrations" dataDxfId="31"/>
    <tableColumn id="15" name="WEV Onboarded" dataDxfId="32"/>
    <tableColumn id="16" name="WEV Offboarded" dataDxfId="33"/>
    <tableColumn id="17" name="WEV Employed" dataDxfId="34"/>
    <tableColumn id="18" name="Donations Received kg" dataDxfId="35"/>
    <tableColumn id="19" name="Re-Donations kg" dataDxfId="36"/>
    <tableColumn id="20" name="Customers Purchased" dataDxfId="37"/>
    <tableColumn id="21" name="Total Income" dataDxfId="38"/>
    <tableColumn id="22" name="Social Media Outreach" dataDxfId="39"/>
    <tableColumn id="23" name="Social Media Engagement" dataDxfId="40"/>
    <tableColumn id="24" name="Volunteer Count Retail" dataDxfId="41"/>
    <tableColumn id="25" name="Volunteer Count HR" dataDxfId="42"/>
    <tableColumn id="26" name="Volunteer Count Business Support" dataDxfId="43"/>
    <tableColumn id="27" name="Volunteer Count Marketing" dataDxfId="44"/>
    <tableColumn id="28" name="Volunteer Count Stylist" dataDxfId="45"/>
    <tableColumn id="29" name="Volunteer Count Clothing Management" dataDxfId="46"/>
    <tableColumn id="30" name="Volunteer Count Total" dataDxfId="47"/>
    <tableColumn id="31" name="Volunteer Hours Retail" dataDxfId="48"/>
    <tableColumn id="32" name="Volunteer Hours HR" dataDxfId="49"/>
    <tableColumn id="33" name="Volunteer Hours Business Support" dataDxfId="50"/>
    <tableColumn id="34" name="Volunteer Hours Marketing" dataDxfId="51"/>
    <tableColumn id="35" name="Volunteer Hours Stylist" dataDxfId="52"/>
    <tableColumn id="36" name="Volunteer Hours Clothing Management" dataDxfId="53"/>
    <tableColumn id="37" name="Volunteer Hours Total" dataDxfId="54"/>
    <tableColumn id="40" name="Total Stylings Registrations" dataDxfId="55">
      <calculatedColumnFormula>tbl_operations[[#This Row],[Interview Styling Registrations]]+tbl_operations[[#This Row],[Confidence Styling Registrations]]</calculatedColumnFormula>
    </tableColumn>
    <tableColumn id="41" name="Total Completed Styling Services" dataDxfId="56">
      <calculatedColumnFormula>tbl_operations[[#This Row],[Interview Styling Completed]]+tbl_operations[[#This Row],[Confidence Styling Completed]]</calculatedColumnFormula>
    </tableColumn>
    <tableColumn id="42" name="Total Male" dataDxfId="57">
      <calculatedColumnFormula>tbl_operations[[#This Row],[Interview Styling Male]]+tbl_operations[[#This Row],[Confidence Styling Male]]</calculatedColumnFormula>
    </tableColumn>
    <tableColumn id="43" name="Total Female" dataDxfId="58">
      <calculatedColumnFormula>tbl_operations[[#This Row],[Interview Styling Female]]+tbl_operations[[#This Row],[Confidence Styling Female]]</calculatedColumnFormula>
    </tableColumn>
    <tableColumn id="44" name="Total Non-Binary" dataDxfId="59">
      <calculatedColumnFormula>tbl_operations[[#This Row],[Interview Styling Non-Binary]]+tbl_operations[[#This Row],[Confidence Styling Non-Binary]]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5"/>
  <sheetViews>
    <sheetView tabSelected="1" zoomScale="70" zoomScaleNormal="70" workbookViewId="0">
      <selection activeCell="AD12" sqref="AD12"/>
    </sheetView>
  </sheetViews>
  <sheetFormatPr defaultColWidth="9.23076923076923" defaultRowHeight="16.8"/>
  <cols>
    <col min="1" max="1" width="9.97115384615385" customWidth="1"/>
    <col min="23" max="23" width="11.3173076923077" customWidth="1"/>
    <col min="26" max="26" width="13.2403846153846" customWidth="1"/>
  </cols>
  <sheetData>
    <row r="1" spans="1:26">
      <c r="A1" s="176"/>
      <c r="B1" s="177" t="s">
        <v>0</v>
      </c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</row>
    <row r="2" spans="1:26">
      <c r="A2" s="176"/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</row>
    <row r="3" spans="1:26">
      <c r="A3" s="176"/>
      <c r="B3" s="178"/>
      <c r="C3" s="178"/>
      <c r="D3" s="178"/>
      <c r="E3" s="178"/>
      <c r="F3" s="178"/>
      <c r="G3" s="179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</row>
    <row r="4" ht="20.4" spans="1:26">
      <c r="A4" s="176"/>
      <c r="B4" s="180" t="s">
        <v>1</v>
      </c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</row>
    <row r="5" ht="20.4" spans="1:26">
      <c r="A5" s="176"/>
      <c r="B5" s="181"/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</row>
    <row r="6" spans="1:26">
      <c r="A6" s="176"/>
      <c r="B6" s="182" t="s">
        <v>2</v>
      </c>
      <c r="C6" s="183"/>
      <c r="D6" s="183"/>
      <c r="E6" s="182" t="s">
        <v>3</v>
      </c>
      <c r="F6" s="183"/>
      <c r="G6" s="183"/>
      <c r="H6" s="184" t="s">
        <v>4</v>
      </c>
      <c r="I6" s="185"/>
      <c r="J6" s="185"/>
      <c r="K6" s="182" t="s">
        <v>5</v>
      </c>
      <c r="L6" s="183"/>
      <c r="M6" s="183"/>
      <c r="N6" s="182" t="s">
        <v>6</v>
      </c>
      <c r="O6" s="183"/>
      <c r="P6" s="183"/>
      <c r="Q6" s="182" t="s">
        <v>7</v>
      </c>
      <c r="R6" s="183"/>
      <c r="S6" s="183"/>
      <c r="T6" s="186" t="s">
        <v>8</v>
      </c>
      <c r="U6" s="187"/>
      <c r="V6" s="187"/>
      <c r="W6" s="182" t="s">
        <v>9</v>
      </c>
      <c r="X6" s="183"/>
      <c r="Y6" s="183"/>
      <c r="Z6" s="188"/>
    </row>
    <row r="7" ht="15" customHeight="1" spans="1:26">
      <c r="A7" s="176"/>
      <c r="B7" s="189"/>
      <c r="C7" s="189"/>
      <c r="D7" s="189"/>
      <c r="E7" s="189"/>
      <c r="F7" s="189"/>
      <c r="G7" s="189"/>
      <c r="H7" s="185"/>
      <c r="I7" s="185"/>
      <c r="J7" s="185"/>
      <c r="K7" s="189"/>
      <c r="L7" s="189"/>
      <c r="M7" s="189"/>
      <c r="N7" s="189"/>
      <c r="O7" s="189"/>
      <c r="P7" s="189"/>
      <c r="Q7" s="189"/>
      <c r="R7" s="189"/>
      <c r="S7" s="189"/>
      <c r="T7" s="187"/>
      <c r="U7" s="187"/>
      <c r="V7" s="187"/>
      <c r="W7" s="189"/>
      <c r="X7" s="189"/>
      <c r="Y7" s="189"/>
      <c r="Z7" s="188"/>
    </row>
    <row r="8" ht="25" customHeight="1" spans="1:26">
      <c r="A8" s="176"/>
      <c r="B8" s="190">
        <f>GETPIVOTDATA("Sum of Total Income",'Pivot table'!$A$3)</f>
        <v>68713.69</v>
      </c>
      <c r="C8" s="190"/>
      <c r="D8" s="190"/>
      <c r="E8" s="191">
        <f>GETPIVOTDATA("Sum of Completion Rate",'Pivot table'!$A$3)</f>
        <v>0.864406779661017</v>
      </c>
      <c r="F8" s="191"/>
      <c r="G8" s="191"/>
      <c r="H8" s="192">
        <f>GETPIVOTDATA("Sum of Total Completed Styling Services",'Pivot table'!$A$3)</f>
        <v>765</v>
      </c>
      <c r="I8" s="192"/>
      <c r="J8" s="192"/>
      <c r="K8" s="192">
        <f>GETPIVOTDATA("Sum of WEV Employed",'Pivot table'!$A$3)</f>
        <v>33</v>
      </c>
      <c r="L8" s="192"/>
      <c r="M8" s="192"/>
      <c r="N8" s="192">
        <f>GETPIVOTDATA("Sum of Donations Received kg",'Pivot table'!$A$3)</f>
        <v>7603.50000000001</v>
      </c>
      <c r="O8" s="192"/>
      <c r="P8" s="192"/>
      <c r="Q8" s="192">
        <f>GETPIVOTDATA("Sum of Re-Donations kg",'Pivot table'!$A$3)</f>
        <v>1138.6</v>
      </c>
      <c r="R8" s="192"/>
      <c r="S8" s="192"/>
      <c r="T8" s="192">
        <f>GETPIVOTDATA("Sum of Volunteer Count Total",'Pivot table'!$A$3)</f>
        <v>2856</v>
      </c>
      <c r="U8" s="192"/>
      <c r="V8" s="192"/>
      <c r="W8" s="192">
        <f>GETPIVOTDATA("Sum of Volunteer Hours Total",'Pivot table'!$A$3)</f>
        <v>10665.5</v>
      </c>
      <c r="X8" s="192"/>
      <c r="Y8" s="192"/>
      <c r="Z8" s="188"/>
    </row>
    <row r="9" spans="1:26">
      <c r="A9" s="176"/>
      <c r="B9" s="188"/>
      <c r="C9" s="188"/>
      <c r="D9" s="188"/>
      <c r="E9" s="188"/>
      <c r="F9" s="188"/>
      <c r="G9" s="188"/>
      <c r="H9" s="188"/>
      <c r="I9" s="188"/>
      <c r="J9" s="188"/>
      <c r="K9" s="188"/>
      <c r="L9" s="188"/>
      <c r="M9" s="188"/>
      <c r="N9" s="188"/>
      <c r="O9" s="188"/>
      <c r="P9" s="188"/>
      <c r="Q9" s="188"/>
      <c r="R9" s="188"/>
      <c r="S9" s="188"/>
      <c r="T9" s="188"/>
      <c r="U9" s="188"/>
      <c r="V9" s="188"/>
      <c r="W9" s="188"/>
      <c r="X9" s="188"/>
      <c r="Y9" s="188"/>
      <c r="Z9" s="188"/>
    </row>
    <row r="10" spans="1:26">
      <c r="A10" s="176"/>
      <c r="B10" s="188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</row>
    <row r="11" spans="1:26">
      <c r="A11" s="176"/>
      <c r="B11" s="188"/>
      <c r="C11" s="188"/>
      <c r="D11" s="188"/>
      <c r="E11" s="188"/>
      <c r="F11" s="188"/>
      <c r="G11" s="188"/>
      <c r="H11" s="188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188"/>
      <c r="T11" s="188"/>
      <c r="U11" s="188"/>
      <c r="V11" s="188"/>
      <c r="W11" s="188"/>
      <c r="X11" s="188"/>
      <c r="Y11" s="188"/>
      <c r="Z11" s="188"/>
    </row>
    <row r="12" spans="1:26">
      <c r="A12" s="176"/>
      <c r="B12" s="188"/>
      <c r="C12" s="188"/>
      <c r="D12" s="188"/>
      <c r="E12" s="188"/>
      <c r="F12" s="188"/>
      <c r="G12" s="188"/>
      <c r="H12" s="188"/>
      <c r="I12" s="188"/>
      <c r="J12" s="188"/>
      <c r="K12" s="188"/>
      <c r="L12" s="188"/>
      <c r="M12" s="188"/>
      <c r="N12" s="188"/>
      <c r="O12" s="188"/>
      <c r="P12" s="188"/>
      <c r="Q12" s="188"/>
      <c r="R12" s="188"/>
      <c r="S12" s="188"/>
      <c r="T12" s="188"/>
      <c r="U12" s="188"/>
      <c r="V12" s="188"/>
      <c r="W12" s="188"/>
      <c r="X12" s="188"/>
      <c r="Y12" s="188"/>
      <c r="Z12" s="188"/>
    </row>
    <row r="13" spans="1:26">
      <c r="A13" s="176"/>
      <c r="B13" s="188"/>
      <c r="C13" s="188"/>
      <c r="D13" s="188"/>
      <c r="E13" s="188"/>
      <c r="F13" s="188"/>
      <c r="G13" s="188"/>
      <c r="H13" s="188"/>
      <c r="I13" s="188"/>
      <c r="J13" s="188"/>
      <c r="K13" s="188"/>
      <c r="L13" s="188"/>
      <c r="M13" s="188"/>
      <c r="N13" s="188"/>
      <c r="O13" s="188"/>
      <c r="P13" s="188"/>
      <c r="Q13" s="188"/>
      <c r="R13" s="188"/>
      <c r="S13" s="188"/>
      <c r="T13" s="188"/>
      <c r="U13" s="188"/>
      <c r="V13" s="188"/>
      <c r="W13" s="188"/>
      <c r="X13" s="188"/>
      <c r="Y13" s="188"/>
      <c r="Z13" s="188"/>
    </row>
    <row r="14" spans="1:26">
      <c r="A14" s="176"/>
      <c r="B14" s="188"/>
      <c r="C14" s="188"/>
      <c r="D14" s="188"/>
      <c r="E14" s="188"/>
      <c r="F14" s="188"/>
      <c r="G14" s="188"/>
      <c r="H14" s="188"/>
      <c r="I14" s="188"/>
      <c r="J14" s="188"/>
      <c r="K14" s="188"/>
      <c r="L14" s="188"/>
      <c r="M14" s="188"/>
      <c r="N14" s="188"/>
      <c r="O14" s="188"/>
      <c r="P14" s="188"/>
      <c r="Q14" s="188"/>
      <c r="R14" s="188"/>
      <c r="S14" s="188"/>
      <c r="T14" s="188"/>
      <c r="U14" s="188"/>
      <c r="V14" s="188"/>
      <c r="W14" s="188"/>
      <c r="X14" s="188"/>
      <c r="Y14" s="188"/>
      <c r="Z14" s="188"/>
    </row>
    <row r="15" spans="1:26">
      <c r="A15" s="176"/>
      <c r="B15" s="188"/>
      <c r="C15" s="188"/>
      <c r="D15" s="188"/>
      <c r="E15" s="188"/>
      <c r="F15" s="188"/>
      <c r="G15" s="188"/>
      <c r="H15" s="188"/>
      <c r="I15" s="188"/>
      <c r="J15" s="188"/>
      <c r="K15" s="188"/>
      <c r="L15" s="188"/>
      <c r="M15" s="188"/>
      <c r="N15" s="188"/>
      <c r="O15" s="188"/>
      <c r="P15" s="188"/>
      <c r="Q15" s="188"/>
      <c r="R15" s="188"/>
      <c r="S15" s="188"/>
      <c r="T15" s="188"/>
      <c r="U15" s="188"/>
      <c r="V15" s="188"/>
      <c r="W15" s="188"/>
      <c r="X15" s="188"/>
      <c r="Y15" s="188"/>
      <c r="Z15" s="188"/>
    </row>
    <row r="16" spans="1:26">
      <c r="A16" s="176"/>
      <c r="B16" s="188"/>
      <c r="C16" s="188"/>
      <c r="D16" s="188"/>
      <c r="E16" s="188"/>
      <c r="F16" s="188"/>
      <c r="G16" s="188"/>
      <c r="H16" s="188"/>
      <c r="I16" s="188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8"/>
      <c r="U16" s="188"/>
      <c r="V16" s="188"/>
      <c r="W16" s="188"/>
      <c r="X16" s="188"/>
      <c r="Y16" s="188"/>
      <c r="Z16" s="188"/>
    </row>
    <row r="17" spans="1:26">
      <c r="A17" s="176"/>
      <c r="B17" s="188"/>
      <c r="C17" s="188"/>
      <c r="D17" s="188"/>
      <c r="E17" s="188"/>
      <c r="F17" s="188"/>
      <c r="G17" s="188"/>
      <c r="H17" s="188"/>
      <c r="I17" s="188"/>
      <c r="J17" s="188"/>
      <c r="K17" s="188"/>
      <c r="L17" s="188"/>
      <c r="M17" s="188"/>
      <c r="N17" s="188"/>
      <c r="O17" s="188"/>
      <c r="P17" s="188"/>
      <c r="Q17" s="188"/>
      <c r="R17" s="188"/>
      <c r="S17" s="188"/>
      <c r="T17" s="188"/>
      <c r="U17" s="188"/>
      <c r="V17" s="188"/>
      <c r="W17" s="188"/>
      <c r="X17" s="188"/>
      <c r="Y17" s="188"/>
      <c r="Z17" s="188"/>
    </row>
    <row r="18" spans="1:26">
      <c r="A18" s="176"/>
      <c r="B18" s="188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  <c r="X18" s="188"/>
      <c r="Y18" s="188"/>
      <c r="Z18" s="188"/>
    </row>
    <row r="19" spans="1:26">
      <c r="A19" s="176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  <c r="R19" s="188"/>
      <c r="S19" s="188"/>
      <c r="T19" s="188"/>
      <c r="U19" s="188"/>
      <c r="V19" s="188"/>
      <c r="W19" s="188"/>
      <c r="X19" s="188"/>
      <c r="Y19" s="188"/>
      <c r="Z19" s="188"/>
    </row>
    <row r="20" spans="1:26">
      <c r="A20" s="176"/>
      <c r="B20" s="188"/>
      <c r="C20" s="188"/>
      <c r="D20" s="188"/>
      <c r="E20" s="188"/>
      <c r="F20" s="188"/>
      <c r="G20" s="188"/>
      <c r="H20" s="188"/>
      <c r="I20" s="188"/>
      <c r="J20" s="188"/>
      <c r="K20" s="188"/>
      <c r="L20" s="188"/>
      <c r="M20" s="188"/>
      <c r="N20" s="188"/>
      <c r="O20" s="188"/>
      <c r="P20" s="188"/>
      <c r="Q20" s="188"/>
      <c r="R20" s="188"/>
      <c r="S20" s="188"/>
      <c r="T20" s="188"/>
      <c r="U20" s="188"/>
      <c r="V20" s="188"/>
      <c r="W20" s="188"/>
      <c r="X20" s="188"/>
      <c r="Y20" s="188"/>
      <c r="Z20" s="188"/>
    </row>
    <row r="21" spans="1:26">
      <c r="A21" s="176"/>
      <c r="B21" s="188"/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8"/>
      <c r="Z21" s="188"/>
    </row>
    <row r="22" spans="1:26">
      <c r="A22" s="176"/>
      <c r="B22" s="188"/>
      <c r="C22" s="188"/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8"/>
      <c r="W22" s="188"/>
      <c r="X22" s="188"/>
      <c r="Y22" s="188"/>
      <c r="Z22" s="188"/>
    </row>
    <row r="23" spans="1:26">
      <c r="A23" s="176"/>
      <c r="B23" s="188"/>
      <c r="C23" s="188"/>
      <c r="D23" s="188"/>
      <c r="E23" s="188"/>
      <c r="F23" s="188"/>
      <c r="G23" s="188"/>
      <c r="H23" s="188"/>
      <c r="I23" s="188"/>
      <c r="J23" s="188"/>
      <c r="K23" s="188"/>
      <c r="L23" s="188"/>
      <c r="M23" s="188"/>
      <c r="N23" s="188"/>
      <c r="O23" s="188"/>
      <c r="P23" s="188"/>
      <c r="Q23" s="188"/>
      <c r="R23" s="188"/>
      <c r="S23" s="188"/>
      <c r="T23" s="188"/>
      <c r="U23" s="188"/>
      <c r="V23" s="188"/>
      <c r="W23" s="188"/>
      <c r="X23" s="188"/>
      <c r="Y23" s="188"/>
      <c r="Z23" s="188"/>
    </row>
    <row r="24" spans="1:26">
      <c r="A24" s="176"/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  <c r="X24" s="188"/>
      <c r="Y24" s="188"/>
      <c r="Z24" s="188"/>
    </row>
    <row r="25" spans="1:26">
      <c r="A25" s="176"/>
      <c r="B25" s="188"/>
      <c r="C25" s="188"/>
      <c r="D25" s="188"/>
      <c r="E25" s="188"/>
      <c r="F25" s="188"/>
      <c r="G25" s="188"/>
      <c r="H25" s="188"/>
      <c r="I25" s="188"/>
      <c r="J25" s="188"/>
      <c r="K25" s="188"/>
      <c r="L25" s="188"/>
      <c r="M25" s="188"/>
      <c r="N25" s="188"/>
      <c r="O25" s="188"/>
      <c r="P25" s="188"/>
      <c r="Q25" s="188"/>
      <c r="R25" s="188"/>
      <c r="S25" s="188"/>
      <c r="T25" s="188"/>
      <c r="U25" s="188"/>
      <c r="V25" s="188"/>
      <c r="W25" s="188"/>
      <c r="X25" s="188"/>
      <c r="Y25" s="188"/>
      <c r="Z25" s="188"/>
    </row>
    <row r="26" spans="1:26">
      <c r="A26" s="176"/>
      <c r="B26" s="188"/>
      <c r="C26" s="188"/>
      <c r="D26" s="188"/>
      <c r="E26" s="188"/>
      <c r="F26" s="188"/>
      <c r="G26" s="188"/>
      <c r="H26" s="188"/>
      <c r="I26" s="188"/>
      <c r="J26" s="188"/>
      <c r="K26" s="188"/>
      <c r="L26" s="188"/>
      <c r="M26" s="188"/>
      <c r="N26" s="188"/>
      <c r="O26" s="188"/>
      <c r="P26" s="188"/>
      <c r="Q26" s="188"/>
      <c r="R26" s="188"/>
      <c r="S26" s="188"/>
      <c r="T26" s="188"/>
      <c r="U26" s="188"/>
      <c r="V26" s="188"/>
      <c r="W26" s="188"/>
      <c r="X26" s="188"/>
      <c r="Y26" s="188"/>
      <c r="Z26" s="188"/>
    </row>
    <row r="27" spans="1:26">
      <c r="A27" s="176"/>
      <c r="B27" s="188"/>
      <c r="C27" s="188"/>
      <c r="D27" s="188"/>
      <c r="E27" s="188"/>
      <c r="F27" s="188"/>
      <c r="G27" s="188"/>
      <c r="H27" s="188"/>
      <c r="I27" s="188"/>
      <c r="J27" s="188"/>
      <c r="K27" s="188"/>
      <c r="L27" s="188"/>
      <c r="M27" s="188"/>
      <c r="N27" s="188"/>
      <c r="O27" s="188"/>
      <c r="P27" s="188"/>
      <c r="Q27" s="188"/>
      <c r="R27" s="188"/>
      <c r="S27" s="188"/>
      <c r="T27" s="188"/>
      <c r="U27" s="188"/>
      <c r="V27" s="188"/>
      <c r="W27" s="188"/>
      <c r="X27" s="188"/>
      <c r="Y27" s="188"/>
      <c r="Z27" s="188"/>
    </row>
    <row r="28" spans="1:26">
      <c r="A28" s="176"/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8"/>
      <c r="Q28" s="188"/>
      <c r="R28" s="188"/>
      <c r="S28" s="188"/>
      <c r="T28" s="188"/>
      <c r="U28" s="188"/>
      <c r="V28" s="188"/>
      <c r="W28" s="188"/>
      <c r="X28" s="188"/>
      <c r="Y28" s="188"/>
      <c r="Z28" s="188"/>
    </row>
    <row r="29" spans="1:26">
      <c r="A29" s="176"/>
      <c r="B29" s="188"/>
      <c r="C29" s="188"/>
      <c r="D29" s="188"/>
      <c r="E29" s="188"/>
      <c r="F29" s="188"/>
      <c r="G29" s="188"/>
      <c r="H29" s="188"/>
      <c r="I29" s="188"/>
      <c r="J29" s="188"/>
      <c r="K29" s="188"/>
      <c r="L29" s="188"/>
      <c r="M29" s="188"/>
      <c r="N29" s="188"/>
      <c r="O29" s="188"/>
      <c r="P29" s="188"/>
      <c r="Q29" s="188"/>
      <c r="R29" s="188"/>
      <c r="S29" s="188"/>
      <c r="T29" s="188"/>
      <c r="U29" s="188"/>
      <c r="V29" s="188"/>
      <c r="W29" s="188"/>
      <c r="X29" s="188"/>
      <c r="Y29" s="188"/>
      <c r="Z29" s="188"/>
    </row>
    <row r="30" spans="1:26">
      <c r="A30" s="176"/>
      <c r="B30" s="188"/>
      <c r="C30" s="188"/>
      <c r="D30" s="188"/>
      <c r="E30" s="188"/>
      <c r="F30" s="188"/>
      <c r="G30" s="188"/>
      <c r="H30" s="188"/>
      <c r="I30" s="188"/>
      <c r="J30" s="188"/>
      <c r="K30" s="188"/>
      <c r="L30" s="188"/>
      <c r="M30" s="188"/>
      <c r="N30" s="188"/>
      <c r="O30" s="188"/>
      <c r="P30" s="188"/>
      <c r="Q30" s="188"/>
      <c r="R30" s="188"/>
      <c r="S30" s="188"/>
      <c r="T30" s="188"/>
      <c r="U30" s="188"/>
      <c r="V30" s="188"/>
      <c r="W30" s="188"/>
      <c r="X30" s="188"/>
      <c r="Y30" s="188"/>
      <c r="Z30" s="188"/>
    </row>
    <row r="31" spans="1:26">
      <c r="A31" s="176"/>
      <c r="B31" s="188"/>
      <c r="C31" s="188"/>
      <c r="D31" s="188"/>
      <c r="E31" s="188"/>
      <c r="F31" s="188"/>
      <c r="G31" s="188"/>
      <c r="H31" s="188"/>
      <c r="I31" s="188"/>
      <c r="J31" s="188"/>
      <c r="K31" s="188"/>
      <c r="L31" s="188"/>
      <c r="M31" s="188"/>
      <c r="N31" s="188"/>
      <c r="O31" s="188"/>
      <c r="P31" s="188"/>
      <c r="Q31" s="188"/>
      <c r="R31" s="188"/>
      <c r="S31" s="188"/>
      <c r="T31" s="188"/>
      <c r="U31" s="188"/>
      <c r="V31" s="188"/>
      <c r="W31" s="188"/>
      <c r="X31" s="188"/>
      <c r="Y31" s="188"/>
      <c r="Z31" s="188"/>
    </row>
    <row r="32" spans="1:26">
      <c r="A32" s="176"/>
      <c r="B32" s="188"/>
      <c r="C32" s="188"/>
      <c r="D32" s="188"/>
      <c r="E32" s="188"/>
      <c r="F32" s="188"/>
      <c r="G32" s="188"/>
      <c r="H32" s="188"/>
      <c r="I32" s="188"/>
      <c r="J32" s="188"/>
      <c r="K32" s="188"/>
      <c r="L32" s="188"/>
      <c r="M32" s="188"/>
      <c r="N32" s="188"/>
      <c r="O32" s="188"/>
      <c r="P32" s="188"/>
      <c r="Q32" s="188"/>
      <c r="R32" s="188"/>
      <c r="S32" s="188"/>
      <c r="T32" s="188"/>
      <c r="U32" s="188"/>
      <c r="V32" s="188"/>
      <c r="W32" s="188"/>
      <c r="X32" s="188"/>
      <c r="Y32" s="188"/>
      <c r="Z32" s="188"/>
    </row>
    <row r="33" spans="1:26">
      <c r="A33" s="176"/>
      <c r="B33" s="188"/>
      <c r="C33" s="188"/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188"/>
      <c r="P33" s="188"/>
      <c r="Q33" s="188"/>
      <c r="R33" s="188"/>
      <c r="S33" s="188"/>
      <c r="T33" s="188"/>
      <c r="U33" s="188"/>
      <c r="V33" s="188"/>
      <c r="W33" s="188"/>
      <c r="X33" s="188"/>
      <c r="Y33" s="188"/>
      <c r="Z33" s="188"/>
    </row>
    <row r="34" spans="1:26">
      <c r="A34" s="176"/>
      <c r="B34" s="188"/>
      <c r="C34" s="188"/>
      <c r="D34" s="188"/>
      <c r="E34" s="188"/>
      <c r="F34" s="188"/>
      <c r="G34" s="188"/>
      <c r="H34" s="188"/>
      <c r="I34" s="188"/>
      <c r="J34" s="188"/>
      <c r="K34" s="188"/>
      <c r="L34" s="188"/>
      <c r="M34" s="188"/>
      <c r="N34" s="188"/>
      <c r="O34" s="188"/>
      <c r="P34" s="188"/>
      <c r="Q34" s="188"/>
      <c r="R34" s="188"/>
      <c r="S34" s="188"/>
      <c r="T34" s="188"/>
      <c r="U34" s="188"/>
      <c r="V34" s="188"/>
      <c r="W34" s="188"/>
      <c r="X34" s="188"/>
      <c r="Y34" s="188"/>
      <c r="Z34" s="188"/>
    </row>
    <row r="35" spans="1:26">
      <c r="A35" s="176"/>
      <c r="B35" s="188"/>
      <c r="C35" s="188"/>
      <c r="D35" s="188"/>
      <c r="E35" s="188"/>
      <c r="F35" s="188"/>
      <c r="G35" s="188"/>
      <c r="H35" s="188"/>
      <c r="I35" s="188"/>
      <c r="J35" s="188"/>
      <c r="K35" s="188"/>
      <c r="L35" s="188"/>
      <c r="M35" s="188"/>
      <c r="N35" s="188"/>
      <c r="O35" s="188"/>
      <c r="P35" s="188"/>
      <c r="Q35" s="188"/>
      <c r="R35" s="188"/>
      <c r="S35" s="188"/>
      <c r="T35" s="188"/>
      <c r="U35" s="188"/>
      <c r="V35" s="188"/>
      <c r="W35" s="188"/>
      <c r="X35" s="188"/>
      <c r="Y35" s="188"/>
      <c r="Z35" s="188"/>
    </row>
    <row r="36" spans="1:26">
      <c r="A36" s="176"/>
      <c r="B36" s="188"/>
      <c r="C36" s="188"/>
      <c r="D36" s="188"/>
      <c r="E36" s="188"/>
      <c r="F36" s="188"/>
      <c r="G36" s="188"/>
      <c r="H36" s="188"/>
      <c r="I36" s="188"/>
      <c r="J36" s="188"/>
      <c r="K36" s="188"/>
      <c r="L36" s="188"/>
      <c r="M36" s="188"/>
      <c r="N36" s="188"/>
      <c r="O36" s="188"/>
      <c r="P36" s="188"/>
      <c r="Q36" s="188"/>
      <c r="R36" s="188"/>
      <c r="S36" s="188"/>
      <c r="T36" s="188"/>
      <c r="U36" s="188"/>
      <c r="V36" s="188"/>
      <c r="W36" s="188"/>
      <c r="X36" s="188"/>
      <c r="Y36" s="188"/>
      <c r="Z36" s="188"/>
    </row>
    <row r="37" spans="1:26">
      <c r="A37" s="176"/>
      <c r="B37" s="188"/>
      <c r="C37" s="188"/>
      <c r="D37" s="188"/>
      <c r="E37" s="188"/>
      <c r="F37" s="188"/>
      <c r="G37" s="188"/>
      <c r="H37" s="188"/>
      <c r="I37" s="188"/>
      <c r="J37" s="188"/>
      <c r="K37" s="188"/>
      <c r="L37" s="188"/>
      <c r="M37" s="188"/>
      <c r="N37" s="188"/>
      <c r="O37" s="188"/>
      <c r="P37" s="188"/>
      <c r="Q37" s="188"/>
      <c r="R37" s="188"/>
      <c r="S37" s="188"/>
      <c r="T37" s="188"/>
      <c r="U37" s="188"/>
      <c r="V37" s="188"/>
      <c r="W37" s="188"/>
      <c r="X37" s="188"/>
      <c r="Y37" s="188"/>
      <c r="Z37" s="188"/>
    </row>
    <row r="38" spans="1:26">
      <c r="A38" s="176"/>
      <c r="B38" s="188"/>
      <c r="C38" s="188"/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188"/>
      <c r="Q38" s="188"/>
      <c r="R38" s="188"/>
      <c r="S38" s="188"/>
      <c r="T38" s="188"/>
      <c r="U38" s="188"/>
      <c r="V38" s="188"/>
      <c r="W38" s="188"/>
      <c r="X38" s="188"/>
      <c r="Y38" s="188"/>
      <c r="Z38" s="188"/>
    </row>
    <row r="39" spans="1:26">
      <c r="A39" s="176"/>
      <c r="B39" s="188"/>
      <c r="C39" s="188"/>
      <c r="D39" s="188"/>
      <c r="E39" s="188"/>
      <c r="F39" s="188"/>
      <c r="G39" s="188"/>
      <c r="H39" s="188"/>
      <c r="I39" s="188"/>
      <c r="J39" s="188"/>
      <c r="K39" s="188"/>
      <c r="L39" s="188"/>
      <c r="M39" s="188"/>
      <c r="N39" s="188"/>
      <c r="O39" s="188"/>
      <c r="P39" s="188"/>
      <c r="Q39" s="188"/>
      <c r="R39" s="188"/>
      <c r="S39" s="188"/>
      <c r="T39" s="188"/>
      <c r="U39" s="188"/>
      <c r="V39" s="188"/>
      <c r="W39" s="188"/>
      <c r="X39" s="188"/>
      <c r="Y39" s="188"/>
      <c r="Z39" s="188"/>
    </row>
    <row r="40" spans="1:26">
      <c r="A40" s="176"/>
      <c r="B40" s="188"/>
      <c r="C40" s="188"/>
      <c r="D40" s="188"/>
      <c r="E40" s="188"/>
      <c r="F40" s="188"/>
      <c r="G40" s="188"/>
      <c r="H40" s="188"/>
      <c r="I40" s="188"/>
      <c r="J40" s="188"/>
      <c r="K40" s="188"/>
      <c r="L40" s="188"/>
      <c r="M40" s="188"/>
      <c r="N40" s="188"/>
      <c r="O40" s="188"/>
      <c r="P40" s="188"/>
      <c r="Q40" s="188"/>
      <c r="R40" s="188"/>
      <c r="S40" s="188"/>
      <c r="T40" s="188"/>
      <c r="U40" s="188"/>
      <c r="V40" s="188"/>
      <c r="W40" s="188"/>
      <c r="X40" s="188"/>
      <c r="Y40" s="188"/>
      <c r="Z40" s="188"/>
    </row>
    <row r="41" spans="1:26">
      <c r="A41" s="176"/>
      <c r="B41" s="176"/>
      <c r="C41" s="176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</row>
    <row r="42" spans="1:26">
      <c r="A42" s="176"/>
      <c r="B42" s="176"/>
      <c r="C42" s="176"/>
      <c r="D42" s="176"/>
      <c r="E42" s="176"/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</row>
    <row r="43" spans="1:26">
      <c r="A43" s="176"/>
      <c r="B43" s="176"/>
      <c r="C43" s="176"/>
      <c r="D43" s="176"/>
      <c r="E43" s="176"/>
      <c r="F43" s="176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/>
    </row>
    <row r="44" spans="1:26">
      <c r="A44" s="176"/>
      <c r="B44" s="176"/>
      <c r="C44" s="176"/>
      <c r="D44" s="176"/>
      <c r="E44" s="176"/>
      <c r="F44" s="176"/>
      <c r="G44" s="176"/>
      <c r="H44" s="176"/>
      <c r="I44" s="176"/>
      <c r="J44" s="176"/>
      <c r="K44" s="176"/>
      <c r="L44" s="176"/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76"/>
      <c r="Z44" s="176"/>
    </row>
    <row r="45" spans="1:26">
      <c r="A45" s="176"/>
      <c r="B45" s="176"/>
      <c r="C45" s="176"/>
      <c r="D45" s="176"/>
      <c r="E45" s="176"/>
      <c r="F45" s="176"/>
      <c r="G45" s="176"/>
      <c r="H45" s="176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</row>
  </sheetData>
  <mergeCells count="18">
    <mergeCell ref="B4:Z4"/>
    <mergeCell ref="B8:D8"/>
    <mergeCell ref="E8:G8"/>
    <mergeCell ref="H8:J8"/>
    <mergeCell ref="K8:M8"/>
    <mergeCell ref="N8:P8"/>
    <mergeCell ref="Q8:S8"/>
    <mergeCell ref="T8:V8"/>
    <mergeCell ref="W8:Y8"/>
    <mergeCell ref="B1:Z3"/>
    <mergeCell ref="B6:D7"/>
    <mergeCell ref="E6:G7"/>
    <mergeCell ref="H6:J7"/>
    <mergeCell ref="K6:M7"/>
    <mergeCell ref="N6:P7"/>
    <mergeCell ref="Q6:S7"/>
    <mergeCell ref="T6:V7"/>
    <mergeCell ref="W6:Y7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76"/>
  <sheetViews>
    <sheetView workbookViewId="0">
      <selection activeCell="A3" sqref="A3"/>
    </sheetView>
  </sheetViews>
  <sheetFormatPr defaultColWidth="9.23076923076923" defaultRowHeight="16.8"/>
  <cols>
    <col min="1" max="1" width="14.4615384615385" style="157"/>
    <col min="2" max="3" width="38" style="157"/>
    <col min="4" max="4" width="29.7692307692308" style="157"/>
    <col min="5" max="9" width="45.3846153846154" style="157"/>
    <col min="10" max="16384" width="9.23076923076923" style="157"/>
  </cols>
  <sheetData>
    <row r="3" spans="1:9">
      <c r="A3" s="157" t="s">
        <v>10</v>
      </c>
      <c r="B3" s="157" t="s">
        <v>11</v>
      </c>
      <c r="C3" s="157" t="s">
        <v>12</v>
      </c>
      <c r="D3" s="157" t="s">
        <v>13</v>
      </c>
      <c r="E3" s="157" t="s">
        <v>14</v>
      </c>
      <c r="F3" s="157" t="s">
        <v>15</v>
      </c>
      <c r="G3" s="157" t="s">
        <v>16</v>
      </c>
      <c r="H3" s="157" t="s">
        <v>17</v>
      </c>
      <c r="I3" s="157" t="s">
        <v>18</v>
      </c>
    </row>
    <row r="4" spans="1:9">
      <c r="A4" s="157">
        <v>885</v>
      </c>
      <c r="B4" s="157">
        <v>765</v>
      </c>
      <c r="C4" s="168">
        <v>0.864406779661017</v>
      </c>
      <c r="D4" s="157">
        <v>2856</v>
      </c>
      <c r="E4" s="157">
        <v>10665.5</v>
      </c>
      <c r="F4" s="157">
        <v>68713.69</v>
      </c>
      <c r="G4" s="157">
        <v>7603.50000000001</v>
      </c>
      <c r="H4" s="157">
        <v>1138.6</v>
      </c>
      <c r="I4" s="157">
        <v>33</v>
      </c>
    </row>
    <row r="6" spans="1:9">
      <c r="A6" s="157" t="s">
        <v>19</v>
      </c>
      <c r="B6" s="157" t="s">
        <v>15</v>
      </c>
    </row>
    <row r="7" spans="1:9">
      <c r="A7" s="157" t="s">
        <v>20</v>
      </c>
      <c r="B7" s="169">
        <v>6313.46</v>
      </c>
    </row>
    <row r="8" spans="1:9">
      <c r="A8" s="157" t="s">
        <v>21</v>
      </c>
      <c r="B8" s="169">
        <v>5695.08</v>
      </c>
    </row>
    <row r="9" spans="1:9">
      <c r="A9" s="157" t="s">
        <v>22</v>
      </c>
      <c r="B9" s="169">
        <v>4999.83</v>
      </c>
    </row>
    <row r="10" spans="1:9">
      <c r="A10" s="157" t="s">
        <v>23</v>
      </c>
      <c r="B10" s="169">
        <v>4884</v>
      </c>
    </row>
    <row r="11" spans="1:9">
      <c r="A11" s="157" t="s">
        <v>24</v>
      </c>
      <c r="B11" s="169">
        <v>5384.65</v>
      </c>
    </row>
    <row r="12" spans="1:9">
      <c r="A12" s="157" t="s">
        <v>25</v>
      </c>
      <c r="B12" s="169">
        <v>6499</v>
      </c>
    </row>
    <row r="13" spans="1:9">
      <c r="A13" s="157" t="s">
        <v>26</v>
      </c>
      <c r="B13" s="169">
        <v>5647.43</v>
      </c>
    </row>
    <row r="14" spans="1:9">
      <c r="A14" s="157" t="s">
        <v>27</v>
      </c>
      <c r="B14" s="169">
        <v>5173.04</v>
      </c>
    </row>
    <row r="15" spans="1:9">
      <c r="A15" s="157" t="s">
        <v>28</v>
      </c>
      <c r="B15" s="169">
        <v>7142.4</v>
      </c>
    </row>
    <row r="16" spans="1:9">
      <c r="A16" s="157" t="s">
        <v>29</v>
      </c>
      <c r="B16" s="169">
        <v>6152.84</v>
      </c>
    </row>
    <row r="17" spans="1:3">
      <c r="A17" s="157" t="s">
        <v>30</v>
      </c>
      <c r="B17" s="169">
        <v>5321.49</v>
      </c>
    </row>
    <row r="18" spans="1:3">
      <c r="A18" s="157" t="s">
        <v>31</v>
      </c>
      <c r="B18" s="169">
        <v>5500.47</v>
      </c>
    </row>
    <row r="19" spans="1:3">
      <c r="A19" s="157" t="s">
        <v>32</v>
      </c>
      <c r="B19" s="169">
        <v>68713.69</v>
      </c>
    </row>
    <row r="21" spans="1:3">
      <c r="A21" s="157" t="s">
        <v>19</v>
      </c>
      <c r="B21" s="157" t="s">
        <v>33</v>
      </c>
      <c r="C21" s="157" t="s">
        <v>34</v>
      </c>
    </row>
    <row r="22" spans="1:3">
      <c r="A22" s="157" t="s">
        <v>20</v>
      </c>
      <c r="B22" s="157">
        <v>39</v>
      </c>
      <c r="C22" s="157">
        <v>27</v>
      </c>
    </row>
    <row r="23" spans="1:3">
      <c r="A23" s="157" t="s">
        <v>21</v>
      </c>
      <c r="B23" s="157">
        <v>32</v>
      </c>
      <c r="C23" s="157">
        <v>24</v>
      </c>
    </row>
    <row r="24" spans="1:3">
      <c r="A24" s="157" t="s">
        <v>22</v>
      </c>
      <c r="B24" s="157">
        <v>42</v>
      </c>
      <c r="C24" s="157">
        <v>34</v>
      </c>
    </row>
    <row r="25" spans="1:3">
      <c r="A25" s="157" t="s">
        <v>23</v>
      </c>
      <c r="B25" s="157">
        <v>45</v>
      </c>
      <c r="C25" s="157">
        <v>21</v>
      </c>
    </row>
    <row r="26" spans="1:3">
      <c r="A26" s="157" t="s">
        <v>24</v>
      </c>
      <c r="B26" s="157">
        <v>29</v>
      </c>
      <c r="C26" s="157">
        <v>30</v>
      </c>
    </row>
    <row r="27" spans="1:3">
      <c r="A27" s="157" t="s">
        <v>25</v>
      </c>
      <c r="B27" s="157">
        <v>35</v>
      </c>
      <c r="C27" s="157">
        <v>27</v>
      </c>
    </row>
    <row r="28" spans="1:3">
      <c r="A28" s="157" t="s">
        <v>26</v>
      </c>
      <c r="B28" s="157">
        <v>39</v>
      </c>
      <c r="C28" s="157">
        <v>26</v>
      </c>
    </row>
    <row r="29" spans="1:3">
      <c r="A29" s="157" t="s">
        <v>27</v>
      </c>
      <c r="B29" s="157">
        <v>44</v>
      </c>
      <c r="C29" s="157">
        <v>33</v>
      </c>
    </row>
    <row r="30" spans="1:3">
      <c r="A30" s="157" t="s">
        <v>28</v>
      </c>
      <c r="B30" s="157">
        <v>39</v>
      </c>
      <c r="C30" s="157">
        <v>26</v>
      </c>
    </row>
    <row r="31" spans="1:3">
      <c r="A31" s="157" t="s">
        <v>29</v>
      </c>
      <c r="B31" s="157">
        <v>44</v>
      </c>
      <c r="C31" s="157">
        <v>23</v>
      </c>
    </row>
    <row r="32" spans="1:3">
      <c r="A32" s="157" t="s">
        <v>30</v>
      </c>
      <c r="B32" s="157">
        <v>29</v>
      </c>
      <c r="C32" s="157">
        <v>22</v>
      </c>
    </row>
    <row r="33" spans="1:7">
      <c r="A33" s="157" t="s">
        <v>31</v>
      </c>
      <c r="B33" s="157">
        <v>25</v>
      </c>
      <c r="C33" s="157">
        <v>30</v>
      </c>
    </row>
    <row r="34" spans="1:7">
      <c r="A34" s="157" t="s">
        <v>32</v>
      </c>
      <c r="B34" s="157">
        <v>442</v>
      </c>
      <c r="C34" s="157">
        <v>323</v>
      </c>
    </row>
    <row r="36" spans="1:7">
      <c r="A36" s="157" t="s">
        <v>35</v>
      </c>
      <c r="B36" s="157" t="s">
        <v>36</v>
      </c>
      <c r="C36" s="157" t="s">
        <v>37</v>
      </c>
      <c r="D36" s="157"/>
      <c r="E36" s="170" t="s">
        <v>38</v>
      </c>
      <c r="F36" s="170" t="s">
        <v>39</v>
      </c>
    </row>
    <row r="37" spans="1:7">
      <c r="A37" s="157">
        <v>198</v>
      </c>
      <c r="B37" s="157">
        <v>559</v>
      </c>
      <c r="C37" s="157">
        <v>8</v>
      </c>
      <c r="D37" s="157"/>
      <c r="E37" s="171" t="s">
        <v>40</v>
      </c>
      <c r="F37" s="172">
        <f>GETPIVOTDATA("Sum of Total Male",$A$36)</f>
        <v>198</v>
      </c>
    </row>
    <row r="38" spans="1:7">
      <c r="E38" s="171" t="s">
        <v>41</v>
      </c>
      <c r="F38" s="172">
        <f>GETPIVOTDATA("Sum of Total Female",$A$36)</f>
        <v>559</v>
      </c>
    </row>
    <row r="39" spans="1:7">
      <c r="E39" s="171" t="s">
        <v>42</v>
      </c>
      <c r="F39" s="172">
        <f>GETPIVOTDATA("Sum of Total Non-Binary",$A$36)</f>
        <v>8</v>
      </c>
    </row>
    <row r="42" spans="1:7">
      <c r="A42" s="157" t="s">
        <v>43</v>
      </c>
      <c r="B42" s="157" t="s">
        <v>44</v>
      </c>
      <c r="C42" s="157" t="s">
        <v>45</v>
      </c>
      <c r="D42" s="157" t="s">
        <v>18</v>
      </c>
      <c r="F42" s="173" t="s">
        <v>46</v>
      </c>
      <c r="G42" s="173" t="s">
        <v>39</v>
      </c>
    </row>
    <row r="43" spans="1:7">
      <c r="A43" s="157">
        <v>171</v>
      </c>
      <c r="B43" s="157">
        <v>70</v>
      </c>
      <c r="C43" s="157">
        <v>71</v>
      </c>
      <c r="D43" s="157">
        <v>33</v>
      </c>
      <c r="F43" s="174" t="s">
        <v>47</v>
      </c>
      <c r="G43" s="175">
        <f>GETPIVOTDATA("Sum of WEV Registrations",$A$42)</f>
        <v>171</v>
      </c>
    </row>
    <row r="44" spans="1:7">
      <c r="F44" s="174" t="s">
        <v>48</v>
      </c>
      <c r="G44" s="175">
        <f>GETPIVOTDATA("Sum of WEV Onboarded",$A$42)</f>
        <v>70</v>
      </c>
    </row>
    <row r="45" spans="1:7">
      <c r="F45" s="174" t="s">
        <v>49</v>
      </c>
      <c r="G45" s="175">
        <f>GETPIVOTDATA("Sum of WEV Offboarded",$A$42)</f>
        <v>71</v>
      </c>
    </row>
    <row r="46" spans="1:7">
      <c r="F46" s="174" t="s">
        <v>50</v>
      </c>
      <c r="G46" s="175">
        <f>GETPIVOTDATA("Sum of WEV Employed",$A$42)</f>
        <v>33</v>
      </c>
    </row>
    <row r="48" spans="1:7">
      <c r="A48" s="157" t="s">
        <v>19</v>
      </c>
      <c r="B48" s="157" t="s">
        <v>16</v>
      </c>
      <c r="C48" s="157" t="s">
        <v>17</v>
      </c>
    </row>
    <row r="49" spans="1:3">
      <c r="A49" s="157" t="s">
        <v>20</v>
      </c>
      <c r="B49" s="157">
        <v>668</v>
      </c>
      <c r="C49" s="157">
        <v>139.5</v>
      </c>
    </row>
    <row r="50" spans="1:3">
      <c r="A50" s="157" t="s">
        <v>21</v>
      </c>
      <c r="B50" s="157">
        <v>635.9</v>
      </c>
      <c r="C50" s="157">
        <v>78.8</v>
      </c>
    </row>
    <row r="51" spans="1:3">
      <c r="A51" s="157" t="s">
        <v>22</v>
      </c>
      <c r="B51" s="157">
        <v>713.6</v>
      </c>
      <c r="C51" s="157">
        <v>51.8</v>
      </c>
    </row>
    <row r="52" spans="1:3">
      <c r="A52" s="157" t="s">
        <v>23</v>
      </c>
      <c r="B52" s="157">
        <v>600.2</v>
      </c>
      <c r="C52" s="157">
        <v>102.1</v>
      </c>
    </row>
    <row r="53" spans="1:3">
      <c r="A53" s="157" t="s">
        <v>24</v>
      </c>
      <c r="B53" s="157">
        <v>668.8</v>
      </c>
      <c r="C53" s="157">
        <v>100.4</v>
      </c>
    </row>
    <row r="54" spans="1:3">
      <c r="A54" s="157" t="s">
        <v>25</v>
      </c>
      <c r="B54" s="157">
        <v>433</v>
      </c>
      <c r="C54" s="157">
        <v>98</v>
      </c>
    </row>
    <row r="55" spans="1:3">
      <c r="A55" s="157" t="s">
        <v>26</v>
      </c>
      <c r="B55" s="157">
        <v>880.9</v>
      </c>
      <c r="C55" s="157">
        <v>79.8</v>
      </c>
    </row>
    <row r="56" spans="1:3">
      <c r="A56" s="157" t="s">
        <v>27</v>
      </c>
      <c r="B56" s="157">
        <v>579.1</v>
      </c>
      <c r="C56" s="157">
        <v>99.7</v>
      </c>
    </row>
    <row r="57" spans="1:3">
      <c r="A57" s="157" t="s">
        <v>28</v>
      </c>
      <c r="B57" s="157">
        <v>578.3</v>
      </c>
      <c r="C57" s="157">
        <v>117.8</v>
      </c>
    </row>
    <row r="58" spans="1:3">
      <c r="A58" s="157" t="s">
        <v>29</v>
      </c>
      <c r="B58" s="157">
        <v>751.4</v>
      </c>
      <c r="C58" s="157">
        <v>96.6</v>
      </c>
    </row>
    <row r="59" spans="1:3">
      <c r="A59" s="157" t="s">
        <v>30</v>
      </c>
      <c r="B59" s="157">
        <v>529.7</v>
      </c>
      <c r="C59" s="157">
        <v>116.8</v>
      </c>
    </row>
    <row r="60" spans="1:3">
      <c r="A60" s="157" t="s">
        <v>31</v>
      </c>
      <c r="B60" s="157">
        <v>564.6</v>
      </c>
      <c r="C60" s="157">
        <v>57.3</v>
      </c>
    </row>
    <row r="61" spans="1:3">
      <c r="A61" s="157" t="s">
        <v>32</v>
      </c>
      <c r="B61" s="157">
        <v>7603.5</v>
      </c>
      <c r="C61" s="157">
        <v>1138.6</v>
      </c>
    </row>
    <row r="63" spans="1:3">
      <c r="A63" s="157" t="s">
        <v>19</v>
      </c>
      <c r="B63" s="157" t="s">
        <v>51</v>
      </c>
      <c r="C63" s="157" t="s">
        <v>52</v>
      </c>
    </row>
    <row r="64" spans="1:3">
      <c r="A64" s="157" t="s">
        <v>20</v>
      </c>
      <c r="B64" s="157">
        <v>27673</v>
      </c>
      <c r="C64" s="157">
        <v>2584</v>
      </c>
    </row>
    <row r="65" spans="1:3">
      <c r="A65" s="157" t="s">
        <v>21</v>
      </c>
      <c r="B65" s="157">
        <v>23930</v>
      </c>
      <c r="C65" s="157">
        <v>2078</v>
      </c>
    </row>
    <row r="66" spans="1:3">
      <c r="A66" s="157" t="s">
        <v>22</v>
      </c>
      <c r="B66" s="157">
        <v>25291</v>
      </c>
      <c r="C66" s="157">
        <v>2616</v>
      </c>
    </row>
    <row r="67" spans="1:3">
      <c r="A67" s="157" t="s">
        <v>23</v>
      </c>
      <c r="B67" s="157">
        <v>27386</v>
      </c>
      <c r="C67" s="157">
        <v>1937</v>
      </c>
    </row>
    <row r="68" spans="1:3">
      <c r="A68" s="157" t="s">
        <v>24</v>
      </c>
      <c r="B68" s="157">
        <v>22175</v>
      </c>
      <c r="C68" s="157">
        <v>1962</v>
      </c>
    </row>
    <row r="69" spans="1:3">
      <c r="A69" s="157" t="s">
        <v>25</v>
      </c>
      <c r="B69" s="157">
        <v>22910</v>
      </c>
      <c r="C69" s="157">
        <v>2429</v>
      </c>
    </row>
    <row r="70" spans="1:3">
      <c r="A70" s="157" t="s">
        <v>26</v>
      </c>
      <c r="B70" s="157">
        <v>24105</v>
      </c>
      <c r="C70" s="157">
        <v>2248</v>
      </c>
    </row>
    <row r="71" spans="1:3">
      <c r="A71" s="157" t="s">
        <v>27</v>
      </c>
      <c r="B71" s="157">
        <v>20359</v>
      </c>
      <c r="C71" s="157">
        <v>1671</v>
      </c>
    </row>
    <row r="72" spans="1:3">
      <c r="A72" s="157" t="s">
        <v>28</v>
      </c>
      <c r="B72" s="157">
        <v>27038</v>
      </c>
      <c r="C72" s="157">
        <v>2700</v>
      </c>
    </row>
    <row r="73" spans="1:3">
      <c r="A73" s="157" t="s">
        <v>29</v>
      </c>
      <c r="B73" s="157">
        <v>27642</v>
      </c>
      <c r="C73" s="157">
        <v>2235</v>
      </c>
    </row>
    <row r="74" spans="1:3">
      <c r="A74" s="157" t="s">
        <v>30</v>
      </c>
      <c r="B74" s="157">
        <v>26466</v>
      </c>
      <c r="C74" s="157">
        <v>2545</v>
      </c>
    </row>
    <row r="75" spans="1:3">
      <c r="A75" s="157" t="s">
        <v>31</v>
      </c>
      <c r="B75" s="157">
        <v>24946</v>
      </c>
      <c r="C75" s="157">
        <v>2199</v>
      </c>
    </row>
    <row r="76" spans="1:3">
      <c r="A76" s="157" t="s">
        <v>32</v>
      </c>
      <c r="B76" s="157">
        <v>299921</v>
      </c>
      <c r="C76" s="157">
        <v>27204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62"/>
  <sheetViews>
    <sheetView workbookViewId="0">
      <selection activeCell="A1" sqref="A1"/>
    </sheetView>
  </sheetViews>
  <sheetFormatPr defaultColWidth="9" defaultRowHeight="16.8"/>
  <cols>
    <col min="1" max="1" width="13" style="157" customWidth="1"/>
    <col min="2" max="2" width="9.61538461538461" style="158" customWidth="1"/>
    <col min="3" max="3" width="10" style="157" customWidth="1"/>
    <col min="4" max="4" width="12.9807692307692" style="158" customWidth="1"/>
    <col min="5" max="5" width="13.7692307692308" style="157" customWidth="1"/>
    <col min="6" max="25" width="16" style="157" customWidth="1"/>
    <col min="26" max="39" width="15" style="157" customWidth="1"/>
    <col min="40" max="16384" width="9" style="157"/>
  </cols>
  <sheetData>
    <row r="1" ht="36" customHeight="1" spans="1:44">
      <c r="A1" s="159" t="s">
        <v>19</v>
      </c>
      <c r="B1" s="159" t="s">
        <v>53</v>
      </c>
      <c r="C1" s="159" t="s">
        <v>54</v>
      </c>
      <c r="D1" s="159" t="s">
        <v>55</v>
      </c>
      <c r="E1" s="159" t="s">
        <v>56</v>
      </c>
      <c r="F1" s="159" t="s">
        <v>57</v>
      </c>
      <c r="G1" s="159" t="s">
        <v>58</v>
      </c>
      <c r="H1" s="159" t="s">
        <v>59</v>
      </c>
      <c r="I1" s="159" t="s">
        <v>60</v>
      </c>
      <c r="J1" s="159" t="s">
        <v>61</v>
      </c>
      <c r="K1" s="159" t="s">
        <v>62</v>
      </c>
      <c r="L1" s="159" t="s">
        <v>63</v>
      </c>
      <c r="M1" s="159" t="s">
        <v>64</v>
      </c>
      <c r="N1" s="159" t="s">
        <v>65</v>
      </c>
      <c r="O1" s="159" t="s">
        <v>66</v>
      </c>
      <c r="P1" s="159" t="s">
        <v>67</v>
      </c>
      <c r="Q1" s="159" t="s">
        <v>68</v>
      </c>
      <c r="R1" s="159" t="s">
        <v>69</v>
      </c>
      <c r="S1" s="159" t="s">
        <v>5</v>
      </c>
      <c r="T1" s="159" t="s">
        <v>70</v>
      </c>
      <c r="U1" s="159" t="s">
        <v>71</v>
      </c>
      <c r="V1" s="159" t="s">
        <v>72</v>
      </c>
      <c r="W1" s="159" t="s">
        <v>73</v>
      </c>
      <c r="X1" s="159" t="s">
        <v>74</v>
      </c>
      <c r="Y1" s="159" t="s">
        <v>75</v>
      </c>
      <c r="Z1" s="159" t="s">
        <v>76</v>
      </c>
      <c r="AA1" s="159" t="s">
        <v>77</v>
      </c>
      <c r="AB1" s="159" t="s">
        <v>78</v>
      </c>
      <c r="AC1" s="159" t="s">
        <v>79</v>
      </c>
      <c r="AD1" s="159" t="s">
        <v>80</v>
      </c>
      <c r="AE1" s="159" t="s">
        <v>81</v>
      </c>
      <c r="AF1" s="159" t="s">
        <v>82</v>
      </c>
      <c r="AG1" s="159" t="s">
        <v>83</v>
      </c>
      <c r="AH1" s="159" t="s">
        <v>84</v>
      </c>
      <c r="AI1" s="159" t="s">
        <v>85</v>
      </c>
      <c r="AJ1" s="159" t="s">
        <v>86</v>
      </c>
      <c r="AK1" s="159" t="s">
        <v>87</v>
      </c>
      <c r="AL1" s="159" t="s">
        <v>88</v>
      </c>
      <c r="AM1" s="159" t="s">
        <v>89</v>
      </c>
      <c r="AN1" s="160" t="s">
        <v>90</v>
      </c>
      <c r="AO1" s="160" t="s">
        <v>91</v>
      </c>
      <c r="AP1" s="160" t="s">
        <v>92</v>
      </c>
      <c r="AQ1" s="160" t="s">
        <v>93</v>
      </c>
      <c r="AR1" s="160" t="s">
        <v>94</v>
      </c>
    </row>
    <row r="2" spans="1:44">
      <c r="A2" s="161" t="s">
        <v>20</v>
      </c>
      <c r="B2" s="162" t="s">
        <v>95</v>
      </c>
      <c r="C2" s="161" t="s">
        <v>96</v>
      </c>
      <c r="D2" s="163">
        <v>46023</v>
      </c>
      <c r="E2" s="164" t="str">
        <f t="shared" ref="E2:E65" si="0">TEXT(D2,"dddd")</f>
        <v>Thursday</v>
      </c>
      <c r="F2" s="161">
        <v>3</v>
      </c>
      <c r="G2" s="161">
        <v>3</v>
      </c>
      <c r="H2" s="161">
        <v>0</v>
      </c>
      <c r="I2" s="161">
        <v>3</v>
      </c>
      <c r="J2" s="161">
        <v>0</v>
      </c>
      <c r="K2" s="161">
        <v>1</v>
      </c>
      <c r="L2" s="161">
        <v>0</v>
      </c>
      <c r="M2" s="161">
        <v>0</v>
      </c>
      <c r="N2" s="161">
        <v>0</v>
      </c>
      <c r="O2" s="161">
        <v>0</v>
      </c>
      <c r="P2" s="161">
        <v>1</v>
      </c>
      <c r="Q2" s="161">
        <v>0</v>
      </c>
      <c r="R2" s="161">
        <v>0</v>
      </c>
      <c r="S2" s="161">
        <v>0</v>
      </c>
      <c r="T2" s="165">
        <v>0</v>
      </c>
      <c r="U2" s="165">
        <v>0</v>
      </c>
      <c r="V2" s="161">
        <v>3</v>
      </c>
      <c r="W2" s="166">
        <v>85.25</v>
      </c>
      <c r="X2" s="161">
        <v>1636</v>
      </c>
      <c r="Y2" s="161">
        <v>153</v>
      </c>
      <c r="Z2" s="165">
        <v>2</v>
      </c>
      <c r="AA2" s="165">
        <v>2</v>
      </c>
      <c r="AB2" s="165">
        <v>2</v>
      </c>
      <c r="AC2" s="165">
        <v>0</v>
      </c>
      <c r="AD2" s="165">
        <v>4</v>
      </c>
      <c r="AE2" s="165">
        <v>1</v>
      </c>
      <c r="AF2" s="165">
        <v>11</v>
      </c>
      <c r="AG2" s="165">
        <v>9</v>
      </c>
      <c r="AH2" s="165">
        <v>7.5</v>
      </c>
      <c r="AI2" s="165">
        <v>9</v>
      </c>
      <c r="AJ2" s="165">
        <v>0</v>
      </c>
      <c r="AK2" s="165">
        <v>18.5</v>
      </c>
      <c r="AL2" s="165">
        <v>4</v>
      </c>
      <c r="AM2" s="165">
        <v>48</v>
      </c>
      <c r="AN2" s="167">
        <f>tbl_operations[[#This Row],[Interview Styling Registrations]]+tbl_operations[[#This Row],[Confidence Styling Registrations]]</f>
        <v>4</v>
      </c>
      <c r="AO2" s="167">
        <f>tbl_operations[[#This Row],[Interview Styling Completed]]+tbl_operations[[#This Row],[Confidence Styling Completed]]</f>
        <v>3</v>
      </c>
      <c r="AP2" s="167">
        <f>tbl_operations[[#This Row],[Interview Styling Male]]+tbl_operations[[#This Row],[Confidence Styling Male]]</f>
        <v>0</v>
      </c>
      <c r="AQ2" s="167">
        <f>tbl_operations[[#This Row],[Interview Styling Female]]+tbl_operations[[#This Row],[Confidence Styling Female]]</f>
        <v>3</v>
      </c>
      <c r="AR2" s="167">
        <f>tbl_operations[[#This Row],[Interview Styling Non-Binary]]+tbl_operations[[#This Row],[Confidence Styling Non-Binary]]</f>
        <v>0</v>
      </c>
    </row>
    <row r="3" spans="1:44">
      <c r="A3" s="161" t="s">
        <v>20</v>
      </c>
      <c r="B3" s="162" t="s">
        <v>95</v>
      </c>
      <c r="C3" s="161" t="s">
        <v>96</v>
      </c>
      <c r="D3" s="163">
        <v>46024</v>
      </c>
      <c r="E3" s="164" t="str">
        <f t="shared" si="0"/>
        <v>Friday</v>
      </c>
      <c r="F3" s="161">
        <v>3</v>
      </c>
      <c r="G3" s="161">
        <v>3</v>
      </c>
      <c r="H3" s="161">
        <v>1</v>
      </c>
      <c r="I3" s="161">
        <v>2</v>
      </c>
      <c r="J3" s="161">
        <v>0</v>
      </c>
      <c r="K3" s="161">
        <v>0</v>
      </c>
      <c r="L3" s="161">
        <v>0</v>
      </c>
      <c r="M3" s="161">
        <v>0</v>
      </c>
      <c r="N3" s="161">
        <v>0</v>
      </c>
      <c r="O3" s="161">
        <v>0</v>
      </c>
      <c r="P3" s="161">
        <v>1</v>
      </c>
      <c r="Q3" s="161">
        <v>1</v>
      </c>
      <c r="R3" s="161">
        <v>0</v>
      </c>
      <c r="S3" s="161">
        <v>0</v>
      </c>
      <c r="T3" s="165">
        <v>55.6</v>
      </c>
      <c r="U3" s="165">
        <v>0</v>
      </c>
      <c r="V3" s="161">
        <v>17</v>
      </c>
      <c r="W3" s="166">
        <v>443.68</v>
      </c>
      <c r="X3" s="161">
        <v>811</v>
      </c>
      <c r="Y3" s="161">
        <v>85</v>
      </c>
      <c r="Z3" s="165">
        <v>3</v>
      </c>
      <c r="AA3" s="165">
        <v>1</v>
      </c>
      <c r="AB3" s="165">
        <v>0</v>
      </c>
      <c r="AC3" s="165">
        <v>0</v>
      </c>
      <c r="AD3" s="165">
        <v>1</v>
      </c>
      <c r="AE3" s="165">
        <v>3</v>
      </c>
      <c r="AF3" s="165">
        <v>8</v>
      </c>
      <c r="AG3" s="165">
        <v>13</v>
      </c>
      <c r="AH3" s="165">
        <v>4</v>
      </c>
      <c r="AI3" s="165">
        <v>0</v>
      </c>
      <c r="AJ3" s="165">
        <v>0</v>
      </c>
      <c r="AK3" s="165">
        <v>5.5</v>
      </c>
      <c r="AL3" s="165">
        <v>7.5</v>
      </c>
      <c r="AM3" s="165">
        <v>30</v>
      </c>
      <c r="AN3" s="167">
        <f>tbl_operations[[#This Row],[Interview Styling Registrations]]+tbl_operations[[#This Row],[Confidence Styling Registrations]]</f>
        <v>3</v>
      </c>
      <c r="AO3" s="167">
        <f>tbl_operations[[#This Row],[Interview Styling Completed]]+tbl_operations[[#This Row],[Confidence Styling Completed]]</f>
        <v>3</v>
      </c>
      <c r="AP3" s="167">
        <f>tbl_operations[[#This Row],[Interview Styling Male]]+tbl_operations[[#This Row],[Confidence Styling Male]]</f>
        <v>1</v>
      </c>
      <c r="AQ3" s="167">
        <f>tbl_operations[[#This Row],[Interview Styling Female]]+tbl_operations[[#This Row],[Confidence Styling Female]]</f>
        <v>2</v>
      </c>
      <c r="AR3" s="167">
        <f>tbl_operations[[#This Row],[Interview Styling Non-Binary]]+tbl_operations[[#This Row],[Confidence Styling Non-Binary]]</f>
        <v>0</v>
      </c>
    </row>
    <row r="4" spans="1:44">
      <c r="A4" s="161" t="s">
        <v>20</v>
      </c>
      <c r="B4" s="162" t="s">
        <v>95</v>
      </c>
      <c r="C4" s="161" t="s">
        <v>97</v>
      </c>
      <c r="D4" s="163">
        <v>46027</v>
      </c>
      <c r="E4" s="164" t="str">
        <f t="shared" si="0"/>
        <v>Monday</v>
      </c>
      <c r="F4" s="161">
        <v>1</v>
      </c>
      <c r="G4" s="161">
        <v>1</v>
      </c>
      <c r="H4" s="161">
        <v>1</v>
      </c>
      <c r="I4" s="161">
        <v>0</v>
      </c>
      <c r="J4" s="161">
        <v>0</v>
      </c>
      <c r="K4" s="161">
        <v>2</v>
      </c>
      <c r="L4" s="161">
        <v>2</v>
      </c>
      <c r="M4" s="161">
        <v>1</v>
      </c>
      <c r="N4" s="161">
        <v>1</v>
      </c>
      <c r="O4" s="161">
        <v>0</v>
      </c>
      <c r="P4" s="161">
        <v>1</v>
      </c>
      <c r="Q4" s="161">
        <v>0</v>
      </c>
      <c r="R4" s="161">
        <v>0</v>
      </c>
      <c r="S4" s="161">
        <v>0</v>
      </c>
      <c r="T4" s="165">
        <v>0</v>
      </c>
      <c r="U4" s="165">
        <v>7.2</v>
      </c>
      <c r="V4" s="161">
        <v>8</v>
      </c>
      <c r="W4" s="166">
        <v>211.98</v>
      </c>
      <c r="X4" s="161">
        <v>295</v>
      </c>
      <c r="Y4" s="161">
        <v>18</v>
      </c>
      <c r="Z4" s="165">
        <v>4</v>
      </c>
      <c r="AA4" s="165">
        <v>1</v>
      </c>
      <c r="AB4" s="165">
        <v>0</v>
      </c>
      <c r="AC4" s="165">
        <v>0</v>
      </c>
      <c r="AD4" s="165">
        <v>4</v>
      </c>
      <c r="AE4" s="165">
        <v>2</v>
      </c>
      <c r="AF4" s="165">
        <v>11</v>
      </c>
      <c r="AG4" s="165">
        <v>12.5</v>
      </c>
      <c r="AH4" s="165">
        <v>2.5</v>
      </c>
      <c r="AI4" s="165">
        <v>0</v>
      </c>
      <c r="AJ4" s="165">
        <v>0</v>
      </c>
      <c r="AK4" s="165">
        <v>10.5</v>
      </c>
      <c r="AL4" s="165">
        <v>9</v>
      </c>
      <c r="AM4" s="165">
        <v>34.5</v>
      </c>
      <c r="AN4" s="167">
        <f>tbl_operations[[#This Row],[Interview Styling Registrations]]+tbl_operations[[#This Row],[Confidence Styling Registrations]]</f>
        <v>3</v>
      </c>
      <c r="AO4" s="167">
        <f>tbl_operations[[#This Row],[Interview Styling Completed]]+tbl_operations[[#This Row],[Confidence Styling Completed]]</f>
        <v>3</v>
      </c>
      <c r="AP4" s="167">
        <f>tbl_operations[[#This Row],[Interview Styling Male]]+tbl_operations[[#This Row],[Confidence Styling Male]]</f>
        <v>2</v>
      </c>
      <c r="AQ4" s="167">
        <f>tbl_operations[[#This Row],[Interview Styling Female]]+tbl_operations[[#This Row],[Confidence Styling Female]]</f>
        <v>1</v>
      </c>
      <c r="AR4" s="167">
        <f>tbl_operations[[#This Row],[Interview Styling Non-Binary]]+tbl_operations[[#This Row],[Confidence Styling Non-Binary]]</f>
        <v>0</v>
      </c>
    </row>
    <row r="5" spans="1:44">
      <c r="A5" s="161" t="s">
        <v>20</v>
      </c>
      <c r="B5" s="162" t="s">
        <v>95</v>
      </c>
      <c r="C5" s="161" t="s">
        <v>97</v>
      </c>
      <c r="D5" s="163">
        <v>46028</v>
      </c>
      <c r="E5" s="164" t="str">
        <f t="shared" si="0"/>
        <v>Tuesday</v>
      </c>
      <c r="F5" s="161">
        <v>1</v>
      </c>
      <c r="G5" s="161">
        <v>0</v>
      </c>
      <c r="H5" s="161">
        <v>0</v>
      </c>
      <c r="I5" s="161">
        <v>0</v>
      </c>
      <c r="J5" s="161">
        <v>0</v>
      </c>
      <c r="K5" s="161">
        <v>2</v>
      </c>
      <c r="L5" s="161">
        <v>2</v>
      </c>
      <c r="M5" s="161">
        <v>1</v>
      </c>
      <c r="N5" s="161">
        <v>1</v>
      </c>
      <c r="O5" s="161">
        <v>0</v>
      </c>
      <c r="P5" s="161">
        <v>1</v>
      </c>
      <c r="Q5" s="161">
        <v>0</v>
      </c>
      <c r="R5" s="161">
        <v>1</v>
      </c>
      <c r="S5" s="161">
        <v>0</v>
      </c>
      <c r="T5" s="165">
        <v>38.9</v>
      </c>
      <c r="U5" s="165">
        <v>4.9</v>
      </c>
      <c r="V5" s="161">
        <v>16</v>
      </c>
      <c r="W5" s="166">
        <v>194.65</v>
      </c>
      <c r="X5" s="161">
        <v>726</v>
      </c>
      <c r="Y5" s="161">
        <v>69</v>
      </c>
      <c r="Z5" s="165">
        <v>1</v>
      </c>
      <c r="AA5" s="165">
        <v>1</v>
      </c>
      <c r="AB5" s="165">
        <v>1</v>
      </c>
      <c r="AC5" s="165">
        <v>0</v>
      </c>
      <c r="AD5" s="165">
        <v>4</v>
      </c>
      <c r="AE5" s="165">
        <v>3</v>
      </c>
      <c r="AF5" s="165">
        <v>10</v>
      </c>
      <c r="AG5" s="165">
        <v>5.5</v>
      </c>
      <c r="AH5" s="165">
        <v>3.5</v>
      </c>
      <c r="AI5" s="165">
        <v>4</v>
      </c>
      <c r="AJ5" s="165">
        <v>0</v>
      </c>
      <c r="AK5" s="165">
        <v>10.5</v>
      </c>
      <c r="AL5" s="165">
        <v>10.5</v>
      </c>
      <c r="AM5" s="165">
        <v>34</v>
      </c>
      <c r="AN5" s="167">
        <f>tbl_operations[[#This Row],[Interview Styling Registrations]]+tbl_operations[[#This Row],[Confidence Styling Registrations]]</f>
        <v>3</v>
      </c>
      <c r="AO5" s="167">
        <f>tbl_operations[[#This Row],[Interview Styling Completed]]+tbl_operations[[#This Row],[Confidence Styling Completed]]</f>
        <v>2</v>
      </c>
      <c r="AP5" s="167">
        <f>tbl_operations[[#This Row],[Interview Styling Male]]+tbl_operations[[#This Row],[Confidence Styling Male]]</f>
        <v>1</v>
      </c>
      <c r="AQ5" s="167">
        <f>tbl_operations[[#This Row],[Interview Styling Female]]+tbl_operations[[#This Row],[Confidence Styling Female]]</f>
        <v>1</v>
      </c>
      <c r="AR5" s="167">
        <f>tbl_operations[[#This Row],[Interview Styling Non-Binary]]+tbl_operations[[#This Row],[Confidence Styling Non-Binary]]</f>
        <v>0</v>
      </c>
    </row>
    <row r="6" spans="1:44">
      <c r="A6" s="161" t="s">
        <v>20</v>
      </c>
      <c r="B6" s="162" t="s">
        <v>95</v>
      </c>
      <c r="C6" s="161" t="s">
        <v>97</v>
      </c>
      <c r="D6" s="163">
        <v>46029</v>
      </c>
      <c r="E6" s="164" t="str">
        <f t="shared" si="0"/>
        <v>Wednesday</v>
      </c>
      <c r="F6" s="161">
        <v>4</v>
      </c>
      <c r="G6" s="161">
        <v>3</v>
      </c>
      <c r="H6" s="161">
        <v>0</v>
      </c>
      <c r="I6" s="161">
        <v>3</v>
      </c>
      <c r="J6" s="161">
        <v>0</v>
      </c>
      <c r="K6" s="161">
        <v>0</v>
      </c>
      <c r="L6" s="161">
        <v>0</v>
      </c>
      <c r="M6" s="161">
        <v>0</v>
      </c>
      <c r="N6" s="161">
        <v>0</v>
      </c>
      <c r="O6" s="161">
        <v>0</v>
      </c>
      <c r="P6" s="161">
        <v>0</v>
      </c>
      <c r="Q6" s="161">
        <v>0</v>
      </c>
      <c r="R6" s="161">
        <v>0</v>
      </c>
      <c r="S6" s="161">
        <v>0</v>
      </c>
      <c r="T6" s="165">
        <v>20.9</v>
      </c>
      <c r="U6" s="165">
        <v>5.6</v>
      </c>
      <c r="V6" s="161">
        <v>9</v>
      </c>
      <c r="W6" s="166">
        <v>256.81</v>
      </c>
      <c r="X6" s="161">
        <v>1368</v>
      </c>
      <c r="Y6" s="161">
        <v>72</v>
      </c>
      <c r="Z6" s="165">
        <v>4</v>
      </c>
      <c r="AA6" s="165">
        <v>0</v>
      </c>
      <c r="AB6" s="165">
        <v>2</v>
      </c>
      <c r="AC6" s="165">
        <v>1</v>
      </c>
      <c r="AD6" s="165">
        <v>2</v>
      </c>
      <c r="AE6" s="165">
        <v>3</v>
      </c>
      <c r="AF6" s="165">
        <v>12</v>
      </c>
      <c r="AG6" s="165">
        <v>9</v>
      </c>
      <c r="AH6" s="165">
        <v>0</v>
      </c>
      <c r="AI6" s="165">
        <v>7.5</v>
      </c>
      <c r="AJ6" s="165">
        <v>2.5</v>
      </c>
      <c r="AK6" s="165">
        <v>4.5</v>
      </c>
      <c r="AL6" s="165">
        <v>8.5</v>
      </c>
      <c r="AM6" s="165">
        <v>32</v>
      </c>
      <c r="AN6" s="167">
        <f>tbl_operations[[#This Row],[Interview Styling Registrations]]+tbl_operations[[#This Row],[Confidence Styling Registrations]]</f>
        <v>4</v>
      </c>
      <c r="AO6" s="167">
        <f>tbl_operations[[#This Row],[Interview Styling Completed]]+tbl_operations[[#This Row],[Confidence Styling Completed]]</f>
        <v>3</v>
      </c>
      <c r="AP6" s="167">
        <f>tbl_operations[[#This Row],[Interview Styling Male]]+tbl_operations[[#This Row],[Confidence Styling Male]]</f>
        <v>0</v>
      </c>
      <c r="AQ6" s="167">
        <f>tbl_operations[[#This Row],[Interview Styling Female]]+tbl_operations[[#This Row],[Confidence Styling Female]]</f>
        <v>3</v>
      </c>
      <c r="AR6" s="167">
        <f>tbl_operations[[#This Row],[Interview Styling Non-Binary]]+tbl_operations[[#This Row],[Confidence Styling Non-Binary]]</f>
        <v>0</v>
      </c>
    </row>
    <row r="7" spans="1:44">
      <c r="A7" s="161" t="s">
        <v>20</v>
      </c>
      <c r="B7" s="162" t="s">
        <v>95</v>
      </c>
      <c r="C7" s="161" t="s">
        <v>97</v>
      </c>
      <c r="D7" s="163">
        <v>46030</v>
      </c>
      <c r="E7" s="164" t="str">
        <f t="shared" si="0"/>
        <v>Thursday</v>
      </c>
      <c r="F7" s="161">
        <v>1</v>
      </c>
      <c r="G7" s="161">
        <v>1</v>
      </c>
      <c r="H7" s="161">
        <v>1</v>
      </c>
      <c r="I7" s="161">
        <v>0</v>
      </c>
      <c r="J7" s="161">
        <v>0</v>
      </c>
      <c r="K7" s="161">
        <v>3</v>
      </c>
      <c r="L7" s="161">
        <v>2</v>
      </c>
      <c r="M7" s="161">
        <v>1</v>
      </c>
      <c r="N7" s="161">
        <v>1</v>
      </c>
      <c r="O7" s="161">
        <v>0</v>
      </c>
      <c r="P7" s="161">
        <v>0</v>
      </c>
      <c r="Q7" s="161">
        <v>1</v>
      </c>
      <c r="R7" s="161">
        <v>1</v>
      </c>
      <c r="S7" s="161">
        <v>0</v>
      </c>
      <c r="T7" s="165">
        <v>27.7</v>
      </c>
      <c r="U7" s="165">
        <v>6.7</v>
      </c>
      <c r="V7" s="161">
        <v>16</v>
      </c>
      <c r="W7" s="166">
        <v>320.91</v>
      </c>
      <c r="X7" s="161">
        <v>1839</v>
      </c>
      <c r="Y7" s="161">
        <v>232</v>
      </c>
      <c r="Z7" s="165">
        <v>1</v>
      </c>
      <c r="AA7" s="165">
        <v>1</v>
      </c>
      <c r="AB7" s="165">
        <v>0</v>
      </c>
      <c r="AC7" s="165">
        <v>0</v>
      </c>
      <c r="AD7" s="165">
        <v>1</v>
      </c>
      <c r="AE7" s="165">
        <v>4</v>
      </c>
      <c r="AF7" s="165">
        <v>7</v>
      </c>
      <c r="AG7" s="165">
        <v>4</v>
      </c>
      <c r="AH7" s="165">
        <v>4.5</v>
      </c>
      <c r="AI7" s="165">
        <v>0</v>
      </c>
      <c r="AJ7" s="165">
        <v>0</v>
      </c>
      <c r="AK7" s="165">
        <v>3.5</v>
      </c>
      <c r="AL7" s="165">
        <v>11.5</v>
      </c>
      <c r="AM7" s="165">
        <v>23.5</v>
      </c>
      <c r="AN7" s="167">
        <f>tbl_operations[[#This Row],[Interview Styling Registrations]]+tbl_operations[[#This Row],[Confidence Styling Registrations]]</f>
        <v>4</v>
      </c>
      <c r="AO7" s="167">
        <f>tbl_operations[[#This Row],[Interview Styling Completed]]+tbl_operations[[#This Row],[Confidence Styling Completed]]</f>
        <v>3</v>
      </c>
      <c r="AP7" s="167">
        <f>tbl_operations[[#This Row],[Interview Styling Male]]+tbl_operations[[#This Row],[Confidence Styling Male]]</f>
        <v>2</v>
      </c>
      <c r="AQ7" s="167">
        <f>tbl_operations[[#This Row],[Interview Styling Female]]+tbl_operations[[#This Row],[Confidence Styling Female]]</f>
        <v>1</v>
      </c>
      <c r="AR7" s="167">
        <f>tbl_operations[[#This Row],[Interview Styling Non-Binary]]+tbl_operations[[#This Row],[Confidence Styling Non-Binary]]</f>
        <v>0</v>
      </c>
    </row>
    <row r="8" spans="1:44">
      <c r="A8" s="161" t="s">
        <v>20</v>
      </c>
      <c r="B8" s="162" t="s">
        <v>95</v>
      </c>
      <c r="C8" s="161" t="s">
        <v>97</v>
      </c>
      <c r="D8" s="163">
        <v>46031</v>
      </c>
      <c r="E8" s="164" t="str">
        <f t="shared" si="0"/>
        <v>Friday</v>
      </c>
      <c r="F8" s="161">
        <v>0</v>
      </c>
      <c r="G8" s="161">
        <v>0</v>
      </c>
      <c r="H8" s="161">
        <v>0</v>
      </c>
      <c r="I8" s="161">
        <v>0</v>
      </c>
      <c r="J8" s="161">
        <v>0</v>
      </c>
      <c r="K8" s="161">
        <v>3</v>
      </c>
      <c r="L8" s="161">
        <v>2</v>
      </c>
      <c r="M8" s="161">
        <v>1</v>
      </c>
      <c r="N8" s="161">
        <v>1</v>
      </c>
      <c r="O8" s="161">
        <v>0</v>
      </c>
      <c r="P8" s="161">
        <v>0</v>
      </c>
      <c r="Q8" s="161">
        <v>0</v>
      </c>
      <c r="R8" s="161">
        <v>1</v>
      </c>
      <c r="S8" s="161">
        <v>0</v>
      </c>
      <c r="T8" s="165">
        <v>63.3</v>
      </c>
      <c r="U8" s="165">
        <v>16.1</v>
      </c>
      <c r="V8" s="161">
        <v>16</v>
      </c>
      <c r="W8" s="166">
        <v>200.85</v>
      </c>
      <c r="X8" s="161">
        <v>1285</v>
      </c>
      <c r="Y8" s="161">
        <v>142</v>
      </c>
      <c r="Z8" s="165">
        <v>3</v>
      </c>
      <c r="AA8" s="165">
        <v>0</v>
      </c>
      <c r="AB8" s="165">
        <v>2</v>
      </c>
      <c r="AC8" s="165">
        <v>1</v>
      </c>
      <c r="AD8" s="165">
        <v>2</v>
      </c>
      <c r="AE8" s="165">
        <v>2</v>
      </c>
      <c r="AF8" s="165">
        <v>10</v>
      </c>
      <c r="AG8" s="165">
        <v>10.5</v>
      </c>
      <c r="AH8" s="165">
        <v>0</v>
      </c>
      <c r="AI8" s="165">
        <v>9</v>
      </c>
      <c r="AJ8" s="165">
        <v>3</v>
      </c>
      <c r="AK8" s="165">
        <v>10.5</v>
      </c>
      <c r="AL8" s="165">
        <v>10.5</v>
      </c>
      <c r="AM8" s="165">
        <v>43.5</v>
      </c>
      <c r="AN8" s="167">
        <f>tbl_operations[[#This Row],[Interview Styling Registrations]]+tbl_operations[[#This Row],[Confidence Styling Registrations]]</f>
        <v>3</v>
      </c>
      <c r="AO8" s="167">
        <f>tbl_operations[[#This Row],[Interview Styling Completed]]+tbl_operations[[#This Row],[Confidence Styling Completed]]</f>
        <v>2</v>
      </c>
      <c r="AP8" s="167">
        <f>tbl_operations[[#This Row],[Interview Styling Male]]+tbl_operations[[#This Row],[Confidence Styling Male]]</f>
        <v>1</v>
      </c>
      <c r="AQ8" s="167">
        <f>tbl_operations[[#This Row],[Interview Styling Female]]+tbl_operations[[#This Row],[Confidence Styling Female]]</f>
        <v>1</v>
      </c>
      <c r="AR8" s="167">
        <f>tbl_operations[[#This Row],[Interview Styling Non-Binary]]+tbl_operations[[#This Row],[Confidence Styling Non-Binary]]</f>
        <v>0</v>
      </c>
    </row>
    <row r="9" spans="1:44">
      <c r="A9" s="161" t="s">
        <v>20</v>
      </c>
      <c r="B9" s="162" t="s">
        <v>95</v>
      </c>
      <c r="C9" s="161" t="s">
        <v>98</v>
      </c>
      <c r="D9" s="163">
        <v>46034</v>
      </c>
      <c r="E9" s="164" t="str">
        <f t="shared" si="0"/>
        <v>Monday</v>
      </c>
      <c r="F9" s="161">
        <v>2</v>
      </c>
      <c r="G9" s="161">
        <v>2</v>
      </c>
      <c r="H9" s="161">
        <v>0</v>
      </c>
      <c r="I9" s="161">
        <v>2</v>
      </c>
      <c r="J9" s="161">
        <v>0</v>
      </c>
      <c r="K9" s="161">
        <v>2</v>
      </c>
      <c r="L9" s="161">
        <v>2</v>
      </c>
      <c r="M9" s="161">
        <v>0</v>
      </c>
      <c r="N9" s="161">
        <v>2</v>
      </c>
      <c r="O9" s="161">
        <v>0</v>
      </c>
      <c r="P9" s="161">
        <v>1</v>
      </c>
      <c r="Q9" s="161">
        <v>0</v>
      </c>
      <c r="R9" s="161">
        <v>1</v>
      </c>
      <c r="S9" s="161">
        <v>0</v>
      </c>
      <c r="T9" s="165">
        <v>25.5</v>
      </c>
      <c r="U9" s="165">
        <v>8.1</v>
      </c>
      <c r="V9" s="161">
        <v>11</v>
      </c>
      <c r="W9" s="166">
        <v>141.98</v>
      </c>
      <c r="X9" s="161">
        <v>970</v>
      </c>
      <c r="Y9" s="161">
        <v>52</v>
      </c>
      <c r="Z9" s="165">
        <v>4</v>
      </c>
      <c r="AA9" s="165">
        <v>1</v>
      </c>
      <c r="AB9" s="165">
        <v>0</v>
      </c>
      <c r="AC9" s="165">
        <v>1</v>
      </c>
      <c r="AD9" s="165">
        <v>3</v>
      </c>
      <c r="AE9" s="165">
        <v>3</v>
      </c>
      <c r="AF9" s="165">
        <v>12</v>
      </c>
      <c r="AG9" s="165">
        <v>20.5</v>
      </c>
      <c r="AH9" s="165">
        <v>2.5</v>
      </c>
      <c r="AI9" s="165">
        <v>0</v>
      </c>
      <c r="AJ9" s="165">
        <v>3.5</v>
      </c>
      <c r="AK9" s="165">
        <v>15.5</v>
      </c>
      <c r="AL9" s="165">
        <v>14.5</v>
      </c>
      <c r="AM9" s="165">
        <v>56.5</v>
      </c>
      <c r="AN9" s="167">
        <f>tbl_operations[[#This Row],[Interview Styling Registrations]]+tbl_operations[[#This Row],[Confidence Styling Registrations]]</f>
        <v>4</v>
      </c>
      <c r="AO9" s="167">
        <f>tbl_operations[[#This Row],[Interview Styling Completed]]+tbl_operations[[#This Row],[Confidence Styling Completed]]</f>
        <v>4</v>
      </c>
      <c r="AP9" s="167">
        <f>tbl_operations[[#This Row],[Interview Styling Male]]+tbl_operations[[#This Row],[Confidence Styling Male]]</f>
        <v>0</v>
      </c>
      <c r="AQ9" s="167">
        <f>tbl_operations[[#This Row],[Interview Styling Female]]+tbl_operations[[#This Row],[Confidence Styling Female]]</f>
        <v>4</v>
      </c>
      <c r="AR9" s="167">
        <f>tbl_operations[[#This Row],[Interview Styling Non-Binary]]+tbl_operations[[#This Row],[Confidence Styling Non-Binary]]</f>
        <v>0</v>
      </c>
    </row>
    <row r="10" spans="1:44">
      <c r="A10" s="161" t="s">
        <v>20</v>
      </c>
      <c r="B10" s="162" t="s">
        <v>95</v>
      </c>
      <c r="C10" s="161" t="s">
        <v>98</v>
      </c>
      <c r="D10" s="163">
        <v>46035</v>
      </c>
      <c r="E10" s="164" t="str">
        <f t="shared" si="0"/>
        <v>Tuesday</v>
      </c>
      <c r="F10" s="161">
        <v>3</v>
      </c>
      <c r="G10" s="161">
        <v>3</v>
      </c>
      <c r="H10" s="161">
        <v>1</v>
      </c>
      <c r="I10" s="161">
        <v>2</v>
      </c>
      <c r="J10" s="161">
        <v>0</v>
      </c>
      <c r="K10" s="161">
        <v>0</v>
      </c>
      <c r="L10" s="161">
        <v>0</v>
      </c>
      <c r="M10" s="161">
        <v>0</v>
      </c>
      <c r="N10" s="161">
        <v>0</v>
      </c>
      <c r="O10" s="161">
        <v>0</v>
      </c>
      <c r="P10" s="161">
        <v>0</v>
      </c>
      <c r="Q10" s="161">
        <v>0</v>
      </c>
      <c r="R10" s="161">
        <v>0</v>
      </c>
      <c r="S10" s="161">
        <v>1</v>
      </c>
      <c r="T10" s="165">
        <v>59.4</v>
      </c>
      <c r="U10" s="165">
        <v>7.7</v>
      </c>
      <c r="V10" s="161">
        <v>11</v>
      </c>
      <c r="W10" s="166">
        <v>275.98</v>
      </c>
      <c r="X10" s="161">
        <v>1484</v>
      </c>
      <c r="Y10" s="161">
        <v>151</v>
      </c>
      <c r="Z10" s="165">
        <v>2</v>
      </c>
      <c r="AA10" s="165">
        <v>0</v>
      </c>
      <c r="AB10" s="165">
        <v>2</v>
      </c>
      <c r="AC10" s="165">
        <v>1</v>
      </c>
      <c r="AD10" s="165">
        <v>5</v>
      </c>
      <c r="AE10" s="165">
        <v>2</v>
      </c>
      <c r="AF10" s="165">
        <v>12</v>
      </c>
      <c r="AG10" s="165">
        <v>6.5</v>
      </c>
      <c r="AH10" s="165">
        <v>0</v>
      </c>
      <c r="AI10" s="165">
        <v>9</v>
      </c>
      <c r="AJ10" s="165">
        <v>4</v>
      </c>
      <c r="AK10" s="165">
        <v>17</v>
      </c>
      <c r="AL10" s="165">
        <v>8.5</v>
      </c>
      <c r="AM10" s="165">
        <v>45</v>
      </c>
      <c r="AN10" s="167">
        <f>tbl_operations[[#This Row],[Interview Styling Registrations]]+tbl_operations[[#This Row],[Confidence Styling Registrations]]</f>
        <v>3</v>
      </c>
      <c r="AO10" s="167">
        <f>tbl_operations[[#This Row],[Interview Styling Completed]]+tbl_operations[[#This Row],[Confidence Styling Completed]]</f>
        <v>3</v>
      </c>
      <c r="AP10" s="167">
        <f>tbl_operations[[#This Row],[Interview Styling Male]]+tbl_operations[[#This Row],[Confidence Styling Male]]</f>
        <v>1</v>
      </c>
      <c r="AQ10" s="167">
        <f>tbl_operations[[#This Row],[Interview Styling Female]]+tbl_operations[[#This Row],[Confidence Styling Female]]</f>
        <v>2</v>
      </c>
      <c r="AR10" s="167">
        <f>tbl_operations[[#This Row],[Interview Styling Non-Binary]]+tbl_operations[[#This Row],[Confidence Styling Non-Binary]]</f>
        <v>0</v>
      </c>
    </row>
    <row r="11" spans="1:44">
      <c r="A11" s="161" t="s">
        <v>20</v>
      </c>
      <c r="B11" s="162" t="s">
        <v>95</v>
      </c>
      <c r="C11" s="161" t="s">
        <v>98</v>
      </c>
      <c r="D11" s="163">
        <v>46036</v>
      </c>
      <c r="E11" s="164" t="str">
        <f t="shared" si="0"/>
        <v>Wednesday</v>
      </c>
      <c r="F11" s="161">
        <v>1</v>
      </c>
      <c r="G11" s="161">
        <v>1</v>
      </c>
      <c r="H11" s="161">
        <v>0</v>
      </c>
      <c r="I11" s="161">
        <v>1</v>
      </c>
      <c r="J11" s="161">
        <v>0</v>
      </c>
      <c r="K11" s="161">
        <v>1</v>
      </c>
      <c r="L11" s="161">
        <v>1</v>
      </c>
      <c r="M11" s="161">
        <v>0</v>
      </c>
      <c r="N11" s="161">
        <v>1</v>
      </c>
      <c r="O11" s="161">
        <v>0</v>
      </c>
      <c r="P11" s="161">
        <v>0</v>
      </c>
      <c r="Q11" s="161">
        <v>1</v>
      </c>
      <c r="R11" s="161">
        <v>1</v>
      </c>
      <c r="S11" s="161">
        <v>0</v>
      </c>
      <c r="T11" s="165">
        <v>0</v>
      </c>
      <c r="U11" s="165">
        <v>0</v>
      </c>
      <c r="V11" s="161">
        <v>17</v>
      </c>
      <c r="W11" s="166">
        <v>459.37</v>
      </c>
      <c r="X11" s="161">
        <v>793</v>
      </c>
      <c r="Y11" s="161">
        <v>85</v>
      </c>
      <c r="Z11" s="165">
        <v>2</v>
      </c>
      <c r="AA11" s="165">
        <v>2</v>
      </c>
      <c r="AB11" s="165">
        <v>1</v>
      </c>
      <c r="AC11" s="165">
        <v>2</v>
      </c>
      <c r="AD11" s="165">
        <v>4</v>
      </c>
      <c r="AE11" s="165">
        <v>2</v>
      </c>
      <c r="AF11" s="165">
        <v>13</v>
      </c>
      <c r="AG11" s="165">
        <v>7.5</v>
      </c>
      <c r="AH11" s="165">
        <v>7.5</v>
      </c>
      <c r="AI11" s="165">
        <v>5.5</v>
      </c>
      <c r="AJ11" s="165">
        <v>6.5</v>
      </c>
      <c r="AK11" s="165">
        <v>11.5</v>
      </c>
      <c r="AL11" s="165">
        <v>5.5</v>
      </c>
      <c r="AM11" s="165">
        <v>44</v>
      </c>
      <c r="AN11" s="167">
        <f>tbl_operations[[#This Row],[Interview Styling Registrations]]+tbl_operations[[#This Row],[Confidence Styling Registrations]]</f>
        <v>2</v>
      </c>
      <c r="AO11" s="167">
        <f>tbl_operations[[#This Row],[Interview Styling Completed]]+tbl_operations[[#This Row],[Confidence Styling Completed]]</f>
        <v>2</v>
      </c>
      <c r="AP11" s="167">
        <f>tbl_operations[[#This Row],[Interview Styling Male]]+tbl_operations[[#This Row],[Confidence Styling Male]]</f>
        <v>0</v>
      </c>
      <c r="AQ11" s="167">
        <f>tbl_operations[[#This Row],[Interview Styling Female]]+tbl_operations[[#This Row],[Confidence Styling Female]]</f>
        <v>2</v>
      </c>
      <c r="AR11" s="167">
        <f>tbl_operations[[#This Row],[Interview Styling Non-Binary]]+tbl_operations[[#This Row],[Confidence Styling Non-Binary]]</f>
        <v>0</v>
      </c>
    </row>
    <row r="12" spans="1:44">
      <c r="A12" s="161" t="s">
        <v>20</v>
      </c>
      <c r="B12" s="162" t="s">
        <v>95</v>
      </c>
      <c r="C12" s="161" t="s">
        <v>98</v>
      </c>
      <c r="D12" s="163">
        <v>46037</v>
      </c>
      <c r="E12" s="164" t="str">
        <f t="shared" si="0"/>
        <v>Thursday</v>
      </c>
      <c r="F12" s="161">
        <v>2</v>
      </c>
      <c r="G12" s="161">
        <v>2</v>
      </c>
      <c r="H12" s="161">
        <v>0</v>
      </c>
      <c r="I12" s="161">
        <v>2</v>
      </c>
      <c r="J12" s="161">
        <v>0</v>
      </c>
      <c r="K12" s="161">
        <v>3</v>
      </c>
      <c r="L12" s="161">
        <v>2</v>
      </c>
      <c r="M12" s="161">
        <v>0</v>
      </c>
      <c r="N12" s="161">
        <v>2</v>
      </c>
      <c r="O12" s="161">
        <v>0</v>
      </c>
      <c r="P12" s="161">
        <v>2</v>
      </c>
      <c r="Q12" s="161">
        <v>0</v>
      </c>
      <c r="R12" s="161">
        <v>0</v>
      </c>
      <c r="S12" s="161">
        <v>0</v>
      </c>
      <c r="T12" s="165">
        <v>0</v>
      </c>
      <c r="U12" s="165">
        <v>8.2</v>
      </c>
      <c r="V12" s="161">
        <v>3</v>
      </c>
      <c r="W12" s="166">
        <v>65.75</v>
      </c>
      <c r="X12" s="161">
        <v>736</v>
      </c>
      <c r="Y12" s="161">
        <v>15</v>
      </c>
      <c r="Z12" s="165">
        <v>4</v>
      </c>
      <c r="AA12" s="165">
        <v>0</v>
      </c>
      <c r="AB12" s="165">
        <v>1</v>
      </c>
      <c r="AC12" s="165">
        <v>1</v>
      </c>
      <c r="AD12" s="165">
        <v>3</v>
      </c>
      <c r="AE12" s="165">
        <v>4</v>
      </c>
      <c r="AF12" s="165">
        <v>13</v>
      </c>
      <c r="AG12" s="165">
        <v>13</v>
      </c>
      <c r="AH12" s="165">
        <v>0</v>
      </c>
      <c r="AI12" s="165">
        <v>3</v>
      </c>
      <c r="AJ12" s="165">
        <v>4.5</v>
      </c>
      <c r="AK12" s="165">
        <v>13</v>
      </c>
      <c r="AL12" s="165">
        <v>21.5</v>
      </c>
      <c r="AM12" s="165">
        <v>55</v>
      </c>
      <c r="AN12" s="167">
        <f>tbl_operations[[#This Row],[Interview Styling Registrations]]+tbl_operations[[#This Row],[Confidence Styling Registrations]]</f>
        <v>5</v>
      </c>
      <c r="AO12" s="167">
        <f>tbl_operations[[#This Row],[Interview Styling Completed]]+tbl_operations[[#This Row],[Confidence Styling Completed]]</f>
        <v>4</v>
      </c>
      <c r="AP12" s="167">
        <f>tbl_operations[[#This Row],[Interview Styling Male]]+tbl_operations[[#This Row],[Confidence Styling Male]]</f>
        <v>0</v>
      </c>
      <c r="AQ12" s="167">
        <f>tbl_operations[[#This Row],[Interview Styling Female]]+tbl_operations[[#This Row],[Confidence Styling Female]]</f>
        <v>4</v>
      </c>
      <c r="AR12" s="167">
        <f>tbl_operations[[#This Row],[Interview Styling Non-Binary]]+tbl_operations[[#This Row],[Confidence Styling Non-Binary]]</f>
        <v>0</v>
      </c>
    </row>
    <row r="13" spans="1:44">
      <c r="A13" s="161" t="s">
        <v>20</v>
      </c>
      <c r="B13" s="162" t="s">
        <v>95</v>
      </c>
      <c r="C13" s="161" t="s">
        <v>98</v>
      </c>
      <c r="D13" s="163">
        <v>46038</v>
      </c>
      <c r="E13" s="164" t="str">
        <f t="shared" si="0"/>
        <v>Friday</v>
      </c>
      <c r="F13" s="161">
        <v>4</v>
      </c>
      <c r="G13" s="161">
        <v>4</v>
      </c>
      <c r="H13" s="161">
        <v>1</v>
      </c>
      <c r="I13" s="161">
        <v>3</v>
      </c>
      <c r="J13" s="161">
        <v>0</v>
      </c>
      <c r="K13" s="161">
        <v>1</v>
      </c>
      <c r="L13" s="161">
        <v>0</v>
      </c>
      <c r="M13" s="161">
        <v>0</v>
      </c>
      <c r="N13" s="161">
        <v>0</v>
      </c>
      <c r="O13" s="161">
        <v>0</v>
      </c>
      <c r="P13" s="161">
        <v>1</v>
      </c>
      <c r="Q13" s="161">
        <v>1</v>
      </c>
      <c r="R13" s="161">
        <v>0</v>
      </c>
      <c r="S13" s="161">
        <v>0</v>
      </c>
      <c r="T13" s="165">
        <v>0</v>
      </c>
      <c r="U13" s="165">
        <v>17.3</v>
      </c>
      <c r="V13" s="161">
        <v>15</v>
      </c>
      <c r="W13" s="166">
        <v>435.96</v>
      </c>
      <c r="X13" s="161">
        <v>1100</v>
      </c>
      <c r="Y13" s="161">
        <v>169</v>
      </c>
      <c r="Z13" s="165">
        <v>4</v>
      </c>
      <c r="AA13" s="165">
        <v>1</v>
      </c>
      <c r="AB13" s="165">
        <v>2</v>
      </c>
      <c r="AC13" s="165">
        <v>0</v>
      </c>
      <c r="AD13" s="165">
        <v>5</v>
      </c>
      <c r="AE13" s="165">
        <v>4</v>
      </c>
      <c r="AF13" s="165">
        <v>16</v>
      </c>
      <c r="AG13" s="165">
        <v>9</v>
      </c>
      <c r="AH13" s="165">
        <v>3.5</v>
      </c>
      <c r="AI13" s="165">
        <v>6.5</v>
      </c>
      <c r="AJ13" s="165">
        <v>0</v>
      </c>
      <c r="AK13" s="165">
        <v>23</v>
      </c>
      <c r="AL13" s="165">
        <v>17</v>
      </c>
      <c r="AM13" s="165">
        <v>59</v>
      </c>
      <c r="AN13" s="167">
        <f>tbl_operations[[#This Row],[Interview Styling Registrations]]+tbl_operations[[#This Row],[Confidence Styling Registrations]]</f>
        <v>5</v>
      </c>
      <c r="AO13" s="167">
        <f>tbl_operations[[#This Row],[Interview Styling Completed]]+tbl_operations[[#This Row],[Confidence Styling Completed]]</f>
        <v>4</v>
      </c>
      <c r="AP13" s="167">
        <f>tbl_operations[[#This Row],[Interview Styling Male]]+tbl_operations[[#This Row],[Confidence Styling Male]]</f>
        <v>1</v>
      </c>
      <c r="AQ13" s="167">
        <f>tbl_operations[[#This Row],[Interview Styling Female]]+tbl_operations[[#This Row],[Confidence Styling Female]]</f>
        <v>3</v>
      </c>
      <c r="AR13" s="167">
        <f>tbl_operations[[#This Row],[Interview Styling Non-Binary]]+tbl_operations[[#This Row],[Confidence Styling Non-Binary]]</f>
        <v>0</v>
      </c>
    </row>
    <row r="14" spans="1:44">
      <c r="A14" s="161" t="s">
        <v>20</v>
      </c>
      <c r="B14" s="162" t="s">
        <v>95</v>
      </c>
      <c r="C14" s="161" t="s">
        <v>99</v>
      </c>
      <c r="D14" s="163">
        <v>46041</v>
      </c>
      <c r="E14" s="164" t="str">
        <f t="shared" si="0"/>
        <v>Monday</v>
      </c>
      <c r="F14" s="161">
        <v>1</v>
      </c>
      <c r="G14" s="161">
        <v>1</v>
      </c>
      <c r="H14" s="161">
        <v>1</v>
      </c>
      <c r="I14" s="161">
        <v>0</v>
      </c>
      <c r="J14" s="161">
        <v>0</v>
      </c>
      <c r="K14" s="161">
        <v>2</v>
      </c>
      <c r="L14" s="161">
        <v>1</v>
      </c>
      <c r="M14" s="161">
        <v>1</v>
      </c>
      <c r="N14" s="161">
        <v>0</v>
      </c>
      <c r="O14" s="161">
        <v>0</v>
      </c>
      <c r="P14" s="161">
        <v>0</v>
      </c>
      <c r="Q14" s="161">
        <v>0</v>
      </c>
      <c r="R14" s="161">
        <v>0</v>
      </c>
      <c r="S14" s="161">
        <v>0</v>
      </c>
      <c r="T14" s="165">
        <v>64.2</v>
      </c>
      <c r="U14" s="165">
        <v>21.7</v>
      </c>
      <c r="V14" s="161">
        <v>7</v>
      </c>
      <c r="W14" s="166">
        <v>119.69</v>
      </c>
      <c r="X14" s="161">
        <v>1693</v>
      </c>
      <c r="Y14" s="161">
        <v>108</v>
      </c>
      <c r="Z14" s="165">
        <v>4</v>
      </c>
      <c r="AA14" s="165">
        <v>0</v>
      </c>
      <c r="AB14" s="165">
        <v>1</v>
      </c>
      <c r="AC14" s="165">
        <v>1</v>
      </c>
      <c r="AD14" s="165">
        <v>4</v>
      </c>
      <c r="AE14" s="165">
        <v>3</v>
      </c>
      <c r="AF14" s="165">
        <v>13</v>
      </c>
      <c r="AG14" s="165">
        <v>22</v>
      </c>
      <c r="AH14" s="165">
        <v>0</v>
      </c>
      <c r="AI14" s="165">
        <v>5.5</v>
      </c>
      <c r="AJ14" s="165">
        <v>3.5</v>
      </c>
      <c r="AK14" s="165">
        <v>22</v>
      </c>
      <c r="AL14" s="165">
        <v>12</v>
      </c>
      <c r="AM14" s="165">
        <v>65</v>
      </c>
      <c r="AN14" s="167">
        <f>tbl_operations[[#This Row],[Interview Styling Registrations]]+tbl_operations[[#This Row],[Confidence Styling Registrations]]</f>
        <v>3</v>
      </c>
      <c r="AO14" s="167">
        <f>tbl_operations[[#This Row],[Interview Styling Completed]]+tbl_operations[[#This Row],[Confidence Styling Completed]]</f>
        <v>2</v>
      </c>
      <c r="AP14" s="167">
        <f>tbl_operations[[#This Row],[Interview Styling Male]]+tbl_operations[[#This Row],[Confidence Styling Male]]</f>
        <v>2</v>
      </c>
      <c r="AQ14" s="167">
        <f>tbl_operations[[#This Row],[Interview Styling Female]]+tbl_operations[[#This Row],[Confidence Styling Female]]</f>
        <v>0</v>
      </c>
      <c r="AR14" s="167">
        <f>tbl_operations[[#This Row],[Interview Styling Non-Binary]]+tbl_operations[[#This Row],[Confidence Styling Non-Binary]]</f>
        <v>0</v>
      </c>
    </row>
    <row r="15" spans="1:44">
      <c r="A15" s="161" t="s">
        <v>20</v>
      </c>
      <c r="B15" s="162" t="s">
        <v>95</v>
      </c>
      <c r="C15" s="161" t="s">
        <v>99</v>
      </c>
      <c r="D15" s="163">
        <v>46042</v>
      </c>
      <c r="E15" s="164" t="str">
        <f t="shared" si="0"/>
        <v>Tuesday</v>
      </c>
      <c r="F15" s="161">
        <v>3</v>
      </c>
      <c r="G15" s="161">
        <v>2</v>
      </c>
      <c r="H15" s="161">
        <v>1</v>
      </c>
      <c r="I15" s="161">
        <v>1</v>
      </c>
      <c r="J15" s="161">
        <v>0</v>
      </c>
      <c r="K15" s="161">
        <v>3</v>
      </c>
      <c r="L15" s="161">
        <v>3</v>
      </c>
      <c r="M15" s="161">
        <v>0</v>
      </c>
      <c r="N15" s="161">
        <v>3</v>
      </c>
      <c r="O15" s="161">
        <v>0</v>
      </c>
      <c r="P15" s="161">
        <v>1</v>
      </c>
      <c r="Q15" s="161">
        <v>0</v>
      </c>
      <c r="R15" s="161">
        <v>0</v>
      </c>
      <c r="S15" s="161">
        <v>0</v>
      </c>
      <c r="T15" s="165">
        <v>42.1</v>
      </c>
      <c r="U15" s="165">
        <v>0</v>
      </c>
      <c r="V15" s="161">
        <v>13</v>
      </c>
      <c r="W15" s="166">
        <v>263.1</v>
      </c>
      <c r="X15" s="161">
        <v>2009</v>
      </c>
      <c r="Y15" s="161">
        <v>178</v>
      </c>
      <c r="Z15" s="165">
        <v>3</v>
      </c>
      <c r="AA15" s="165">
        <v>0</v>
      </c>
      <c r="AB15" s="165">
        <v>2</v>
      </c>
      <c r="AC15" s="165">
        <v>0</v>
      </c>
      <c r="AD15" s="165">
        <v>2</v>
      </c>
      <c r="AE15" s="165">
        <v>1</v>
      </c>
      <c r="AF15" s="165">
        <v>8</v>
      </c>
      <c r="AG15" s="165">
        <v>13</v>
      </c>
      <c r="AH15" s="165">
        <v>0</v>
      </c>
      <c r="AI15" s="165">
        <v>8</v>
      </c>
      <c r="AJ15" s="165">
        <v>0</v>
      </c>
      <c r="AK15" s="165">
        <v>5</v>
      </c>
      <c r="AL15" s="165">
        <v>5</v>
      </c>
      <c r="AM15" s="165">
        <v>31</v>
      </c>
      <c r="AN15" s="167">
        <f>tbl_operations[[#This Row],[Interview Styling Registrations]]+tbl_operations[[#This Row],[Confidence Styling Registrations]]</f>
        <v>6</v>
      </c>
      <c r="AO15" s="167">
        <f>tbl_operations[[#This Row],[Interview Styling Completed]]+tbl_operations[[#This Row],[Confidence Styling Completed]]</f>
        <v>5</v>
      </c>
      <c r="AP15" s="167">
        <f>tbl_operations[[#This Row],[Interview Styling Male]]+tbl_operations[[#This Row],[Confidence Styling Male]]</f>
        <v>1</v>
      </c>
      <c r="AQ15" s="167">
        <f>tbl_operations[[#This Row],[Interview Styling Female]]+tbl_operations[[#This Row],[Confidence Styling Female]]</f>
        <v>4</v>
      </c>
      <c r="AR15" s="167">
        <f>tbl_operations[[#This Row],[Interview Styling Non-Binary]]+tbl_operations[[#This Row],[Confidence Styling Non-Binary]]</f>
        <v>0</v>
      </c>
    </row>
    <row r="16" spans="1:44">
      <c r="A16" s="161" t="s">
        <v>20</v>
      </c>
      <c r="B16" s="162" t="s">
        <v>95</v>
      </c>
      <c r="C16" s="161" t="s">
        <v>99</v>
      </c>
      <c r="D16" s="163">
        <v>46043</v>
      </c>
      <c r="E16" s="164" t="str">
        <f t="shared" si="0"/>
        <v>Wednesday</v>
      </c>
      <c r="F16" s="161">
        <v>2</v>
      </c>
      <c r="G16" s="161">
        <v>1</v>
      </c>
      <c r="H16" s="161">
        <v>0</v>
      </c>
      <c r="I16" s="161">
        <v>1</v>
      </c>
      <c r="J16" s="161">
        <v>0</v>
      </c>
      <c r="K16" s="161">
        <v>2</v>
      </c>
      <c r="L16" s="161">
        <v>2</v>
      </c>
      <c r="M16" s="161">
        <v>0</v>
      </c>
      <c r="N16" s="161">
        <v>2</v>
      </c>
      <c r="O16" s="161">
        <v>0</v>
      </c>
      <c r="P16" s="161">
        <v>2</v>
      </c>
      <c r="Q16" s="161">
        <v>1</v>
      </c>
      <c r="R16" s="161">
        <v>0</v>
      </c>
      <c r="S16" s="161">
        <v>0</v>
      </c>
      <c r="T16" s="165">
        <v>8.3</v>
      </c>
      <c r="U16" s="165">
        <v>10</v>
      </c>
      <c r="V16" s="161">
        <v>19</v>
      </c>
      <c r="W16" s="166">
        <v>551.37</v>
      </c>
      <c r="X16" s="161">
        <v>2010</v>
      </c>
      <c r="Y16" s="161">
        <v>229</v>
      </c>
      <c r="Z16" s="165">
        <v>3</v>
      </c>
      <c r="AA16" s="165">
        <v>1</v>
      </c>
      <c r="AB16" s="165">
        <v>1</v>
      </c>
      <c r="AC16" s="165">
        <v>2</v>
      </c>
      <c r="AD16" s="165">
        <v>4</v>
      </c>
      <c r="AE16" s="165">
        <v>1</v>
      </c>
      <c r="AF16" s="165">
        <v>12</v>
      </c>
      <c r="AG16" s="165">
        <v>11.5</v>
      </c>
      <c r="AH16" s="165">
        <v>3.5</v>
      </c>
      <c r="AI16" s="165">
        <v>2</v>
      </c>
      <c r="AJ16" s="165">
        <v>6</v>
      </c>
      <c r="AK16" s="165">
        <v>10.5</v>
      </c>
      <c r="AL16" s="165">
        <v>5</v>
      </c>
      <c r="AM16" s="165">
        <v>38.5</v>
      </c>
      <c r="AN16" s="167">
        <f>tbl_operations[[#This Row],[Interview Styling Registrations]]+tbl_operations[[#This Row],[Confidence Styling Registrations]]</f>
        <v>4</v>
      </c>
      <c r="AO16" s="167">
        <f>tbl_operations[[#This Row],[Interview Styling Completed]]+tbl_operations[[#This Row],[Confidence Styling Completed]]</f>
        <v>3</v>
      </c>
      <c r="AP16" s="167">
        <f>tbl_operations[[#This Row],[Interview Styling Male]]+tbl_operations[[#This Row],[Confidence Styling Male]]</f>
        <v>0</v>
      </c>
      <c r="AQ16" s="167">
        <f>tbl_operations[[#This Row],[Interview Styling Female]]+tbl_operations[[#This Row],[Confidence Styling Female]]</f>
        <v>3</v>
      </c>
      <c r="AR16" s="167">
        <f>tbl_operations[[#This Row],[Interview Styling Non-Binary]]+tbl_operations[[#This Row],[Confidence Styling Non-Binary]]</f>
        <v>0</v>
      </c>
    </row>
    <row r="17" spans="1:44">
      <c r="A17" s="161" t="s">
        <v>20</v>
      </c>
      <c r="B17" s="162" t="s">
        <v>95</v>
      </c>
      <c r="C17" s="161" t="s">
        <v>99</v>
      </c>
      <c r="D17" s="163">
        <v>46044</v>
      </c>
      <c r="E17" s="164" t="str">
        <f t="shared" si="0"/>
        <v>Thursday</v>
      </c>
      <c r="F17" s="161">
        <v>4</v>
      </c>
      <c r="G17" s="161">
        <v>3</v>
      </c>
      <c r="H17" s="161">
        <v>1</v>
      </c>
      <c r="I17" s="161">
        <v>2</v>
      </c>
      <c r="J17" s="161">
        <v>0</v>
      </c>
      <c r="K17" s="161">
        <v>2</v>
      </c>
      <c r="L17" s="161">
        <v>2</v>
      </c>
      <c r="M17" s="161">
        <v>0</v>
      </c>
      <c r="N17" s="161">
        <v>2</v>
      </c>
      <c r="O17" s="161">
        <v>0</v>
      </c>
      <c r="P17" s="161">
        <v>1</v>
      </c>
      <c r="Q17" s="161">
        <v>0</v>
      </c>
      <c r="R17" s="161">
        <v>1</v>
      </c>
      <c r="S17" s="161">
        <v>0</v>
      </c>
      <c r="T17" s="165">
        <v>24.4</v>
      </c>
      <c r="U17" s="165">
        <v>0</v>
      </c>
      <c r="V17" s="161">
        <v>19</v>
      </c>
      <c r="W17" s="166">
        <v>441.99</v>
      </c>
      <c r="X17" s="161">
        <v>1740</v>
      </c>
      <c r="Y17" s="161">
        <v>82</v>
      </c>
      <c r="Z17" s="165">
        <v>4</v>
      </c>
      <c r="AA17" s="165">
        <v>1</v>
      </c>
      <c r="AB17" s="165">
        <v>2</v>
      </c>
      <c r="AC17" s="165">
        <v>0</v>
      </c>
      <c r="AD17" s="165">
        <v>5</v>
      </c>
      <c r="AE17" s="165">
        <v>4</v>
      </c>
      <c r="AF17" s="165">
        <v>16</v>
      </c>
      <c r="AG17" s="165">
        <v>12.5</v>
      </c>
      <c r="AH17" s="165">
        <v>5.5</v>
      </c>
      <c r="AI17" s="165">
        <v>7</v>
      </c>
      <c r="AJ17" s="165">
        <v>0</v>
      </c>
      <c r="AK17" s="165">
        <v>19</v>
      </c>
      <c r="AL17" s="165">
        <v>19.5</v>
      </c>
      <c r="AM17" s="165">
        <v>63.5</v>
      </c>
      <c r="AN17" s="167">
        <f>tbl_operations[[#This Row],[Interview Styling Registrations]]+tbl_operations[[#This Row],[Confidence Styling Registrations]]</f>
        <v>6</v>
      </c>
      <c r="AO17" s="167">
        <f>tbl_operations[[#This Row],[Interview Styling Completed]]+tbl_operations[[#This Row],[Confidence Styling Completed]]</f>
        <v>5</v>
      </c>
      <c r="AP17" s="167">
        <f>tbl_operations[[#This Row],[Interview Styling Male]]+tbl_operations[[#This Row],[Confidence Styling Male]]</f>
        <v>1</v>
      </c>
      <c r="AQ17" s="167">
        <f>tbl_operations[[#This Row],[Interview Styling Female]]+tbl_operations[[#This Row],[Confidence Styling Female]]</f>
        <v>4</v>
      </c>
      <c r="AR17" s="167">
        <f>tbl_operations[[#This Row],[Interview Styling Non-Binary]]+tbl_operations[[#This Row],[Confidence Styling Non-Binary]]</f>
        <v>0</v>
      </c>
    </row>
    <row r="18" spans="1:44">
      <c r="A18" s="161" t="s">
        <v>20</v>
      </c>
      <c r="B18" s="162" t="s">
        <v>95</v>
      </c>
      <c r="C18" s="161" t="s">
        <v>99</v>
      </c>
      <c r="D18" s="163">
        <v>46045</v>
      </c>
      <c r="E18" s="164" t="str">
        <f t="shared" si="0"/>
        <v>Friday</v>
      </c>
      <c r="F18" s="161">
        <v>2</v>
      </c>
      <c r="G18" s="161">
        <v>1</v>
      </c>
      <c r="H18" s="161">
        <v>0</v>
      </c>
      <c r="I18" s="161">
        <v>1</v>
      </c>
      <c r="J18" s="161">
        <v>0</v>
      </c>
      <c r="K18" s="161">
        <v>0</v>
      </c>
      <c r="L18" s="161">
        <v>0</v>
      </c>
      <c r="M18" s="161">
        <v>0</v>
      </c>
      <c r="N18" s="161">
        <v>0</v>
      </c>
      <c r="O18" s="161">
        <v>0</v>
      </c>
      <c r="P18" s="161">
        <v>2</v>
      </c>
      <c r="Q18" s="161">
        <v>0</v>
      </c>
      <c r="R18" s="161">
        <v>0</v>
      </c>
      <c r="S18" s="161">
        <v>0</v>
      </c>
      <c r="T18" s="165">
        <v>51.5</v>
      </c>
      <c r="U18" s="165">
        <v>0</v>
      </c>
      <c r="V18" s="161">
        <v>7</v>
      </c>
      <c r="W18" s="166">
        <v>183.48</v>
      </c>
      <c r="X18" s="161">
        <v>284</v>
      </c>
      <c r="Y18" s="161">
        <v>44</v>
      </c>
      <c r="Z18" s="165">
        <v>1</v>
      </c>
      <c r="AA18" s="165">
        <v>2</v>
      </c>
      <c r="AB18" s="165">
        <v>2</v>
      </c>
      <c r="AC18" s="165">
        <v>0</v>
      </c>
      <c r="AD18" s="165">
        <v>1</v>
      </c>
      <c r="AE18" s="165">
        <v>1</v>
      </c>
      <c r="AF18" s="165">
        <v>7</v>
      </c>
      <c r="AG18" s="165">
        <v>5</v>
      </c>
      <c r="AH18" s="165">
        <v>10.5</v>
      </c>
      <c r="AI18" s="165">
        <v>7</v>
      </c>
      <c r="AJ18" s="165">
        <v>0</v>
      </c>
      <c r="AK18" s="165">
        <v>5</v>
      </c>
      <c r="AL18" s="165">
        <v>3.5</v>
      </c>
      <c r="AM18" s="165">
        <v>31</v>
      </c>
      <c r="AN18" s="167">
        <f>tbl_operations[[#This Row],[Interview Styling Registrations]]+tbl_operations[[#This Row],[Confidence Styling Registrations]]</f>
        <v>2</v>
      </c>
      <c r="AO18" s="167">
        <f>tbl_operations[[#This Row],[Interview Styling Completed]]+tbl_operations[[#This Row],[Confidence Styling Completed]]</f>
        <v>1</v>
      </c>
      <c r="AP18" s="167">
        <f>tbl_operations[[#This Row],[Interview Styling Male]]+tbl_operations[[#This Row],[Confidence Styling Male]]</f>
        <v>0</v>
      </c>
      <c r="AQ18" s="167">
        <f>tbl_operations[[#This Row],[Interview Styling Female]]+tbl_operations[[#This Row],[Confidence Styling Female]]</f>
        <v>1</v>
      </c>
      <c r="AR18" s="167">
        <f>tbl_operations[[#This Row],[Interview Styling Non-Binary]]+tbl_operations[[#This Row],[Confidence Styling Non-Binary]]</f>
        <v>0</v>
      </c>
    </row>
    <row r="19" spans="1:44">
      <c r="A19" s="161" t="s">
        <v>20</v>
      </c>
      <c r="B19" s="162" t="s">
        <v>95</v>
      </c>
      <c r="C19" s="161" t="s">
        <v>100</v>
      </c>
      <c r="D19" s="163">
        <v>46048</v>
      </c>
      <c r="E19" s="164" t="str">
        <f t="shared" si="0"/>
        <v>Monday</v>
      </c>
      <c r="F19" s="161">
        <v>4</v>
      </c>
      <c r="G19" s="161">
        <v>4</v>
      </c>
      <c r="H19" s="161">
        <v>0</v>
      </c>
      <c r="I19" s="161">
        <v>4</v>
      </c>
      <c r="J19" s="161">
        <v>0</v>
      </c>
      <c r="K19" s="161">
        <v>3</v>
      </c>
      <c r="L19" s="161">
        <v>3</v>
      </c>
      <c r="M19" s="161">
        <v>0</v>
      </c>
      <c r="N19" s="161">
        <v>3</v>
      </c>
      <c r="O19" s="161">
        <v>0</v>
      </c>
      <c r="P19" s="161">
        <v>1</v>
      </c>
      <c r="Q19" s="161">
        <v>0</v>
      </c>
      <c r="R19" s="161">
        <v>0</v>
      </c>
      <c r="S19" s="161">
        <v>0</v>
      </c>
      <c r="T19" s="165">
        <v>29.2</v>
      </c>
      <c r="U19" s="165">
        <v>14.6</v>
      </c>
      <c r="V19" s="161">
        <v>15</v>
      </c>
      <c r="W19" s="166">
        <v>385.96</v>
      </c>
      <c r="X19" s="161">
        <v>1249</v>
      </c>
      <c r="Y19" s="161">
        <v>110</v>
      </c>
      <c r="Z19" s="165">
        <v>4</v>
      </c>
      <c r="AA19" s="165">
        <v>1</v>
      </c>
      <c r="AB19" s="165">
        <v>1</v>
      </c>
      <c r="AC19" s="165">
        <v>1</v>
      </c>
      <c r="AD19" s="165">
        <v>1</v>
      </c>
      <c r="AE19" s="165">
        <v>1</v>
      </c>
      <c r="AF19" s="165">
        <v>9</v>
      </c>
      <c r="AG19" s="165">
        <v>16.5</v>
      </c>
      <c r="AH19" s="165">
        <v>3.5</v>
      </c>
      <c r="AI19" s="165">
        <v>5</v>
      </c>
      <c r="AJ19" s="165">
        <v>4</v>
      </c>
      <c r="AK19" s="165">
        <v>4</v>
      </c>
      <c r="AL19" s="165">
        <v>3.5</v>
      </c>
      <c r="AM19" s="165">
        <v>36.5</v>
      </c>
      <c r="AN19" s="167">
        <f>tbl_operations[[#This Row],[Interview Styling Registrations]]+tbl_operations[[#This Row],[Confidence Styling Registrations]]</f>
        <v>7</v>
      </c>
      <c r="AO19" s="167">
        <f>tbl_operations[[#This Row],[Interview Styling Completed]]+tbl_operations[[#This Row],[Confidence Styling Completed]]</f>
        <v>7</v>
      </c>
      <c r="AP19" s="167">
        <f>tbl_operations[[#This Row],[Interview Styling Male]]+tbl_operations[[#This Row],[Confidence Styling Male]]</f>
        <v>0</v>
      </c>
      <c r="AQ19" s="167">
        <f>tbl_operations[[#This Row],[Interview Styling Female]]+tbl_operations[[#This Row],[Confidence Styling Female]]</f>
        <v>7</v>
      </c>
      <c r="AR19" s="167">
        <f>tbl_operations[[#This Row],[Interview Styling Non-Binary]]+tbl_operations[[#This Row],[Confidence Styling Non-Binary]]</f>
        <v>0</v>
      </c>
    </row>
    <row r="20" spans="1:44">
      <c r="A20" s="161" t="s">
        <v>20</v>
      </c>
      <c r="B20" s="162" t="s">
        <v>95</v>
      </c>
      <c r="C20" s="161" t="s">
        <v>100</v>
      </c>
      <c r="D20" s="163">
        <v>46049</v>
      </c>
      <c r="E20" s="164" t="str">
        <f t="shared" si="0"/>
        <v>Tuesday</v>
      </c>
      <c r="F20" s="161">
        <v>1</v>
      </c>
      <c r="G20" s="161">
        <v>0</v>
      </c>
      <c r="H20" s="161">
        <v>0</v>
      </c>
      <c r="I20" s="161">
        <v>0</v>
      </c>
      <c r="J20" s="161">
        <v>0</v>
      </c>
      <c r="K20" s="161">
        <v>2</v>
      </c>
      <c r="L20" s="161">
        <v>2</v>
      </c>
      <c r="M20" s="161">
        <v>1</v>
      </c>
      <c r="N20" s="161">
        <v>1</v>
      </c>
      <c r="O20" s="161">
        <v>0</v>
      </c>
      <c r="P20" s="161">
        <v>1</v>
      </c>
      <c r="Q20" s="161">
        <v>1</v>
      </c>
      <c r="R20" s="161">
        <v>0</v>
      </c>
      <c r="S20" s="161">
        <v>1</v>
      </c>
      <c r="T20" s="165">
        <v>63.4</v>
      </c>
      <c r="U20" s="165">
        <v>0</v>
      </c>
      <c r="V20" s="161">
        <v>21</v>
      </c>
      <c r="W20" s="166">
        <v>584.15</v>
      </c>
      <c r="X20" s="161">
        <v>342</v>
      </c>
      <c r="Y20" s="161">
        <v>27</v>
      </c>
      <c r="Z20" s="165">
        <v>1</v>
      </c>
      <c r="AA20" s="165">
        <v>1</v>
      </c>
      <c r="AB20" s="165">
        <v>1</v>
      </c>
      <c r="AC20" s="165">
        <v>1</v>
      </c>
      <c r="AD20" s="165">
        <v>2</v>
      </c>
      <c r="AE20" s="165">
        <v>4</v>
      </c>
      <c r="AF20" s="165">
        <v>10</v>
      </c>
      <c r="AG20" s="165">
        <v>3.5</v>
      </c>
      <c r="AH20" s="165">
        <v>2.5</v>
      </c>
      <c r="AI20" s="165">
        <v>2.5</v>
      </c>
      <c r="AJ20" s="165">
        <v>3</v>
      </c>
      <c r="AK20" s="165">
        <v>9.5</v>
      </c>
      <c r="AL20" s="165">
        <v>11</v>
      </c>
      <c r="AM20" s="165">
        <v>32</v>
      </c>
      <c r="AN20" s="167">
        <f>tbl_operations[[#This Row],[Interview Styling Registrations]]+tbl_operations[[#This Row],[Confidence Styling Registrations]]</f>
        <v>3</v>
      </c>
      <c r="AO20" s="167">
        <f>tbl_operations[[#This Row],[Interview Styling Completed]]+tbl_operations[[#This Row],[Confidence Styling Completed]]</f>
        <v>2</v>
      </c>
      <c r="AP20" s="167">
        <f>tbl_operations[[#This Row],[Interview Styling Male]]+tbl_operations[[#This Row],[Confidence Styling Male]]</f>
        <v>1</v>
      </c>
      <c r="AQ20" s="167">
        <f>tbl_operations[[#This Row],[Interview Styling Female]]+tbl_operations[[#This Row],[Confidence Styling Female]]</f>
        <v>1</v>
      </c>
      <c r="AR20" s="167">
        <f>tbl_operations[[#This Row],[Interview Styling Non-Binary]]+tbl_operations[[#This Row],[Confidence Styling Non-Binary]]</f>
        <v>0</v>
      </c>
    </row>
    <row r="21" spans="1:44">
      <c r="A21" s="161" t="s">
        <v>20</v>
      </c>
      <c r="B21" s="162" t="s">
        <v>95</v>
      </c>
      <c r="C21" s="161" t="s">
        <v>100</v>
      </c>
      <c r="D21" s="163">
        <v>46050</v>
      </c>
      <c r="E21" s="164" t="str">
        <f t="shared" si="0"/>
        <v>Wednesday</v>
      </c>
      <c r="F21" s="161">
        <v>0</v>
      </c>
      <c r="G21" s="161">
        <v>0</v>
      </c>
      <c r="H21" s="161">
        <v>0</v>
      </c>
      <c r="I21" s="161">
        <v>0</v>
      </c>
      <c r="J21" s="161">
        <v>0</v>
      </c>
      <c r="K21" s="161">
        <v>0</v>
      </c>
      <c r="L21" s="161">
        <v>0</v>
      </c>
      <c r="M21" s="161">
        <v>0</v>
      </c>
      <c r="N21" s="161">
        <v>0</v>
      </c>
      <c r="O21" s="161">
        <v>0</v>
      </c>
      <c r="P21" s="161">
        <v>1</v>
      </c>
      <c r="Q21" s="161">
        <v>0</v>
      </c>
      <c r="R21" s="161">
        <v>0</v>
      </c>
      <c r="S21" s="161">
        <v>0</v>
      </c>
      <c r="T21" s="165">
        <v>16.8</v>
      </c>
      <c r="U21" s="165">
        <v>5.6</v>
      </c>
      <c r="V21" s="161">
        <v>9</v>
      </c>
      <c r="W21" s="166">
        <v>257.09</v>
      </c>
      <c r="X21" s="161">
        <v>1434</v>
      </c>
      <c r="Y21" s="161">
        <v>229</v>
      </c>
      <c r="Z21" s="165">
        <v>1</v>
      </c>
      <c r="AA21" s="165">
        <v>1</v>
      </c>
      <c r="AB21" s="165">
        <v>0</v>
      </c>
      <c r="AC21" s="165">
        <v>2</v>
      </c>
      <c r="AD21" s="165">
        <v>4</v>
      </c>
      <c r="AE21" s="165">
        <v>1</v>
      </c>
      <c r="AF21" s="165">
        <v>9</v>
      </c>
      <c r="AG21" s="165">
        <v>4</v>
      </c>
      <c r="AH21" s="165">
        <v>3.5</v>
      </c>
      <c r="AI21" s="165">
        <v>0</v>
      </c>
      <c r="AJ21" s="165">
        <v>11</v>
      </c>
      <c r="AK21" s="165">
        <v>21</v>
      </c>
      <c r="AL21" s="165">
        <v>3.5</v>
      </c>
      <c r="AM21" s="165">
        <v>43</v>
      </c>
      <c r="AN21" s="167">
        <f>tbl_operations[[#This Row],[Interview Styling Registrations]]+tbl_operations[[#This Row],[Confidence Styling Registrations]]</f>
        <v>0</v>
      </c>
      <c r="AO21" s="167">
        <f>tbl_operations[[#This Row],[Interview Styling Completed]]+tbl_operations[[#This Row],[Confidence Styling Completed]]</f>
        <v>0</v>
      </c>
      <c r="AP21" s="167">
        <f>tbl_operations[[#This Row],[Interview Styling Male]]+tbl_operations[[#This Row],[Confidence Styling Male]]</f>
        <v>0</v>
      </c>
      <c r="AQ21" s="167">
        <f>tbl_operations[[#This Row],[Interview Styling Female]]+tbl_operations[[#This Row],[Confidence Styling Female]]</f>
        <v>0</v>
      </c>
      <c r="AR21" s="167">
        <f>tbl_operations[[#This Row],[Interview Styling Non-Binary]]+tbl_operations[[#This Row],[Confidence Styling Non-Binary]]</f>
        <v>0</v>
      </c>
    </row>
    <row r="22" spans="1:44">
      <c r="A22" s="161" t="s">
        <v>20</v>
      </c>
      <c r="B22" s="162" t="s">
        <v>95</v>
      </c>
      <c r="C22" s="161" t="s">
        <v>100</v>
      </c>
      <c r="D22" s="163">
        <v>46051</v>
      </c>
      <c r="E22" s="164" t="str">
        <f t="shared" si="0"/>
        <v>Thursday</v>
      </c>
      <c r="F22" s="161">
        <v>1</v>
      </c>
      <c r="G22" s="161">
        <v>1</v>
      </c>
      <c r="H22" s="161">
        <v>0</v>
      </c>
      <c r="I22" s="161">
        <v>1</v>
      </c>
      <c r="J22" s="161">
        <v>0</v>
      </c>
      <c r="K22" s="161">
        <v>1</v>
      </c>
      <c r="L22" s="161">
        <v>1</v>
      </c>
      <c r="M22" s="161">
        <v>1</v>
      </c>
      <c r="N22" s="161">
        <v>0</v>
      </c>
      <c r="O22" s="161">
        <v>0</v>
      </c>
      <c r="P22" s="161">
        <v>2</v>
      </c>
      <c r="Q22" s="161">
        <v>0</v>
      </c>
      <c r="R22" s="161">
        <v>0</v>
      </c>
      <c r="S22" s="161">
        <v>0</v>
      </c>
      <c r="T22" s="165">
        <v>25.9</v>
      </c>
      <c r="U22" s="165">
        <v>0</v>
      </c>
      <c r="V22" s="161">
        <v>7</v>
      </c>
      <c r="W22" s="166">
        <v>134.11</v>
      </c>
      <c r="X22" s="161">
        <v>2025</v>
      </c>
      <c r="Y22" s="161">
        <v>247</v>
      </c>
      <c r="Z22" s="165">
        <v>4</v>
      </c>
      <c r="AA22" s="165">
        <v>2</v>
      </c>
      <c r="AB22" s="165">
        <v>1</v>
      </c>
      <c r="AC22" s="165">
        <v>2</v>
      </c>
      <c r="AD22" s="165">
        <v>1</v>
      </c>
      <c r="AE22" s="165">
        <v>2</v>
      </c>
      <c r="AF22" s="165">
        <v>12</v>
      </c>
      <c r="AG22" s="165">
        <v>10</v>
      </c>
      <c r="AH22" s="165">
        <v>10</v>
      </c>
      <c r="AI22" s="165">
        <v>3</v>
      </c>
      <c r="AJ22" s="165">
        <v>11</v>
      </c>
      <c r="AK22" s="165">
        <v>3.5</v>
      </c>
      <c r="AL22" s="165">
        <v>5.5</v>
      </c>
      <c r="AM22" s="165">
        <v>43</v>
      </c>
      <c r="AN22" s="167">
        <f>tbl_operations[[#This Row],[Interview Styling Registrations]]+tbl_operations[[#This Row],[Confidence Styling Registrations]]</f>
        <v>2</v>
      </c>
      <c r="AO22" s="167">
        <f>tbl_operations[[#This Row],[Interview Styling Completed]]+tbl_operations[[#This Row],[Confidence Styling Completed]]</f>
        <v>2</v>
      </c>
      <c r="AP22" s="167">
        <f>tbl_operations[[#This Row],[Interview Styling Male]]+tbl_operations[[#This Row],[Confidence Styling Male]]</f>
        <v>1</v>
      </c>
      <c r="AQ22" s="167">
        <f>tbl_operations[[#This Row],[Interview Styling Female]]+tbl_operations[[#This Row],[Confidence Styling Female]]</f>
        <v>1</v>
      </c>
      <c r="AR22" s="167">
        <f>tbl_operations[[#This Row],[Interview Styling Non-Binary]]+tbl_operations[[#This Row],[Confidence Styling Non-Binary]]</f>
        <v>0</v>
      </c>
    </row>
    <row r="23" spans="1:44">
      <c r="A23" s="161" t="s">
        <v>20</v>
      </c>
      <c r="B23" s="162" t="s">
        <v>95</v>
      </c>
      <c r="C23" s="161" t="s">
        <v>100</v>
      </c>
      <c r="D23" s="163">
        <v>46052</v>
      </c>
      <c r="E23" s="164" t="str">
        <f t="shared" si="0"/>
        <v>Friday</v>
      </c>
      <c r="F23" s="161">
        <v>3</v>
      </c>
      <c r="G23" s="161">
        <v>3</v>
      </c>
      <c r="H23" s="161">
        <v>0</v>
      </c>
      <c r="I23" s="161">
        <v>3</v>
      </c>
      <c r="J23" s="161">
        <v>0</v>
      </c>
      <c r="K23" s="161">
        <v>0</v>
      </c>
      <c r="L23" s="161">
        <v>0</v>
      </c>
      <c r="M23" s="161">
        <v>0</v>
      </c>
      <c r="N23" s="161">
        <v>0</v>
      </c>
      <c r="O23" s="161">
        <v>0</v>
      </c>
      <c r="P23" s="161">
        <v>0</v>
      </c>
      <c r="Q23" s="161">
        <v>0</v>
      </c>
      <c r="R23" s="161">
        <v>0</v>
      </c>
      <c r="S23" s="161">
        <v>0</v>
      </c>
      <c r="T23" s="165">
        <v>50.9</v>
      </c>
      <c r="U23" s="165">
        <v>5.8</v>
      </c>
      <c r="V23" s="161">
        <v>15</v>
      </c>
      <c r="W23" s="166">
        <v>299.35</v>
      </c>
      <c r="X23" s="161">
        <v>1844</v>
      </c>
      <c r="Y23" s="161">
        <v>87</v>
      </c>
      <c r="Z23" s="165">
        <v>2</v>
      </c>
      <c r="AA23" s="165">
        <v>2</v>
      </c>
      <c r="AB23" s="165">
        <v>0</v>
      </c>
      <c r="AC23" s="165">
        <v>0</v>
      </c>
      <c r="AD23" s="165">
        <v>4</v>
      </c>
      <c r="AE23" s="165">
        <v>4</v>
      </c>
      <c r="AF23" s="165">
        <v>12</v>
      </c>
      <c r="AG23" s="165">
        <v>5</v>
      </c>
      <c r="AH23" s="165">
        <v>7.5</v>
      </c>
      <c r="AI23" s="165">
        <v>0</v>
      </c>
      <c r="AJ23" s="165">
        <v>0</v>
      </c>
      <c r="AK23" s="165">
        <v>8.5</v>
      </c>
      <c r="AL23" s="165">
        <v>21.5</v>
      </c>
      <c r="AM23" s="165">
        <v>42.5</v>
      </c>
      <c r="AN23" s="167">
        <f>tbl_operations[[#This Row],[Interview Styling Registrations]]+tbl_operations[[#This Row],[Confidence Styling Registrations]]</f>
        <v>3</v>
      </c>
      <c r="AO23" s="167">
        <f>tbl_operations[[#This Row],[Interview Styling Completed]]+tbl_operations[[#This Row],[Confidence Styling Completed]]</f>
        <v>3</v>
      </c>
      <c r="AP23" s="167">
        <f>tbl_operations[[#This Row],[Interview Styling Male]]+tbl_operations[[#This Row],[Confidence Styling Male]]</f>
        <v>0</v>
      </c>
      <c r="AQ23" s="167">
        <f>tbl_operations[[#This Row],[Interview Styling Female]]+tbl_operations[[#This Row],[Confidence Styling Female]]</f>
        <v>3</v>
      </c>
      <c r="AR23" s="167">
        <f>tbl_operations[[#This Row],[Interview Styling Non-Binary]]+tbl_operations[[#This Row],[Confidence Styling Non-Binary]]</f>
        <v>0</v>
      </c>
    </row>
    <row r="24" spans="1:44">
      <c r="A24" s="161" t="s">
        <v>21</v>
      </c>
      <c r="B24" s="162" t="s">
        <v>95</v>
      </c>
      <c r="C24" s="161" t="s">
        <v>96</v>
      </c>
      <c r="D24" s="163">
        <v>46055</v>
      </c>
      <c r="E24" s="164" t="str">
        <f t="shared" si="0"/>
        <v>Monday</v>
      </c>
      <c r="F24" s="161">
        <v>1</v>
      </c>
      <c r="G24" s="161">
        <v>0</v>
      </c>
      <c r="H24" s="161">
        <v>0</v>
      </c>
      <c r="I24" s="161">
        <v>0</v>
      </c>
      <c r="J24" s="161">
        <v>0</v>
      </c>
      <c r="K24" s="161">
        <v>3</v>
      </c>
      <c r="L24" s="161">
        <v>3</v>
      </c>
      <c r="M24" s="161">
        <v>0</v>
      </c>
      <c r="N24" s="161">
        <v>3</v>
      </c>
      <c r="O24" s="161">
        <v>0</v>
      </c>
      <c r="P24" s="161">
        <v>1</v>
      </c>
      <c r="Q24" s="161">
        <v>0</v>
      </c>
      <c r="R24" s="161">
        <v>0</v>
      </c>
      <c r="S24" s="161">
        <v>0</v>
      </c>
      <c r="T24" s="165">
        <v>26.9</v>
      </c>
      <c r="U24" s="165">
        <v>0</v>
      </c>
      <c r="V24" s="161">
        <v>20</v>
      </c>
      <c r="W24" s="166">
        <v>596.72</v>
      </c>
      <c r="X24" s="161">
        <v>1197</v>
      </c>
      <c r="Y24" s="161">
        <v>170</v>
      </c>
      <c r="Z24" s="165">
        <v>1</v>
      </c>
      <c r="AA24" s="165">
        <v>0</v>
      </c>
      <c r="AB24" s="165">
        <v>2</v>
      </c>
      <c r="AC24" s="165">
        <v>0</v>
      </c>
      <c r="AD24" s="165">
        <v>5</v>
      </c>
      <c r="AE24" s="165">
        <v>3</v>
      </c>
      <c r="AF24" s="165">
        <v>11</v>
      </c>
      <c r="AG24" s="165">
        <v>3.5</v>
      </c>
      <c r="AH24" s="165">
        <v>0</v>
      </c>
      <c r="AI24" s="165">
        <v>8.5</v>
      </c>
      <c r="AJ24" s="165">
        <v>0</v>
      </c>
      <c r="AK24" s="165">
        <v>25</v>
      </c>
      <c r="AL24" s="165">
        <v>8</v>
      </c>
      <c r="AM24" s="165">
        <v>45</v>
      </c>
      <c r="AN24" s="167">
        <f>tbl_operations[[#This Row],[Interview Styling Registrations]]+tbl_operations[[#This Row],[Confidence Styling Registrations]]</f>
        <v>4</v>
      </c>
      <c r="AO24" s="167">
        <f>tbl_operations[[#This Row],[Interview Styling Completed]]+tbl_operations[[#This Row],[Confidence Styling Completed]]</f>
        <v>3</v>
      </c>
      <c r="AP24" s="167">
        <f>tbl_operations[[#This Row],[Interview Styling Male]]+tbl_operations[[#This Row],[Confidence Styling Male]]</f>
        <v>0</v>
      </c>
      <c r="AQ24" s="167">
        <f>tbl_operations[[#This Row],[Interview Styling Female]]+tbl_operations[[#This Row],[Confidence Styling Female]]</f>
        <v>3</v>
      </c>
      <c r="AR24" s="167">
        <f>tbl_operations[[#This Row],[Interview Styling Non-Binary]]+tbl_operations[[#This Row],[Confidence Styling Non-Binary]]</f>
        <v>0</v>
      </c>
    </row>
    <row r="25" spans="1:44">
      <c r="A25" s="161" t="s">
        <v>21</v>
      </c>
      <c r="B25" s="162" t="s">
        <v>95</v>
      </c>
      <c r="C25" s="161" t="s">
        <v>96</v>
      </c>
      <c r="D25" s="163">
        <v>46056</v>
      </c>
      <c r="E25" s="164" t="str">
        <f t="shared" si="0"/>
        <v>Tuesday</v>
      </c>
      <c r="F25" s="161">
        <v>3</v>
      </c>
      <c r="G25" s="161">
        <v>3</v>
      </c>
      <c r="H25" s="161">
        <v>1</v>
      </c>
      <c r="I25" s="161">
        <v>2</v>
      </c>
      <c r="J25" s="161">
        <v>0</v>
      </c>
      <c r="K25" s="161">
        <v>2</v>
      </c>
      <c r="L25" s="161">
        <v>1</v>
      </c>
      <c r="M25" s="161">
        <v>1</v>
      </c>
      <c r="N25" s="161">
        <v>0</v>
      </c>
      <c r="O25" s="161">
        <v>0</v>
      </c>
      <c r="P25" s="161">
        <v>0</v>
      </c>
      <c r="Q25" s="161">
        <v>0</v>
      </c>
      <c r="R25" s="161">
        <v>0</v>
      </c>
      <c r="S25" s="161">
        <v>0</v>
      </c>
      <c r="T25" s="165">
        <v>15.2</v>
      </c>
      <c r="U25" s="165">
        <v>2.3</v>
      </c>
      <c r="V25" s="161">
        <v>19</v>
      </c>
      <c r="W25" s="166">
        <v>395.6</v>
      </c>
      <c r="X25" s="161">
        <v>1945</v>
      </c>
      <c r="Y25" s="161">
        <v>195</v>
      </c>
      <c r="Z25" s="165">
        <v>4</v>
      </c>
      <c r="AA25" s="165">
        <v>0</v>
      </c>
      <c r="AB25" s="165">
        <v>1</v>
      </c>
      <c r="AC25" s="165">
        <v>1</v>
      </c>
      <c r="AD25" s="165">
        <v>4</v>
      </c>
      <c r="AE25" s="165">
        <v>4</v>
      </c>
      <c r="AF25" s="165">
        <v>14</v>
      </c>
      <c r="AG25" s="165">
        <v>20.5</v>
      </c>
      <c r="AH25" s="165">
        <v>0</v>
      </c>
      <c r="AI25" s="165">
        <v>4.5</v>
      </c>
      <c r="AJ25" s="165">
        <v>4.5</v>
      </c>
      <c r="AK25" s="165">
        <v>11.5</v>
      </c>
      <c r="AL25" s="165">
        <v>11.5</v>
      </c>
      <c r="AM25" s="165">
        <v>52.5</v>
      </c>
      <c r="AN25" s="167">
        <f>tbl_operations[[#This Row],[Interview Styling Registrations]]+tbl_operations[[#This Row],[Confidence Styling Registrations]]</f>
        <v>5</v>
      </c>
      <c r="AO25" s="167">
        <f>tbl_operations[[#This Row],[Interview Styling Completed]]+tbl_operations[[#This Row],[Confidence Styling Completed]]</f>
        <v>4</v>
      </c>
      <c r="AP25" s="167">
        <f>tbl_operations[[#This Row],[Interview Styling Male]]+tbl_operations[[#This Row],[Confidence Styling Male]]</f>
        <v>2</v>
      </c>
      <c r="AQ25" s="167">
        <f>tbl_operations[[#This Row],[Interview Styling Female]]+tbl_operations[[#This Row],[Confidence Styling Female]]</f>
        <v>2</v>
      </c>
      <c r="AR25" s="167">
        <f>tbl_operations[[#This Row],[Interview Styling Non-Binary]]+tbl_operations[[#This Row],[Confidence Styling Non-Binary]]</f>
        <v>0</v>
      </c>
    </row>
    <row r="26" spans="1:44">
      <c r="A26" s="161" t="s">
        <v>21</v>
      </c>
      <c r="B26" s="162" t="s">
        <v>95</v>
      </c>
      <c r="C26" s="161" t="s">
        <v>96</v>
      </c>
      <c r="D26" s="163">
        <v>46057</v>
      </c>
      <c r="E26" s="164" t="str">
        <f t="shared" si="0"/>
        <v>Wednesday</v>
      </c>
      <c r="F26" s="161">
        <v>2</v>
      </c>
      <c r="G26" s="161">
        <v>2</v>
      </c>
      <c r="H26" s="161">
        <v>1</v>
      </c>
      <c r="I26" s="161">
        <v>1</v>
      </c>
      <c r="J26" s="161">
        <v>0</v>
      </c>
      <c r="K26" s="161">
        <v>3</v>
      </c>
      <c r="L26" s="161">
        <v>3</v>
      </c>
      <c r="M26" s="161">
        <v>0</v>
      </c>
      <c r="N26" s="161">
        <v>3</v>
      </c>
      <c r="O26" s="161">
        <v>0</v>
      </c>
      <c r="P26" s="161">
        <v>1</v>
      </c>
      <c r="Q26" s="161">
        <v>0</v>
      </c>
      <c r="R26" s="161">
        <v>0</v>
      </c>
      <c r="S26" s="161">
        <v>0</v>
      </c>
      <c r="T26" s="165">
        <v>16.6</v>
      </c>
      <c r="U26" s="165">
        <v>0</v>
      </c>
      <c r="V26" s="161">
        <v>6</v>
      </c>
      <c r="W26" s="166">
        <v>175.84</v>
      </c>
      <c r="X26" s="161">
        <v>603</v>
      </c>
      <c r="Y26" s="161">
        <v>30</v>
      </c>
      <c r="Z26" s="165">
        <v>3</v>
      </c>
      <c r="AA26" s="165">
        <v>0</v>
      </c>
      <c r="AB26" s="165">
        <v>0</v>
      </c>
      <c r="AC26" s="165">
        <v>2</v>
      </c>
      <c r="AD26" s="165">
        <v>2</v>
      </c>
      <c r="AE26" s="165">
        <v>3</v>
      </c>
      <c r="AF26" s="165">
        <v>10</v>
      </c>
      <c r="AG26" s="165">
        <v>6.5</v>
      </c>
      <c r="AH26" s="165">
        <v>0</v>
      </c>
      <c r="AI26" s="165">
        <v>0</v>
      </c>
      <c r="AJ26" s="165">
        <v>5.5</v>
      </c>
      <c r="AK26" s="165">
        <v>8.5</v>
      </c>
      <c r="AL26" s="165">
        <v>7</v>
      </c>
      <c r="AM26" s="165">
        <v>27.5</v>
      </c>
      <c r="AN26" s="167">
        <f>tbl_operations[[#This Row],[Interview Styling Registrations]]+tbl_operations[[#This Row],[Confidence Styling Registrations]]</f>
        <v>5</v>
      </c>
      <c r="AO26" s="167">
        <f>tbl_operations[[#This Row],[Interview Styling Completed]]+tbl_operations[[#This Row],[Confidence Styling Completed]]</f>
        <v>5</v>
      </c>
      <c r="AP26" s="167">
        <f>tbl_operations[[#This Row],[Interview Styling Male]]+tbl_operations[[#This Row],[Confidence Styling Male]]</f>
        <v>1</v>
      </c>
      <c r="AQ26" s="167">
        <f>tbl_operations[[#This Row],[Interview Styling Female]]+tbl_operations[[#This Row],[Confidence Styling Female]]</f>
        <v>4</v>
      </c>
      <c r="AR26" s="167">
        <f>tbl_operations[[#This Row],[Interview Styling Non-Binary]]+tbl_operations[[#This Row],[Confidence Styling Non-Binary]]</f>
        <v>0</v>
      </c>
    </row>
    <row r="27" spans="1:44">
      <c r="A27" s="161" t="s">
        <v>21</v>
      </c>
      <c r="B27" s="162" t="s">
        <v>95</v>
      </c>
      <c r="C27" s="161" t="s">
        <v>96</v>
      </c>
      <c r="D27" s="163">
        <v>46058</v>
      </c>
      <c r="E27" s="164" t="str">
        <f t="shared" si="0"/>
        <v>Thursday</v>
      </c>
      <c r="F27" s="161">
        <v>2</v>
      </c>
      <c r="G27" s="161">
        <v>1</v>
      </c>
      <c r="H27" s="161">
        <v>0</v>
      </c>
      <c r="I27" s="161">
        <v>1</v>
      </c>
      <c r="J27" s="161">
        <v>0</v>
      </c>
      <c r="K27" s="161">
        <v>2</v>
      </c>
      <c r="L27" s="161">
        <v>1</v>
      </c>
      <c r="M27" s="161">
        <v>0</v>
      </c>
      <c r="N27" s="161">
        <v>1</v>
      </c>
      <c r="O27" s="161">
        <v>0</v>
      </c>
      <c r="P27" s="161">
        <v>0</v>
      </c>
      <c r="Q27" s="161">
        <v>1</v>
      </c>
      <c r="R27" s="161">
        <v>0</v>
      </c>
      <c r="S27" s="161">
        <v>0</v>
      </c>
      <c r="T27" s="165">
        <v>33</v>
      </c>
      <c r="U27" s="165">
        <v>0</v>
      </c>
      <c r="V27" s="161">
        <v>20</v>
      </c>
      <c r="W27" s="166">
        <v>372.35</v>
      </c>
      <c r="X27" s="161">
        <v>1793</v>
      </c>
      <c r="Y27" s="161">
        <v>237</v>
      </c>
      <c r="Z27" s="165">
        <v>2</v>
      </c>
      <c r="AA27" s="165">
        <v>0</v>
      </c>
      <c r="AB27" s="165">
        <v>1</v>
      </c>
      <c r="AC27" s="165">
        <v>1</v>
      </c>
      <c r="AD27" s="165">
        <v>5</v>
      </c>
      <c r="AE27" s="165">
        <v>4</v>
      </c>
      <c r="AF27" s="165">
        <v>13</v>
      </c>
      <c r="AG27" s="165">
        <v>7</v>
      </c>
      <c r="AH27" s="165">
        <v>0</v>
      </c>
      <c r="AI27" s="165">
        <v>3.5</v>
      </c>
      <c r="AJ27" s="165">
        <v>5</v>
      </c>
      <c r="AK27" s="165">
        <v>16.5</v>
      </c>
      <c r="AL27" s="165">
        <v>20</v>
      </c>
      <c r="AM27" s="165">
        <v>52</v>
      </c>
      <c r="AN27" s="167">
        <f>tbl_operations[[#This Row],[Interview Styling Registrations]]+tbl_operations[[#This Row],[Confidence Styling Registrations]]</f>
        <v>4</v>
      </c>
      <c r="AO27" s="167">
        <f>tbl_operations[[#This Row],[Interview Styling Completed]]+tbl_operations[[#This Row],[Confidence Styling Completed]]</f>
        <v>2</v>
      </c>
      <c r="AP27" s="167">
        <f>tbl_operations[[#This Row],[Interview Styling Male]]+tbl_operations[[#This Row],[Confidence Styling Male]]</f>
        <v>0</v>
      </c>
      <c r="AQ27" s="167">
        <f>tbl_operations[[#This Row],[Interview Styling Female]]+tbl_operations[[#This Row],[Confidence Styling Female]]</f>
        <v>2</v>
      </c>
      <c r="AR27" s="167">
        <f>tbl_operations[[#This Row],[Interview Styling Non-Binary]]+tbl_operations[[#This Row],[Confidence Styling Non-Binary]]</f>
        <v>0</v>
      </c>
    </row>
    <row r="28" spans="1:44">
      <c r="A28" s="161" t="s">
        <v>21</v>
      </c>
      <c r="B28" s="162" t="s">
        <v>95</v>
      </c>
      <c r="C28" s="161" t="s">
        <v>96</v>
      </c>
      <c r="D28" s="163">
        <v>46059</v>
      </c>
      <c r="E28" s="164" t="str">
        <f t="shared" si="0"/>
        <v>Friday</v>
      </c>
      <c r="F28" s="161">
        <v>4</v>
      </c>
      <c r="G28" s="161">
        <v>3</v>
      </c>
      <c r="H28" s="161">
        <v>1</v>
      </c>
      <c r="I28" s="161">
        <v>2</v>
      </c>
      <c r="J28" s="161">
        <v>0</v>
      </c>
      <c r="K28" s="161">
        <v>1</v>
      </c>
      <c r="L28" s="161">
        <v>1</v>
      </c>
      <c r="M28" s="161">
        <v>0</v>
      </c>
      <c r="N28" s="161">
        <v>1</v>
      </c>
      <c r="O28" s="161">
        <v>0</v>
      </c>
      <c r="P28" s="161">
        <v>1</v>
      </c>
      <c r="Q28" s="161">
        <v>0</v>
      </c>
      <c r="R28" s="161">
        <v>0</v>
      </c>
      <c r="S28" s="161">
        <v>0</v>
      </c>
      <c r="T28" s="165">
        <v>55.2</v>
      </c>
      <c r="U28" s="165">
        <v>0</v>
      </c>
      <c r="V28" s="161">
        <v>14</v>
      </c>
      <c r="W28" s="166">
        <v>271.02</v>
      </c>
      <c r="X28" s="161">
        <v>944</v>
      </c>
      <c r="Y28" s="161">
        <v>107</v>
      </c>
      <c r="Z28" s="165">
        <v>2</v>
      </c>
      <c r="AA28" s="165">
        <v>2</v>
      </c>
      <c r="AB28" s="165">
        <v>2</v>
      </c>
      <c r="AC28" s="165">
        <v>1</v>
      </c>
      <c r="AD28" s="165">
        <v>5</v>
      </c>
      <c r="AE28" s="165">
        <v>3</v>
      </c>
      <c r="AF28" s="165">
        <v>15</v>
      </c>
      <c r="AG28" s="165">
        <v>5</v>
      </c>
      <c r="AH28" s="165">
        <v>10.5</v>
      </c>
      <c r="AI28" s="165">
        <v>10</v>
      </c>
      <c r="AJ28" s="165">
        <v>3</v>
      </c>
      <c r="AK28" s="165">
        <v>16.5</v>
      </c>
      <c r="AL28" s="165">
        <v>6.5</v>
      </c>
      <c r="AM28" s="165">
        <v>51.5</v>
      </c>
      <c r="AN28" s="167">
        <f>tbl_operations[[#This Row],[Interview Styling Registrations]]+tbl_operations[[#This Row],[Confidence Styling Registrations]]</f>
        <v>5</v>
      </c>
      <c r="AO28" s="167">
        <f>tbl_operations[[#This Row],[Interview Styling Completed]]+tbl_operations[[#This Row],[Confidence Styling Completed]]</f>
        <v>4</v>
      </c>
      <c r="AP28" s="167">
        <f>tbl_operations[[#This Row],[Interview Styling Male]]+tbl_operations[[#This Row],[Confidence Styling Male]]</f>
        <v>1</v>
      </c>
      <c r="AQ28" s="167">
        <f>tbl_operations[[#This Row],[Interview Styling Female]]+tbl_operations[[#This Row],[Confidence Styling Female]]</f>
        <v>3</v>
      </c>
      <c r="AR28" s="167">
        <f>tbl_operations[[#This Row],[Interview Styling Non-Binary]]+tbl_operations[[#This Row],[Confidence Styling Non-Binary]]</f>
        <v>0</v>
      </c>
    </row>
    <row r="29" spans="1:44">
      <c r="A29" s="161" t="s">
        <v>21</v>
      </c>
      <c r="B29" s="162" t="s">
        <v>95</v>
      </c>
      <c r="C29" s="161" t="s">
        <v>97</v>
      </c>
      <c r="D29" s="163">
        <v>46062</v>
      </c>
      <c r="E29" s="164" t="str">
        <f t="shared" si="0"/>
        <v>Monday</v>
      </c>
      <c r="F29" s="161">
        <v>4</v>
      </c>
      <c r="G29" s="161">
        <v>4</v>
      </c>
      <c r="H29" s="161">
        <v>0</v>
      </c>
      <c r="I29" s="161">
        <v>4</v>
      </c>
      <c r="J29" s="161">
        <v>0</v>
      </c>
      <c r="K29" s="161">
        <v>1</v>
      </c>
      <c r="L29" s="161">
        <v>1</v>
      </c>
      <c r="M29" s="161">
        <v>1</v>
      </c>
      <c r="N29" s="161">
        <v>0</v>
      </c>
      <c r="O29" s="161">
        <v>0</v>
      </c>
      <c r="P29" s="161">
        <v>0</v>
      </c>
      <c r="Q29" s="161">
        <v>1</v>
      </c>
      <c r="R29" s="161">
        <v>0</v>
      </c>
      <c r="S29" s="161">
        <v>0</v>
      </c>
      <c r="T29" s="165">
        <v>0</v>
      </c>
      <c r="U29" s="165">
        <v>15.9</v>
      </c>
      <c r="V29" s="161">
        <v>22</v>
      </c>
      <c r="W29" s="166">
        <v>437.38</v>
      </c>
      <c r="X29" s="161">
        <v>1799</v>
      </c>
      <c r="Y29" s="161">
        <v>122</v>
      </c>
      <c r="Z29" s="165">
        <v>2</v>
      </c>
      <c r="AA29" s="165">
        <v>1</v>
      </c>
      <c r="AB29" s="165">
        <v>0</v>
      </c>
      <c r="AC29" s="165">
        <v>2</v>
      </c>
      <c r="AD29" s="165">
        <v>4</v>
      </c>
      <c r="AE29" s="165">
        <v>1</v>
      </c>
      <c r="AF29" s="165">
        <v>10</v>
      </c>
      <c r="AG29" s="165">
        <v>8.5</v>
      </c>
      <c r="AH29" s="165">
        <v>3.5</v>
      </c>
      <c r="AI29" s="165">
        <v>0</v>
      </c>
      <c r="AJ29" s="165">
        <v>7.5</v>
      </c>
      <c r="AK29" s="165">
        <v>12</v>
      </c>
      <c r="AL29" s="165">
        <v>4.5</v>
      </c>
      <c r="AM29" s="165">
        <v>36</v>
      </c>
      <c r="AN29" s="167">
        <f>tbl_operations[[#This Row],[Interview Styling Registrations]]+tbl_operations[[#This Row],[Confidence Styling Registrations]]</f>
        <v>5</v>
      </c>
      <c r="AO29" s="167">
        <f>tbl_operations[[#This Row],[Interview Styling Completed]]+tbl_operations[[#This Row],[Confidence Styling Completed]]</f>
        <v>5</v>
      </c>
      <c r="AP29" s="167">
        <f>tbl_operations[[#This Row],[Interview Styling Male]]+tbl_operations[[#This Row],[Confidence Styling Male]]</f>
        <v>1</v>
      </c>
      <c r="AQ29" s="167">
        <f>tbl_operations[[#This Row],[Interview Styling Female]]+tbl_operations[[#This Row],[Confidence Styling Female]]</f>
        <v>4</v>
      </c>
      <c r="AR29" s="167">
        <f>tbl_operations[[#This Row],[Interview Styling Non-Binary]]+tbl_operations[[#This Row],[Confidence Styling Non-Binary]]</f>
        <v>0</v>
      </c>
    </row>
    <row r="30" spans="1:44">
      <c r="A30" s="161" t="s">
        <v>21</v>
      </c>
      <c r="B30" s="162" t="s">
        <v>95</v>
      </c>
      <c r="C30" s="161" t="s">
        <v>97</v>
      </c>
      <c r="D30" s="163">
        <v>46063</v>
      </c>
      <c r="E30" s="164" t="str">
        <f t="shared" si="0"/>
        <v>Tuesday</v>
      </c>
      <c r="F30" s="161">
        <v>2</v>
      </c>
      <c r="G30" s="161">
        <v>1</v>
      </c>
      <c r="H30" s="161">
        <v>1</v>
      </c>
      <c r="I30" s="161">
        <v>0</v>
      </c>
      <c r="J30" s="161">
        <v>0</v>
      </c>
      <c r="K30" s="161">
        <v>3</v>
      </c>
      <c r="L30" s="161">
        <v>3</v>
      </c>
      <c r="M30" s="161">
        <v>0</v>
      </c>
      <c r="N30" s="161">
        <v>3</v>
      </c>
      <c r="O30" s="161">
        <v>0</v>
      </c>
      <c r="P30" s="161">
        <v>1</v>
      </c>
      <c r="Q30" s="161">
        <v>0</v>
      </c>
      <c r="R30" s="161">
        <v>1</v>
      </c>
      <c r="S30" s="161">
        <v>0</v>
      </c>
      <c r="T30" s="165">
        <v>29.5</v>
      </c>
      <c r="U30" s="165">
        <v>0</v>
      </c>
      <c r="V30" s="161">
        <v>16</v>
      </c>
      <c r="W30" s="166">
        <v>299.31</v>
      </c>
      <c r="X30" s="161">
        <v>1000</v>
      </c>
      <c r="Y30" s="161">
        <v>146</v>
      </c>
      <c r="Z30" s="165">
        <v>4</v>
      </c>
      <c r="AA30" s="165">
        <v>1</v>
      </c>
      <c r="AB30" s="165">
        <v>1</v>
      </c>
      <c r="AC30" s="165">
        <v>0</v>
      </c>
      <c r="AD30" s="165">
        <v>1</v>
      </c>
      <c r="AE30" s="165">
        <v>2</v>
      </c>
      <c r="AF30" s="165">
        <v>9</v>
      </c>
      <c r="AG30" s="165">
        <v>18.5</v>
      </c>
      <c r="AH30" s="165">
        <v>4.5</v>
      </c>
      <c r="AI30" s="165">
        <v>4</v>
      </c>
      <c r="AJ30" s="165">
        <v>0</v>
      </c>
      <c r="AK30" s="165">
        <v>4.5</v>
      </c>
      <c r="AL30" s="165">
        <v>5.5</v>
      </c>
      <c r="AM30" s="165">
        <v>37</v>
      </c>
      <c r="AN30" s="167">
        <f>tbl_operations[[#This Row],[Interview Styling Registrations]]+tbl_operations[[#This Row],[Confidence Styling Registrations]]</f>
        <v>5</v>
      </c>
      <c r="AO30" s="167">
        <f>tbl_operations[[#This Row],[Interview Styling Completed]]+tbl_operations[[#This Row],[Confidence Styling Completed]]</f>
        <v>4</v>
      </c>
      <c r="AP30" s="167">
        <f>tbl_operations[[#This Row],[Interview Styling Male]]+tbl_operations[[#This Row],[Confidence Styling Male]]</f>
        <v>1</v>
      </c>
      <c r="AQ30" s="167">
        <f>tbl_operations[[#This Row],[Interview Styling Female]]+tbl_operations[[#This Row],[Confidence Styling Female]]</f>
        <v>3</v>
      </c>
      <c r="AR30" s="167">
        <f>tbl_operations[[#This Row],[Interview Styling Non-Binary]]+tbl_operations[[#This Row],[Confidence Styling Non-Binary]]</f>
        <v>0</v>
      </c>
    </row>
    <row r="31" spans="1:44">
      <c r="A31" s="161" t="s">
        <v>21</v>
      </c>
      <c r="B31" s="162" t="s">
        <v>95</v>
      </c>
      <c r="C31" s="161" t="s">
        <v>97</v>
      </c>
      <c r="D31" s="163">
        <v>46064</v>
      </c>
      <c r="E31" s="164" t="str">
        <f t="shared" si="0"/>
        <v>Wednesday</v>
      </c>
      <c r="F31" s="161">
        <v>4</v>
      </c>
      <c r="G31" s="161">
        <v>3</v>
      </c>
      <c r="H31" s="161">
        <v>1</v>
      </c>
      <c r="I31" s="161">
        <v>2</v>
      </c>
      <c r="J31" s="161">
        <v>0</v>
      </c>
      <c r="K31" s="161">
        <v>1</v>
      </c>
      <c r="L31" s="161">
        <v>1</v>
      </c>
      <c r="M31" s="161">
        <v>0</v>
      </c>
      <c r="N31" s="161">
        <v>1</v>
      </c>
      <c r="O31" s="161">
        <v>0</v>
      </c>
      <c r="P31" s="161">
        <v>2</v>
      </c>
      <c r="Q31" s="161">
        <v>1</v>
      </c>
      <c r="R31" s="161">
        <v>1</v>
      </c>
      <c r="S31" s="161">
        <v>0</v>
      </c>
      <c r="T31" s="165">
        <v>56</v>
      </c>
      <c r="U31" s="165">
        <v>0</v>
      </c>
      <c r="V31" s="161">
        <v>19</v>
      </c>
      <c r="W31" s="166">
        <v>318.2</v>
      </c>
      <c r="X31" s="161">
        <v>1717</v>
      </c>
      <c r="Y31" s="161">
        <v>96</v>
      </c>
      <c r="Z31" s="165">
        <v>1</v>
      </c>
      <c r="AA31" s="165">
        <v>1</v>
      </c>
      <c r="AB31" s="165">
        <v>1</v>
      </c>
      <c r="AC31" s="165">
        <v>1</v>
      </c>
      <c r="AD31" s="165">
        <v>4</v>
      </c>
      <c r="AE31" s="165">
        <v>4</v>
      </c>
      <c r="AF31" s="165">
        <v>12</v>
      </c>
      <c r="AG31" s="165">
        <v>4</v>
      </c>
      <c r="AH31" s="165">
        <v>5.5</v>
      </c>
      <c r="AI31" s="165">
        <v>2.5</v>
      </c>
      <c r="AJ31" s="165">
        <v>3</v>
      </c>
      <c r="AK31" s="165">
        <v>16.5</v>
      </c>
      <c r="AL31" s="165">
        <v>8.5</v>
      </c>
      <c r="AM31" s="165">
        <v>40</v>
      </c>
      <c r="AN31" s="167">
        <f>tbl_operations[[#This Row],[Interview Styling Registrations]]+tbl_operations[[#This Row],[Confidence Styling Registrations]]</f>
        <v>5</v>
      </c>
      <c r="AO31" s="167">
        <f>tbl_operations[[#This Row],[Interview Styling Completed]]+tbl_operations[[#This Row],[Confidence Styling Completed]]</f>
        <v>4</v>
      </c>
      <c r="AP31" s="167">
        <f>tbl_operations[[#This Row],[Interview Styling Male]]+tbl_operations[[#This Row],[Confidence Styling Male]]</f>
        <v>1</v>
      </c>
      <c r="AQ31" s="167">
        <f>tbl_operations[[#This Row],[Interview Styling Female]]+tbl_operations[[#This Row],[Confidence Styling Female]]</f>
        <v>3</v>
      </c>
      <c r="AR31" s="167">
        <f>tbl_operations[[#This Row],[Interview Styling Non-Binary]]+tbl_operations[[#This Row],[Confidence Styling Non-Binary]]</f>
        <v>0</v>
      </c>
    </row>
    <row r="32" spans="1:44">
      <c r="A32" s="161" t="s">
        <v>21</v>
      </c>
      <c r="B32" s="162" t="s">
        <v>95</v>
      </c>
      <c r="C32" s="161" t="s">
        <v>97</v>
      </c>
      <c r="D32" s="163">
        <v>46065</v>
      </c>
      <c r="E32" s="164" t="str">
        <f t="shared" si="0"/>
        <v>Thursday</v>
      </c>
      <c r="F32" s="161">
        <v>0</v>
      </c>
      <c r="G32" s="161">
        <v>0</v>
      </c>
      <c r="H32" s="161">
        <v>0</v>
      </c>
      <c r="I32" s="161">
        <v>0</v>
      </c>
      <c r="J32" s="161">
        <v>0</v>
      </c>
      <c r="K32" s="161">
        <v>3</v>
      </c>
      <c r="L32" s="161">
        <v>2</v>
      </c>
      <c r="M32" s="161">
        <v>1</v>
      </c>
      <c r="N32" s="161">
        <v>1</v>
      </c>
      <c r="O32" s="161">
        <v>0</v>
      </c>
      <c r="P32" s="161">
        <v>0</v>
      </c>
      <c r="Q32" s="161">
        <v>0</v>
      </c>
      <c r="R32" s="161">
        <v>0</v>
      </c>
      <c r="S32" s="161">
        <v>0</v>
      </c>
      <c r="T32" s="165">
        <v>58.4</v>
      </c>
      <c r="U32" s="165">
        <v>0</v>
      </c>
      <c r="V32" s="161">
        <v>4</v>
      </c>
      <c r="W32" s="166">
        <v>85.12</v>
      </c>
      <c r="X32" s="161">
        <v>711</v>
      </c>
      <c r="Y32" s="161">
        <v>34</v>
      </c>
      <c r="Z32" s="165">
        <v>1</v>
      </c>
      <c r="AA32" s="165">
        <v>1</v>
      </c>
      <c r="AB32" s="165">
        <v>2</v>
      </c>
      <c r="AC32" s="165">
        <v>2</v>
      </c>
      <c r="AD32" s="165">
        <v>2</v>
      </c>
      <c r="AE32" s="165">
        <v>4</v>
      </c>
      <c r="AF32" s="165">
        <v>12</v>
      </c>
      <c r="AG32" s="165">
        <v>4</v>
      </c>
      <c r="AH32" s="165">
        <v>3</v>
      </c>
      <c r="AI32" s="165">
        <v>7.5</v>
      </c>
      <c r="AJ32" s="165">
        <v>10</v>
      </c>
      <c r="AK32" s="165">
        <v>9</v>
      </c>
      <c r="AL32" s="165">
        <v>18.5</v>
      </c>
      <c r="AM32" s="165">
        <v>52</v>
      </c>
      <c r="AN32" s="167">
        <f>tbl_operations[[#This Row],[Interview Styling Registrations]]+tbl_operations[[#This Row],[Confidence Styling Registrations]]</f>
        <v>3</v>
      </c>
      <c r="AO32" s="167">
        <f>tbl_operations[[#This Row],[Interview Styling Completed]]+tbl_operations[[#This Row],[Confidence Styling Completed]]</f>
        <v>2</v>
      </c>
      <c r="AP32" s="167">
        <f>tbl_operations[[#This Row],[Interview Styling Male]]+tbl_operations[[#This Row],[Confidence Styling Male]]</f>
        <v>1</v>
      </c>
      <c r="AQ32" s="167">
        <f>tbl_operations[[#This Row],[Interview Styling Female]]+tbl_operations[[#This Row],[Confidence Styling Female]]</f>
        <v>1</v>
      </c>
      <c r="AR32" s="167">
        <f>tbl_operations[[#This Row],[Interview Styling Non-Binary]]+tbl_operations[[#This Row],[Confidence Styling Non-Binary]]</f>
        <v>0</v>
      </c>
    </row>
    <row r="33" spans="1:44">
      <c r="A33" s="161" t="s">
        <v>21</v>
      </c>
      <c r="B33" s="162" t="s">
        <v>95</v>
      </c>
      <c r="C33" s="161" t="s">
        <v>97</v>
      </c>
      <c r="D33" s="163">
        <v>46066</v>
      </c>
      <c r="E33" s="164" t="str">
        <f t="shared" si="0"/>
        <v>Friday</v>
      </c>
      <c r="F33" s="161">
        <v>2</v>
      </c>
      <c r="G33" s="161">
        <v>2</v>
      </c>
      <c r="H33" s="161">
        <v>1</v>
      </c>
      <c r="I33" s="161">
        <v>1</v>
      </c>
      <c r="J33" s="161">
        <v>0</v>
      </c>
      <c r="K33" s="161">
        <v>1</v>
      </c>
      <c r="L33" s="161">
        <v>0</v>
      </c>
      <c r="M33" s="161">
        <v>0</v>
      </c>
      <c r="N33" s="161">
        <v>0</v>
      </c>
      <c r="O33" s="161">
        <v>0</v>
      </c>
      <c r="P33" s="161">
        <v>0</v>
      </c>
      <c r="Q33" s="161">
        <v>0</v>
      </c>
      <c r="R33" s="161">
        <v>0</v>
      </c>
      <c r="S33" s="161">
        <v>0</v>
      </c>
      <c r="T33" s="165">
        <v>0</v>
      </c>
      <c r="U33" s="165">
        <v>0</v>
      </c>
      <c r="V33" s="161">
        <v>3</v>
      </c>
      <c r="W33" s="166">
        <v>73.16</v>
      </c>
      <c r="X33" s="161">
        <v>1359</v>
      </c>
      <c r="Y33" s="161">
        <v>157</v>
      </c>
      <c r="Z33" s="165">
        <v>3</v>
      </c>
      <c r="AA33" s="165">
        <v>2</v>
      </c>
      <c r="AB33" s="165">
        <v>2</v>
      </c>
      <c r="AC33" s="165">
        <v>0</v>
      </c>
      <c r="AD33" s="165">
        <v>4</v>
      </c>
      <c r="AE33" s="165">
        <v>2</v>
      </c>
      <c r="AF33" s="165">
        <v>13</v>
      </c>
      <c r="AG33" s="165">
        <v>9.5</v>
      </c>
      <c r="AH33" s="165">
        <v>10.5</v>
      </c>
      <c r="AI33" s="165">
        <v>6</v>
      </c>
      <c r="AJ33" s="165">
        <v>0</v>
      </c>
      <c r="AK33" s="165">
        <v>20</v>
      </c>
      <c r="AL33" s="165">
        <v>8</v>
      </c>
      <c r="AM33" s="165">
        <v>54</v>
      </c>
      <c r="AN33" s="167">
        <f>tbl_operations[[#This Row],[Interview Styling Registrations]]+tbl_operations[[#This Row],[Confidence Styling Registrations]]</f>
        <v>3</v>
      </c>
      <c r="AO33" s="167">
        <f>tbl_operations[[#This Row],[Interview Styling Completed]]+tbl_operations[[#This Row],[Confidence Styling Completed]]</f>
        <v>2</v>
      </c>
      <c r="AP33" s="167">
        <f>tbl_operations[[#This Row],[Interview Styling Male]]+tbl_operations[[#This Row],[Confidence Styling Male]]</f>
        <v>1</v>
      </c>
      <c r="AQ33" s="167">
        <f>tbl_operations[[#This Row],[Interview Styling Female]]+tbl_operations[[#This Row],[Confidence Styling Female]]</f>
        <v>1</v>
      </c>
      <c r="AR33" s="167">
        <f>tbl_operations[[#This Row],[Interview Styling Non-Binary]]+tbl_operations[[#This Row],[Confidence Styling Non-Binary]]</f>
        <v>0</v>
      </c>
    </row>
    <row r="34" spans="1:44">
      <c r="A34" s="161" t="s">
        <v>21</v>
      </c>
      <c r="B34" s="162" t="s">
        <v>95</v>
      </c>
      <c r="C34" s="161" t="s">
        <v>98</v>
      </c>
      <c r="D34" s="163">
        <v>46069</v>
      </c>
      <c r="E34" s="164" t="str">
        <f t="shared" si="0"/>
        <v>Monday</v>
      </c>
      <c r="F34" s="161">
        <v>1</v>
      </c>
      <c r="G34" s="161">
        <v>0</v>
      </c>
      <c r="H34" s="161">
        <v>0</v>
      </c>
      <c r="I34" s="161">
        <v>0</v>
      </c>
      <c r="J34" s="161">
        <v>0</v>
      </c>
      <c r="K34" s="161">
        <v>3</v>
      </c>
      <c r="L34" s="161">
        <v>3</v>
      </c>
      <c r="M34" s="161">
        <v>1</v>
      </c>
      <c r="N34" s="161">
        <v>2</v>
      </c>
      <c r="O34" s="161">
        <v>0</v>
      </c>
      <c r="P34" s="161">
        <v>0</v>
      </c>
      <c r="Q34" s="161">
        <v>0</v>
      </c>
      <c r="R34" s="161">
        <v>0</v>
      </c>
      <c r="S34" s="161">
        <v>0</v>
      </c>
      <c r="T34" s="165">
        <v>0</v>
      </c>
      <c r="U34" s="165">
        <v>6.2</v>
      </c>
      <c r="V34" s="161">
        <v>10</v>
      </c>
      <c r="W34" s="166">
        <v>236.8</v>
      </c>
      <c r="X34" s="161">
        <v>1386</v>
      </c>
      <c r="Y34" s="161">
        <v>75</v>
      </c>
      <c r="Z34" s="165">
        <v>1</v>
      </c>
      <c r="AA34" s="165">
        <v>0</v>
      </c>
      <c r="AB34" s="165">
        <v>1</v>
      </c>
      <c r="AC34" s="165">
        <v>2</v>
      </c>
      <c r="AD34" s="165">
        <v>4</v>
      </c>
      <c r="AE34" s="165">
        <v>4</v>
      </c>
      <c r="AF34" s="165">
        <v>12</v>
      </c>
      <c r="AG34" s="165">
        <v>5</v>
      </c>
      <c r="AH34" s="165">
        <v>0</v>
      </c>
      <c r="AI34" s="165">
        <v>2</v>
      </c>
      <c r="AJ34" s="165">
        <v>4.5</v>
      </c>
      <c r="AK34" s="165">
        <v>18.5</v>
      </c>
      <c r="AL34" s="165">
        <v>21</v>
      </c>
      <c r="AM34" s="165">
        <v>51</v>
      </c>
      <c r="AN34" s="167">
        <f>tbl_operations[[#This Row],[Interview Styling Registrations]]+tbl_operations[[#This Row],[Confidence Styling Registrations]]</f>
        <v>4</v>
      </c>
      <c r="AO34" s="167">
        <f>tbl_operations[[#This Row],[Interview Styling Completed]]+tbl_operations[[#This Row],[Confidence Styling Completed]]</f>
        <v>3</v>
      </c>
      <c r="AP34" s="167">
        <f>tbl_operations[[#This Row],[Interview Styling Male]]+tbl_operations[[#This Row],[Confidence Styling Male]]</f>
        <v>1</v>
      </c>
      <c r="AQ34" s="167">
        <f>tbl_operations[[#This Row],[Interview Styling Female]]+tbl_operations[[#This Row],[Confidence Styling Female]]</f>
        <v>2</v>
      </c>
      <c r="AR34" s="167">
        <f>tbl_operations[[#This Row],[Interview Styling Non-Binary]]+tbl_operations[[#This Row],[Confidence Styling Non-Binary]]</f>
        <v>0</v>
      </c>
    </row>
    <row r="35" spans="1:44">
      <c r="A35" s="161" t="s">
        <v>21</v>
      </c>
      <c r="B35" s="162" t="s">
        <v>95</v>
      </c>
      <c r="C35" s="161" t="s">
        <v>98</v>
      </c>
      <c r="D35" s="163">
        <v>46070</v>
      </c>
      <c r="E35" s="164" t="str">
        <f t="shared" si="0"/>
        <v>Tuesday</v>
      </c>
      <c r="F35" s="161">
        <v>0</v>
      </c>
      <c r="G35" s="161">
        <v>0</v>
      </c>
      <c r="H35" s="161">
        <v>0</v>
      </c>
      <c r="I35" s="161">
        <v>0</v>
      </c>
      <c r="J35" s="161">
        <v>0</v>
      </c>
      <c r="K35" s="161">
        <v>2</v>
      </c>
      <c r="L35" s="161">
        <v>2</v>
      </c>
      <c r="M35" s="161">
        <v>0</v>
      </c>
      <c r="N35" s="161">
        <v>2</v>
      </c>
      <c r="O35" s="161">
        <v>0</v>
      </c>
      <c r="P35" s="161">
        <v>0</v>
      </c>
      <c r="Q35" s="161">
        <v>0</v>
      </c>
      <c r="R35" s="161">
        <v>1</v>
      </c>
      <c r="S35" s="161">
        <v>1</v>
      </c>
      <c r="T35" s="165">
        <v>63.8</v>
      </c>
      <c r="U35" s="165">
        <v>0</v>
      </c>
      <c r="V35" s="161">
        <v>19</v>
      </c>
      <c r="W35" s="166">
        <v>545.29</v>
      </c>
      <c r="X35" s="161">
        <v>1626</v>
      </c>
      <c r="Y35" s="161">
        <v>56</v>
      </c>
      <c r="Z35" s="165">
        <v>2</v>
      </c>
      <c r="AA35" s="165">
        <v>0</v>
      </c>
      <c r="AB35" s="165">
        <v>0</v>
      </c>
      <c r="AC35" s="165">
        <v>1</v>
      </c>
      <c r="AD35" s="165">
        <v>3</v>
      </c>
      <c r="AE35" s="165">
        <v>1</v>
      </c>
      <c r="AF35" s="165">
        <v>7</v>
      </c>
      <c r="AG35" s="165">
        <v>9</v>
      </c>
      <c r="AH35" s="165">
        <v>0</v>
      </c>
      <c r="AI35" s="165">
        <v>0</v>
      </c>
      <c r="AJ35" s="165">
        <v>2</v>
      </c>
      <c r="AK35" s="165">
        <v>7</v>
      </c>
      <c r="AL35" s="165">
        <v>3.5</v>
      </c>
      <c r="AM35" s="165">
        <v>21.5</v>
      </c>
      <c r="AN35" s="167">
        <f>tbl_operations[[#This Row],[Interview Styling Registrations]]+tbl_operations[[#This Row],[Confidence Styling Registrations]]</f>
        <v>2</v>
      </c>
      <c r="AO35" s="167">
        <f>tbl_operations[[#This Row],[Interview Styling Completed]]+tbl_operations[[#This Row],[Confidence Styling Completed]]</f>
        <v>2</v>
      </c>
      <c r="AP35" s="167">
        <f>tbl_operations[[#This Row],[Interview Styling Male]]+tbl_operations[[#This Row],[Confidence Styling Male]]</f>
        <v>0</v>
      </c>
      <c r="AQ35" s="167">
        <f>tbl_operations[[#This Row],[Interview Styling Female]]+tbl_operations[[#This Row],[Confidence Styling Female]]</f>
        <v>2</v>
      </c>
      <c r="AR35" s="167">
        <f>tbl_operations[[#This Row],[Interview Styling Non-Binary]]+tbl_operations[[#This Row],[Confidence Styling Non-Binary]]</f>
        <v>0</v>
      </c>
    </row>
    <row r="36" spans="1:44">
      <c r="A36" s="161" t="s">
        <v>21</v>
      </c>
      <c r="B36" s="162" t="s">
        <v>95</v>
      </c>
      <c r="C36" s="161" t="s">
        <v>98</v>
      </c>
      <c r="D36" s="163">
        <v>46071</v>
      </c>
      <c r="E36" s="164" t="str">
        <f t="shared" si="0"/>
        <v>Wednesday</v>
      </c>
      <c r="F36" s="161">
        <v>0</v>
      </c>
      <c r="G36" s="161">
        <v>0</v>
      </c>
      <c r="H36" s="161">
        <v>0</v>
      </c>
      <c r="I36" s="161">
        <v>0</v>
      </c>
      <c r="J36" s="161">
        <v>0</v>
      </c>
      <c r="K36" s="161">
        <v>0</v>
      </c>
      <c r="L36" s="161">
        <v>0</v>
      </c>
      <c r="M36" s="161">
        <v>0</v>
      </c>
      <c r="N36" s="161">
        <v>0</v>
      </c>
      <c r="O36" s="161">
        <v>0</v>
      </c>
      <c r="P36" s="161">
        <v>0</v>
      </c>
      <c r="Q36" s="161">
        <v>1</v>
      </c>
      <c r="R36" s="161">
        <v>1</v>
      </c>
      <c r="S36" s="161">
        <v>0</v>
      </c>
      <c r="T36" s="165">
        <v>44.6</v>
      </c>
      <c r="U36" s="165">
        <v>0</v>
      </c>
      <c r="V36" s="161">
        <v>20</v>
      </c>
      <c r="W36" s="166">
        <v>417.44</v>
      </c>
      <c r="X36" s="161">
        <v>1336</v>
      </c>
      <c r="Y36" s="161">
        <v>128</v>
      </c>
      <c r="Z36" s="165">
        <v>3</v>
      </c>
      <c r="AA36" s="165">
        <v>0</v>
      </c>
      <c r="AB36" s="165">
        <v>0</v>
      </c>
      <c r="AC36" s="165">
        <v>1</v>
      </c>
      <c r="AD36" s="165">
        <v>5</v>
      </c>
      <c r="AE36" s="165">
        <v>4</v>
      </c>
      <c r="AF36" s="165">
        <v>13</v>
      </c>
      <c r="AG36" s="165">
        <v>9</v>
      </c>
      <c r="AH36" s="165">
        <v>0</v>
      </c>
      <c r="AI36" s="165">
        <v>0</v>
      </c>
      <c r="AJ36" s="165">
        <v>3</v>
      </c>
      <c r="AK36" s="165">
        <v>23</v>
      </c>
      <c r="AL36" s="165">
        <v>17.5</v>
      </c>
      <c r="AM36" s="165">
        <v>52.5</v>
      </c>
      <c r="AN36" s="167">
        <f>tbl_operations[[#This Row],[Interview Styling Registrations]]+tbl_operations[[#This Row],[Confidence Styling Registrations]]</f>
        <v>0</v>
      </c>
      <c r="AO36" s="167">
        <f>tbl_operations[[#This Row],[Interview Styling Completed]]+tbl_operations[[#This Row],[Confidence Styling Completed]]</f>
        <v>0</v>
      </c>
      <c r="AP36" s="167">
        <f>tbl_operations[[#This Row],[Interview Styling Male]]+tbl_operations[[#This Row],[Confidence Styling Male]]</f>
        <v>0</v>
      </c>
      <c r="AQ36" s="167">
        <f>tbl_operations[[#This Row],[Interview Styling Female]]+tbl_operations[[#This Row],[Confidence Styling Female]]</f>
        <v>0</v>
      </c>
      <c r="AR36" s="167">
        <f>tbl_operations[[#This Row],[Interview Styling Non-Binary]]+tbl_operations[[#This Row],[Confidence Styling Non-Binary]]</f>
        <v>0</v>
      </c>
    </row>
    <row r="37" spans="1:44">
      <c r="A37" s="161" t="s">
        <v>21</v>
      </c>
      <c r="B37" s="162" t="s">
        <v>95</v>
      </c>
      <c r="C37" s="161" t="s">
        <v>98</v>
      </c>
      <c r="D37" s="163">
        <v>46072</v>
      </c>
      <c r="E37" s="164" t="str">
        <f t="shared" si="0"/>
        <v>Thursday</v>
      </c>
      <c r="F37" s="161">
        <v>3</v>
      </c>
      <c r="G37" s="161">
        <v>3</v>
      </c>
      <c r="H37" s="161">
        <v>1</v>
      </c>
      <c r="I37" s="161">
        <v>2</v>
      </c>
      <c r="J37" s="161">
        <v>0</v>
      </c>
      <c r="K37" s="161">
        <v>0</v>
      </c>
      <c r="L37" s="161">
        <v>0</v>
      </c>
      <c r="M37" s="161">
        <v>0</v>
      </c>
      <c r="N37" s="161">
        <v>0</v>
      </c>
      <c r="O37" s="161">
        <v>0</v>
      </c>
      <c r="P37" s="161">
        <v>0</v>
      </c>
      <c r="Q37" s="161">
        <v>1</v>
      </c>
      <c r="R37" s="161">
        <v>0</v>
      </c>
      <c r="S37" s="161">
        <v>0</v>
      </c>
      <c r="T37" s="165">
        <v>0</v>
      </c>
      <c r="U37" s="165">
        <v>0</v>
      </c>
      <c r="V37" s="161">
        <v>9</v>
      </c>
      <c r="W37" s="166">
        <v>243.75</v>
      </c>
      <c r="X37" s="161">
        <v>2051</v>
      </c>
      <c r="Y37" s="161">
        <v>210</v>
      </c>
      <c r="Z37" s="165">
        <v>1</v>
      </c>
      <c r="AA37" s="165">
        <v>1</v>
      </c>
      <c r="AB37" s="165">
        <v>2</v>
      </c>
      <c r="AC37" s="165">
        <v>2</v>
      </c>
      <c r="AD37" s="165">
        <v>3</v>
      </c>
      <c r="AE37" s="165">
        <v>2</v>
      </c>
      <c r="AF37" s="165">
        <v>11</v>
      </c>
      <c r="AG37" s="165">
        <v>4.5</v>
      </c>
      <c r="AH37" s="165">
        <v>5.5</v>
      </c>
      <c r="AI37" s="165">
        <v>8.5</v>
      </c>
      <c r="AJ37" s="165">
        <v>7</v>
      </c>
      <c r="AK37" s="165">
        <v>6.5</v>
      </c>
      <c r="AL37" s="165">
        <v>7.5</v>
      </c>
      <c r="AM37" s="165">
        <v>39.5</v>
      </c>
      <c r="AN37" s="167">
        <f>tbl_operations[[#This Row],[Interview Styling Registrations]]+tbl_operations[[#This Row],[Confidence Styling Registrations]]</f>
        <v>3</v>
      </c>
      <c r="AO37" s="167">
        <f>tbl_operations[[#This Row],[Interview Styling Completed]]+tbl_operations[[#This Row],[Confidence Styling Completed]]</f>
        <v>3</v>
      </c>
      <c r="AP37" s="167">
        <f>tbl_operations[[#This Row],[Interview Styling Male]]+tbl_operations[[#This Row],[Confidence Styling Male]]</f>
        <v>1</v>
      </c>
      <c r="AQ37" s="167">
        <f>tbl_operations[[#This Row],[Interview Styling Female]]+tbl_operations[[#This Row],[Confidence Styling Female]]</f>
        <v>2</v>
      </c>
      <c r="AR37" s="167">
        <f>tbl_operations[[#This Row],[Interview Styling Non-Binary]]+tbl_operations[[#This Row],[Confidence Styling Non-Binary]]</f>
        <v>0</v>
      </c>
    </row>
    <row r="38" spans="1:44">
      <c r="A38" s="161" t="s">
        <v>21</v>
      </c>
      <c r="B38" s="162" t="s">
        <v>95</v>
      </c>
      <c r="C38" s="161" t="s">
        <v>98</v>
      </c>
      <c r="D38" s="163">
        <v>46073</v>
      </c>
      <c r="E38" s="164" t="str">
        <f t="shared" si="0"/>
        <v>Friday</v>
      </c>
      <c r="F38" s="161">
        <v>0</v>
      </c>
      <c r="G38" s="161">
        <v>0</v>
      </c>
      <c r="H38" s="161">
        <v>0</v>
      </c>
      <c r="I38" s="161">
        <v>0</v>
      </c>
      <c r="J38" s="161">
        <v>0</v>
      </c>
      <c r="K38" s="161">
        <v>1</v>
      </c>
      <c r="L38" s="161">
        <v>1</v>
      </c>
      <c r="M38" s="161">
        <v>1</v>
      </c>
      <c r="N38" s="161">
        <v>0</v>
      </c>
      <c r="O38" s="161">
        <v>0</v>
      </c>
      <c r="P38" s="161">
        <v>0</v>
      </c>
      <c r="Q38" s="161">
        <v>0</v>
      </c>
      <c r="R38" s="161">
        <v>1</v>
      </c>
      <c r="S38" s="161">
        <v>0</v>
      </c>
      <c r="T38" s="165">
        <v>17.8</v>
      </c>
      <c r="U38" s="165">
        <v>0</v>
      </c>
      <c r="V38" s="161">
        <v>3</v>
      </c>
      <c r="W38" s="166">
        <v>103.25</v>
      </c>
      <c r="X38" s="161">
        <v>525</v>
      </c>
      <c r="Y38" s="161">
        <v>40</v>
      </c>
      <c r="Z38" s="165">
        <v>2</v>
      </c>
      <c r="AA38" s="165">
        <v>2</v>
      </c>
      <c r="AB38" s="165">
        <v>1</v>
      </c>
      <c r="AC38" s="165">
        <v>0</v>
      </c>
      <c r="AD38" s="165">
        <v>5</v>
      </c>
      <c r="AE38" s="165">
        <v>3</v>
      </c>
      <c r="AF38" s="165">
        <v>13</v>
      </c>
      <c r="AG38" s="165">
        <v>4.5</v>
      </c>
      <c r="AH38" s="165">
        <v>8</v>
      </c>
      <c r="AI38" s="165">
        <v>4.5</v>
      </c>
      <c r="AJ38" s="165">
        <v>0</v>
      </c>
      <c r="AK38" s="165">
        <v>18.5</v>
      </c>
      <c r="AL38" s="165">
        <v>15.5</v>
      </c>
      <c r="AM38" s="165">
        <v>51</v>
      </c>
      <c r="AN38" s="167">
        <f>tbl_operations[[#This Row],[Interview Styling Registrations]]+tbl_operations[[#This Row],[Confidence Styling Registrations]]</f>
        <v>1</v>
      </c>
      <c r="AO38" s="167">
        <f>tbl_operations[[#This Row],[Interview Styling Completed]]+tbl_operations[[#This Row],[Confidence Styling Completed]]</f>
        <v>1</v>
      </c>
      <c r="AP38" s="167">
        <f>tbl_operations[[#This Row],[Interview Styling Male]]+tbl_operations[[#This Row],[Confidence Styling Male]]</f>
        <v>1</v>
      </c>
      <c r="AQ38" s="167">
        <f>tbl_operations[[#This Row],[Interview Styling Female]]+tbl_operations[[#This Row],[Confidence Styling Female]]</f>
        <v>0</v>
      </c>
      <c r="AR38" s="167">
        <f>tbl_operations[[#This Row],[Interview Styling Non-Binary]]+tbl_operations[[#This Row],[Confidence Styling Non-Binary]]</f>
        <v>0</v>
      </c>
    </row>
    <row r="39" spans="1:44">
      <c r="A39" s="161" t="s">
        <v>21</v>
      </c>
      <c r="B39" s="162" t="s">
        <v>95</v>
      </c>
      <c r="C39" s="161" t="s">
        <v>99</v>
      </c>
      <c r="D39" s="163">
        <v>46076</v>
      </c>
      <c r="E39" s="164" t="str">
        <f t="shared" si="0"/>
        <v>Monday</v>
      </c>
      <c r="F39" s="161">
        <v>3</v>
      </c>
      <c r="G39" s="161">
        <v>3</v>
      </c>
      <c r="H39" s="161">
        <v>0</v>
      </c>
      <c r="I39" s="161">
        <v>3</v>
      </c>
      <c r="J39" s="161">
        <v>0</v>
      </c>
      <c r="K39" s="161">
        <v>1</v>
      </c>
      <c r="L39" s="161">
        <v>1</v>
      </c>
      <c r="M39" s="161">
        <v>0</v>
      </c>
      <c r="N39" s="161">
        <v>1</v>
      </c>
      <c r="O39" s="161">
        <v>0</v>
      </c>
      <c r="P39" s="161">
        <v>1</v>
      </c>
      <c r="Q39" s="161">
        <v>0</v>
      </c>
      <c r="R39" s="161">
        <v>0</v>
      </c>
      <c r="S39" s="161">
        <v>0</v>
      </c>
      <c r="T39" s="165">
        <v>62.7</v>
      </c>
      <c r="U39" s="165">
        <v>14.7</v>
      </c>
      <c r="V39" s="161">
        <v>10</v>
      </c>
      <c r="W39" s="166">
        <v>256.27</v>
      </c>
      <c r="X39" s="161">
        <v>259</v>
      </c>
      <c r="Y39" s="161">
        <v>18</v>
      </c>
      <c r="Z39" s="165">
        <v>2</v>
      </c>
      <c r="AA39" s="165">
        <v>1</v>
      </c>
      <c r="AB39" s="165">
        <v>1</v>
      </c>
      <c r="AC39" s="165">
        <v>0</v>
      </c>
      <c r="AD39" s="165">
        <v>5</v>
      </c>
      <c r="AE39" s="165">
        <v>1</v>
      </c>
      <c r="AF39" s="165">
        <v>10</v>
      </c>
      <c r="AG39" s="165">
        <v>9.5</v>
      </c>
      <c r="AH39" s="165">
        <v>2</v>
      </c>
      <c r="AI39" s="165">
        <v>4.5</v>
      </c>
      <c r="AJ39" s="165">
        <v>0</v>
      </c>
      <c r="AK39" s="165">
        <v>14.5</v>
      </c>
      <c r="AL39" s="165">
        <v>2.5</v>
      </c>
      <c r="AM39" s="165">
        <v>33</v>
      </c>
      <c r="AN39" s="167">
        <f>tbl_operations[[#This Row],[Interview Styling Registrations]]+tbl_operations[[#This Row],[Confidence Styling Registrations]]</f>
        <v>4</v>
      </c>
      <c r="AO39" s="167">
        <f>tbl_operations[[#This Row],[Interview Styling Completed]]+tbl_operations[[#This Row],[Confidence Styling Completed]]</f>
        <v>4</v>
      </c>
      <c r="AP39" s="167">
        <f>tbl_operations[[#This Row],[Interview Styling Male]]+tbl_operations[[#This Row],[Confidence Styling Male]]</f>
        <v>0</v>
      </c>
      <c r="AQ39" s="167">
        <f>tbl_operations[[#This Row],[Interview Styling Female]]+tbl_operations[[#This Row],[Confidence Styling Female]]</f>
        <v>4</v>
      </c>
      <c r="AR39" s="167">
        <f>tbl_operations[[#This Row],[Interview Styling Non-Binary]]+tbl_operations[[#This Row],[Confidence Styling Non-Binary]]</f>
        <v>0</v>
      </c>
    </row>
    <row r="40" spans="1:44">
      <c r="A40" s="161" t="s">
        <v>21</v>
      </c>
      <c r="B40" s="162" t="s">
        <v>95</v>
      </c>
      <c r="C40" s="161" t="s">
        <v>99</v>
      </c>
      <c r="D40" s="163">
        <v>46077</v>
      </c>
      <c r="E40" s="164" t="str">
        <f t="shared" si="0"/>
        <v>Tuesday</v>
      </c>
      <c r="F40" s="161">
        <v>3</v>
      </c>
      <c r="G40" s="161">
        <v>3</v>
      </c>
      <c r="H40" s="161">
        <v>1</v>
      </c>
      <c r="I40" s="161">
        <v>2</v>
      </c>
      <c r="J40" s="161">
        <v>0</v>
      </c>
      <c r="K40" s="161">
        <v>1</v>
      </c>
      <c r="L40" s="161">
        <v>1</v>
      </c>
      <c r="M40" s="161">
        <v>1</v>
      </c>
      <c r="N40" s="161">
        <v>0</v>
      </c>
      <c r="O40" s="161">
        <v>0</v>
      </c>
      <c r="P40" s="161">
        <v>1</v>
      </c>
      <c r="Q40" s="161">
        <v>0</v>
      </c>
      <c r="R40" s="161">
        <v>1</v>
      </c>
      <c r="S40" s="161">
        <v>1</v>
      </c>
      <c r="T40" s="165">
        <v>13.7</v>
      </c>
      <c r="U40" s="165">
        <v>20.7</v>
      </c>
      <c r="V40" s="161">
        <v>3</v>
      </c>
      <c r="W40" s="166">
        <v>109.16</v>
      </c>
      <c r="X40" s="161">
        <v>514</v>
      </c>
      <c r="Y40" s="161">
        <v>21</v>
      </c>
      <c r="Z40" s="165">
        <v>4</v>
      </c>
      <c r="AA40" s="165">
        <v>1</v>
      </c>
      <c r="AB40" s="165">
        <v>1</v>
      </c>
      <c r="AC40" s="165">
        <v>0</v>
      </c>
      <c r="AD40" s="165">
        <v>1</v>
      </c>
      <c r="AE40" s="165">
        <v>3</v>
      </c>
      <c r="AF40" s="165">
        <v>10</v>
      </c>
      <c r="AG40" s="165">
        <v>19.5</v>
      </c>
      <c r="AH40" s="165">
        <v>3.5</v>
      </c>
      <c r="AI40" s="165">
        <v>2.5</v>
      </c>
      <c r="AJ40" s="165">
        <v>0</v>
      </c>
      <c r="AK40" s="165">
        <v>3</v>
      </c>
      <c r="AL40" s="165">
        <v>12.5</v>
      </c>
      <c r="AM40" s="165">
        <v>41</v>
      </c>
      <c r="AN40" s="167">
        <f>tbl_operations[[#This Row],[Interview Styling Registrations]]+tbl_operations[[#This Row],[Confidence Styling Registrations]]</f>
        <v>4</v>
      </c>
      <c r="AO40" s="167">
        <f>tbl_operations[[#This Row],[Interview Styling Completed]]+tbl_operations[[#This Row],[Confidence Styling Completed]]</f>
        <v>4</v>
      </c>
      <c r="AP40" s="167">
        <f>tbl_operations[[#This Row],[Interview Styling Male]]+tbl_operations[[#This Row],[Confidence Styling Male]]</f>
        <v>2</v>
      </c>
      <c r="AQ40" s="167">
        <f>tbl_operations[[#This Row],[Interview Styling Female]]+tbl_operations[[#This Row],[Confidence Styling Female]]</f>
        <v>2</v>
      </c>
      <c r="AR40" s="167">
        <f>tbl_operations[[#This Row],[Interview Styling Non-Binary]]+tbl_operations[[#This Row],[Confidence Styling Non-Binary]]</f>
        <v>0</v>
      </c>
    </row>
    <row r="41" spans="1:44">
      <c r="A41" s="161" t="s">
        <v>21</v>
      </c>
      <c r="B41" s="162" t="s">
        <v>95</v>
      </c>
      <c r="C41" s="161" t="s">
        <v>99</v>
      </c>
      <c r="D41" s="163">
        <v>46078</v>
      </c>
      <c r="E41" s="164" t="str">
        <f t="shared" si="0"/>
        <v>Wednesday</v>
      </c>
      <c r="F41" s="161">
        <v>4</v>
      </c>
      <c r="G41" s="161">
        <v>4</v>
      </c>
      <c r="H41" s="161">
        <v>1</v>
      </c>
      <c r="I41" s="161">
        <v>3</v>
      </c>
      <c r="J41" s="161">
        <v>0</v>
      </c>
      <c r="K41" s="161">
        <v>1</v>
      </c>
      <c r="L41" s="161">
        <v>0</v>
      </c>
      <c r="M41" s="161">
        <v>0</v>
      </c>
      <c r="N41" s="161">
        <v>0</v>
      </c>
      <c r="O41" s="161">
        <v>0</v>
      </c>
      <c r="P41" s="161">
        <v>1</v>
      </c>
      <c r="Q41" s="161">
        <v>0</v>
      </c>
      <c r="R41" s="161">
        <v>0</v>
      </c>
      <c r="S41" s="161">
        <v>0</v>
      </c>
      <c r="T41" s="165">
        <v>54.5</v>
      </c>
      <c r="U41" s="165">
        <v>0</v>
      </c>
      <c r="V41" s="161">
        <v>10</v>
      </c>
      <c r="W41" s="166">
        <v>283.15</v>
      </c>
      <c r="X41" s="161">
        <v>2047</v>
      </c>
      <c r="Y41" s="161">
        <v>202</v>
      </c>
      <c r="Z41" s="165">
        <v>1</v>
      </c>
      <c r="AA41" s="165">
        <v>0</v>
      </c>
      <c r="AB41" s="165">
        <v>1</v>
      </c>
      <c r="AC41" s="165">
        <v>0</v>
      </c>
      <c r="AD41" s="165">
        <v>2</v>
      </c>
      <c r="AE41" s="165">
        <v>1</v>
      </c>
      <c r="AF41" s="165">
        <v>5</v>
      </c>
      <c r="AG41" s="165">
        <v>3</v>
      </c>
      <c r="AH41" s="165">
        <v>0</v>
      </c>
      <c r="AI41" s="165">
        <v>4</v>
      </c>
      <c r="AJ41" s="165">
        <v>0</v>
      </c>
      <c r="AK41" s="165">
        <v>5</v>
      </c>
      <c r="AL41" s="165">
        <v>4.5</v>
      </c>
      <c r="AM41" s="165">
        <v>16.5</v>
      </c>
      <c r="AN41" s="167">
        <f>tbl_operations[[#This Row],[Interview Styling Registrations]]+tbl_operations[[#This Row],[Confidence Styling Registrations]]</f>
        <v>5</v>
      </c>
      <c r="AO41" s="167">
        <f>tbl_operations[[#This Row],[Interview Styling Completed]]+tbl_operations[[#This Row],[Confidence Styling Completed]]</f>
        <v>4</v>
      </c>
      <c r="AP41" s="167">
        <f>tbl_operations[[#This Row],[Interview Styling Male]]+tbl_operations[[#This Row],[Confidence Styling Male]]</f>
        <v>1</v>
      </c>
      <c r="AQ41" s="167">
        <f>tbl_operations[[#This Row],[Interview Styling Female]]+tbl_operations[[#This Row],[Confidence Styling Female]]</f>
        <v>3</v>
      </c>
      <c r="AR41" s="167">
        <f>tbl_operations[[#This Row],[Interview Styling Non-Binary]]+tbl_operations[[#This Row],[Confidence Styling Non-Binary]]</f>
        <v>0</v>
      </c>
    </row>
    <row r="42" spans="1:44">
      <c r="A42" s="161" t="s">
        <v>21</v>
      </c>
      <c r="B42" s="162" t="s">
        <v>95</v>
      </c>
      <c r="C42" s="161" t="s">
        <v>99</v>
      </c>
      <c r="D42" s="163">
        <v>46079</v>
      </c>
      <c r="E42" s="164" t="str">
        <f t="shared" si="0"/>
        <v>Thursday</v>
      </c>
      <c r="F42" s="161">
        <v>1</v>
      </c>
      <c r="G42" s="161">
        <v>0</v>
      </c>
      <c r="H42" s="161">
        <v>0</v>
      </c>
      <c r="I42" s="161">
        <v>0</v>
      </c>
      <c r="J42" s="161">
        <v>0</v>
      </c>
      <c r="K42" s="161">
        <v>1</v>
      </c>
      <c r="L42" s="161">
        <v>0</v>
      </c>
      <c r="M42" s="161">
        <v>0</v>
      </c>
      <c r="N42" s="161">
        <v>0</v>
      </c>
      <c r="O42" s="161">
        <v>0</v>
      </c>
      <c r="P42" s="161">
        <v>2</v>
      </c>
      <c r="Q42" s="161">
        <v>1</v>
      </c>
      <c r="R42" s="161">
        <v>0</v>
      </c>
      <c r="S42" s="161">
        <v>1</v>
      </c>
      <c r="T42" s="165">
        <v>47.5</v>
      </c>
      <c r="U42" s="165">
        <v>0</v>
      </c>
      <c r="V42" s="161">
        <v>12</v>
      </c>
      <c r="W42" s="166">
        <v>258.99</v>
      </c>
      <c r="X42" s="161">
        <v>685</v>
      </c>
      <c r="Y42" s="161">
        <v>22</v>
      </c>
      <c r="Z42" s="165">
        <v>1</v>
      </c>
      <c r="AA42" s="165">
        <v>1</v>
      </c>
      <c r="AB42" s="165">
        <v>1</v>
      </c>
      <c r="AC42" s="165">
        <v>0</v>
      </c>
      <c r="AD42" s="165">
        <v>4</v>
      </c>
      <c r="AE42" s="165">
        <v>4</v>
      </c>
      <c r="AF42" s="165">
        <v>11</v>
      </c>
      <c r="AG42" s="165">
        <v>4</v>
      </c>
      <c r="AH42" s="165">
        <v>4.5</v>
      </c>
      <c r="AI42" s="165">
        <v>3.5</v>
      </c>
      <c r="AJ42" s="165">
        <v>0</v>
      </c>
      <c r="AK42" s="165">
        <v>13.5</v>
      </c>
      <c r="AL42" s="165">
        <v>19</v>
      </c>
      <c r="AM42" s="165">
        <v>44.5</v>
      </c>
      <c r="AN42" s="167">
        <f>tbl_operations[[#This Row],[Interview Styling Registrations]]+tbl_operations[[#This Row],[Confidence Styling Registrations]]</f>
        <v>2</v>
      </c>
      <c r="AO42" s="167">
        <f>tbl_operations[[#This Row],[Interview Styling Completed]]+tbl_operations[[#This Row],[Confidence Styling Completed]]</f>
        <v>0</v>
      </c>
      <c r="AP42" s="167">
        <f>tbl_operations[[#This Row],[Interview Styling Male]]+tbl_operations[[#This Row],[Confidence Styling Male]]</f>
        <v>0</v>
      </c>
      <c r="AQ42" s="167">
        <f>tbl_operations[[#This Row],[Interview Styling Female]]+tbl_operations[[#This Row],[Confidence Styling Female]]</f>
        <v>0</v>
      </c>
      <c r="AR42" s="167">
        <f>tbl_operations[[#This Row],[Interview Styling Non-Binary]]+tbl_operations[[#This Row],[Confidence Styling Non-Binary]]</f>
        <v>0</v>
      </c>
    </row>
    <row r="43" spans="1:44">
      <c r="A43" s="161" t="s">
        <v>21</v>
      </c>
      <c r="B43" s="162" t="s">
        <v>95</v>
      </c>
      <c r="C43" s="161" t="s">
        <v>99</v>
      </c>
      <c r="D43" s="163">
        <v>46080</v>
      </c>
      <c r="E43" s="164" t="str">
        <f t="shared" si="0"/>
        <v>Friday</v>
      </c>
      <c r="F43" s="161">
        <v>0</v>
      </c>
      <c r="G43" s="161">
        <v>0</v>
      </c>
      <c r="H43" s="161">
        <v>0</v>
      </c>
      <c r="I43" s="161">
        <v>0</v>
      </c>
      <c r="J43" s="161">
        <v>0</v>
      </c>
      <c r="K43" s="161">
        <v>0</v>
      </c>
      <c r="L43" s="161">
        <v>0</v>
      </c>
      <c r="M43" s="161">
        <v>0</v>
      </c>
      <c r="N43" s="161">
        <v>0</v>
      </c>
      <c r="O43" s="161">
        <v>0</v>
      </c>
      <c r="P43" s="161">
        <v>1</v>
      </c>
      <c r="Q43" s="161">
        <v>0</v>
      </c>
      <c r="R43" s="161">
        <v>0</v>
      </c>
      <c r="S43" s="161">
        <v>0</v>
      </c>
      <c r="T43" s="165">
        <v>40.5</v>
      </c>
      <c r="U43" s="165">
        <v>19</v>
      </c>
      <c r="V43" s="161">
        <v>11</v>
      </c>
      <c r="W43" s="166">
        <v>216.28</v>
      </c>
      <c r="X43" s="161">
        <v>433</v>
      </c>
      <c r="Y43" s="161">
        <v>12</v>
      </c>
      <c r="Z43" s="165">
        <v>2</v>
      </c>
      <c r="AA43" s="165">
        <v>0</v>
      </c>
      <c r="AB43" s="165">
        <v>0</v>
      </c>
      <c r="AC43" s="165">
        <v>2</v>
      </c>
      <c r="AD43" s="165">
        <v>2</v>
      </c>
      <c r="AE43" s="165">
        <v>2</v>
      </c>
      <c r="AF43" s="165">
        <v>8</v>
      </c>
      <c r="AG43" s="165">
        <v>5.5</v>
      </c>
      <c r="AH43" s="165">
        <v>0</v>
      </c>
      <c r="AI43" s="165">
        <v>0</v>
      </c>
      <c r="AJ43" s="165">
        <v>6.5</v>
      </c>
      <c r="AK43" s="165">
        <v>11</v>
      </c>
      <c r="AL43" s="165">
        <v>4.5</v>
      </c>
      <c r="AM43" s="165">
        <v>27.5</v>
      </c>
      <c r="AN43" s="167">
        <f>tbl_operations[[#This Row],[Interview Styling Registrations]]+tbl_operations[[#This Row],[Confidence Styling Registrations]]</f>
        <v>0</v>
      </c>
      <c r="AO43" s="167">
        <f>tbl_operations[[#This Row],[Interview Styling Completed]]+tbl_operations[[#This Row],[Confidence Styling Completed]]</f>
        <v>0</v>
      </c>
      <c r="AP43" s="167">
        <f>tbl_operations[[#This Row],[Interview Styling Male]]+tbl_operations[[#This Row],[Confidence Styling Male]]</f>
        <v>0</v>
      </c>
      <c r="AQ43" s="167">
        <f>tbl_operations[[#This Row],[Interview Styling Female]]+tbl_operations[[#This Row],[Confidence Styling Female]]</f>
        <v>0</v>
      </c>
      <c r="AR43" s="167">
        <f>tbl_operations[[#This Row],[Interview Styling Non-Binary]]+tbl_operations[[#This Row],[Confidence Styling Non-Binary]]</f>
        <v>0</v>
      </c>
    </row>
    <row r="44" spans="1:44">
      <c r="A44" s="161" t="s">
        <v>22</v>
      </c>
      <c r="B44" s="162" t="s">
        <v>95</v>
      </c>
      <c r="C44" s="161" t="s">
        <v>96</v>
      </c>
      <c r="D44" s="163">
        <v>46083</v>
      </c>
      <c r="E44" s="164" t="str">
        <f t="shared" si="0"/>
        <v>Monday</v>
      </c>
      <c r="F44" s="161">
        <v>4</v>
      </c>
      <c r="G44" s="161">
        <v>4</v>
      </c>
      <c r="H44" s="161">
        <v>1</v>
      </c>
      <c r="I44" s="161">
        <v>3</v>
      </c>
      <c r="J44" s="161">
        <v>0</v>
      </c>
      <c r="K44" s="161">
        <v>3</v>
      </c>
      <c r="L44" s="161">
        <v>3</v>
      </c>
      <c r="M44" s="161">
        <v>1</v>
      </c>
      <c r="N44" s="161">
        <v>1</v>
      </c>
      <c r="O44" s="161">
        <v>1</v>
      </c>
      <c r="P44" s="161">
        <v>2</v>
      </c>
      <c r="Q44" s="161">
        <v>0</v>
      </c>
      <c r="R44" s="161">
        <v>1</v>
      </c>
      <c r="S44" s="161">
        <v>0</v>
      </c>
      <c r="T44" s="165">
        <v>26.5</v>
      </c>
      <c r="U44" s="165">
        <v>0</v>
      </c>
      <c r="V44" s="161">
        <v>9</v>
      </c>
      <c r="W44" s="166">
        <v>251.28</v>
      </c>
      <c r="X44" s="161">
        <v>465</v>
      </c>
      <c r="Y44" s="161">
        <v>57</v>
      </c>
      <c r="Z44" s="165">
        <v>4</v>
      </c>
      <c r="AA44" s="165">
        <v>1</v>
      </c>
      <c r="AB44" s="165">
        <v>2</v>
      </c>
      <c r="AC44" s="165">
        <v>2</v>
      </c>
      <c r="AD44" s="165">
        <v>4</v>
      </c>
      <c r="AE44" s="165">
        <v>3</v>
      </c>
      <c r="AF44" s="165">
        <v>16</v>
      </c>
      <c r="AG44" s="165">
        <v>22</v>
      </c>
      <c r="AH44" s="165">
        <v>4</v>
      </c>
      <c r="AI44" s="165">
        <v>5</v>
      </c>
      <c r="AJ44" s="165">
        <v>9</v>
      </c>
      <c r="AK44" s="165">
        <v>9.5</v>
      </c>
      <c r="AL44" s="165">
        <v>8.5</v>
      </c>
      <c r="AM44" s="165">
        <v>58</v>
      </c>
      <c r="AN44" s="167">
        <f>tbl_operations[[#This Row],[Interview Styling Registrations]]+tbl_operations[[#This Row],[Confidence Styling Registrations]]</f>
        <v>7</v>
      </c>
      <c r="AO44" s="167">
        <f>tbl_operations[[#This Row],[Interview Styling Completed]]+tbl_operations[[#This Row],[Confidence Styling Completed]]</f>
        <v>7</v>
      </c>
      <c r="AP44" s="167">
        <f>tbl_operations[[#This Row],[Interview Styling Male]]+tbl_operations[[#This Row],[Confidence Styling Male]]</f>
        <v>2</v>
      </c>
      <c r="AQ44" s="167">
        <f>tbl_operations[[#This Row],[Interview Styling Female]]+tbl_operations[[#This Row],[Confidence Styling Female]]</f>
        <v>4</v>
      </c>
      <c r="AR44" s="167">
        <f>tbl_operations[[#This Row],[Interview Styling Non-Binary]]+tbl_operations[[#This Row],[Confidence Styling Non-Binary]]</f>
        <v>1</v>
      </c>
    </row>
    <row r="45" spans="1:44">
      <c r="A45" s="161" t="s">
        <v>22</v>
      </c>
      <c r="B45" s="162" t="s">
        <v>95</v>
      </c>
      <c r="C45" s="161" t="s">
        <v>96</v>
      </c>
      <c r="D45" s="163">
        <v>46084</v>
      </c>
      <c r="E45" s="164" t="str">
        <f t="shared" si="0"/>
        <v>Tuesday</v>
      </c>
      <c r="F45" s="161">
        <v>4</v>
      </c>
      <c r="G45" s="161">
        <v>4</v>
      </c>
      <c r="H45" s="161">
        <v>0</v>
      </c>
      <c r="I45" s="161">
        <v>4</v>
      </c>
      <c r="J45" s="161">
        <v>0</v>
      </c>
      <c r="K45" s="161">
        <v>1</v>
      </c>
      <c r="L45" s="161">
        <v>1</v>
      </c>
      <c r="M45" s="161">
        <v>1</v>
      </c>
      <c r="N45" s="161">
        <v>0</v>
      </c>
      <c r="O45" s="161">
        <v>0</v>
      </c>
      <c r="P45" s="161">
        <v>0</v>
      </c>
      <c r="Q45" s="161">
        <v>0</v>
      </c>
      <c r="R45" s="161">
        <v>0</v>
      </c>
      <c r="S45" s="161">
        <v>0</v>
      </c>
      <c r="T45" s="165">
        <v>19.9</v>
      </c>
      <c r="U45" s="165">
        <v>16.8</v>
      </c>
      <c r="V45" s="161">
        <v>19</v>
      </c>
      <c r="W45" s="166">
        <v>512.57</v>
      </c>
      <c r="X45" s="161">
        <v>792</v>
      </c>
      <c r="Y45" s="161">
        <v>70</v>
      </c>
      <c r="Z45" s="165">
        <v>3</v>
      </c>
      <c r="AA45" s="165">
        <v>0</v>
      </c>
      <c r="AB45" s="165">
        <v>1</v>
      </c>
      <c r="AC45" s="165">
        <v>0</v>
      </c>
      <c r="AD45" s="165">
        <v>2</v>
      </c>
      <c r="AE45" s="165">
        <v>3</v>
      </c>
      <c r="AF45" s="165">
        <v>9</v>
      </c>
      <c r="AG45" s="165">
        <v>13.5</v>
      </c>
      <c r="AH45" s="165">
        <v>0</v>
      </c>
      <c r="AI45" s="165">
        <v>3</v>
      </c>
      <c r="AJ45" s="165">
        <v>0</v>
      </c>
      <c r="AK45" s="165">
        <v>7</v>
      </c>
      <c r="AL45" s="165">
        <v>14.5</v>
      </c>
      <c r="AM45" s="165">
        <v>38</v>
      </c>
      <c r="AN45" s="167">
        <f>tbl_operations[[#This Row],[Interview Styling Registrations]]+tbl_operations[[#This Row],[Confidence Styling Registrations]]</f>
        <v>5</v>
      </c>
      <c r="AO45" s="167">
        <f>tbl_operations[[#This Row],[Interview Styling Completed]]+tbl_operations[[#This Row],[Confidence Styling Completed]]</f>
        <v>5</v>
      </c>
      <c r="AP45" s="167">
        <f>tbl_operations[[#This Row],[Interview Styling Male]]+tbl_operations[[#This Row],[Confidence Styling Male]]</f>
        <v>1</v>
      </c>
      <c r="AQ45" s="167">
        <f>tbl_operations[[#This Row],[Interview Styling Female]]+tbl_operations[[#This Row],[Confidence Styling Female]]</f>
        <v>4</v>
      </c>
      <c r="AR45" s="167">
        <f>tbl_operations[[#This Row],[Interview Styling Non-Binary]]+tbl_operations[[#This Row],[Confidence Styling Non-Binary]]</f>
        <v>0</v>
      </c>
    </row>
    <row r="46" spans="1:44">
      <c r="A46" s="161" t="s">
        <v>22</v>
      </c>
      <c r="B46" s="162" t="s">
        <v>95</v>
      </c>
      <c r="C46" s="161" t="s">
        <v>96</v>
      </c>
      <c r="D46" s="163">
        <v>46085</v>
      </c>
      <c r="E46" s="164" t="str">
        <f t="shared" si="0"/>
        <v>Wednesday</v>
      </c>
      <c r="F46" s="161">
        <v>1</v>
      </c>
      <c r="G46" s="161">
        <v>1</v>
      </c>
      <c r="H46" s="161">
        <v>0</v>
      </c>
      <c r="I46" s="161">
        <v>1</v>
      </c>
      <c r="J46" s="161">
        <v>0</v>
      </c>
      <c r="K46" s="161">
        <v>3</v>
      </c>
      <c r="L46" s="161">
        <v>2</v>
      </c>
      <c r="M46" s="161">
        <v>1</v>
      </c>
      <c r="N46" s="161">
        <v>1</v>
      </c>
      <c r="O46" s="161">
        <v>0</v>
      </c>
      <c r="P46" s="161">
        <v>2</v>
      </c>
      <c r="Q46" s="161">
        <v>0</v>
      </c>
      <c r="R46" s="161">
        <v>0</v>
      </c>
      <c r="S46" s="161">
        <v>0</v>
      </c>
      <c r="T46" s="165">
        <v>38.2</v>
      </c>
      <c r="U46" s="165">
        <v>0</v>
      </c>
      <c r="V46" s="161">
        <v>19</v>
      </c>
      <c r="W46" s="166">
        <v>492.97</v>
      </c>
      <c r="X46" s="161">
        <v>1309</v>
      </c>
      <c r="Y46" s="161">
        <v>156</v>
      </c>
      <c r="Z46" s="165">
        <v>4</v>
      </c>
      <c r="AA46" s="165">
        <v>1</v>
      </c>
      <c r="AB46" s="165">
        <v>2</v>
      </c>
      <c r="AC46" s="165">
        <v>1</v>
      </c>
      <c r="AD46" s="165">
        <v>3</v>
      </c>
      <c r="AE46" s="165">
        <v>1</v>
      </c>
      <c r="AF46" s="165">
        <v>12</v>
      </c>
      <c r="AG46" s="165">
        <v>16.5</v>
      </c>
      <c r="AH46" s="165">
        <v>4</v>
      </c>
      <c r="AI46" s="165">
        <v>9.5</v>
      </c>
      <c r="AJ46" s="165">
        <v>4.5</v>
      </c>
      <c r="AK46" s="165">
        <v>7.5</v>
      </c>
      <c r="AL46" s="165">
        <v>2</v>
      </c>
      <c r="AM46" s="165">
        <v>44</v>
      </c>
      <c r="AN46" s="167">
        <f>tbl_operations[[#This Row],[Interview Styling Registrations]]+tbl_operations[[#This Row],[Confidence Styling Registrations]]</f>
        <v>4</v>
      </c>
      <c r="AO46" s="167">
        <f>tbl_operations[[#This Row],[Interview Styling Completed]]+tbl_operations[[#This Row],[Confidence Styling Completed]]</f>
        <v>3</v>
      </c>
      <c r="AP46" s="167">
        <f>tbl_operations[[#This Row],[Interview Styling Male]]+tbl_operations[[#This Row],[Confidence Styling Male]]</f>
        <v>1</v>
      </c>
      <c r="AQ46" s="167">
        <f>tbl_operations[[#This Row],[Interview Styling Female]]+tbl_operations[[#This Row],[Confidence Styling Female]]</f>
        <v>2</v>
      </c>
      <c r="AR46" s="167">
        <f>tbl_operations[[#This Row],[Interview Styling Non-Binary]]+tbl_operations[[#This Row],[Confidence Styling Non-Binary]]</f>
        <v>0</v>
      </c>
    </row>
    <row r="47" spans="1:44">
      <c r="A47" s="161" t="s">
        <v>22</v>
      </c>
      <c r="B47" s="162" t="s">
        <v>95</v>
      </c>
      <c r="C47" s="161" t="s">
        <v>96</v>
      </c>
      <c r="D47" s="163">
        <v>46086</v>
      </c>
      <c r="E47" s="164" t="str">
        <f t="shared" si="0"/>
        <v>Thursday</v>
      </c>
      <c r="F47" s="161">
        <v>1</v>
      </c>
      <c r="G47" s="161">
        <v>1</v>
      </c>
      <c r="H47" s="161">
        <v>1</v>
      </c>
      <c r="I47" s="161">
        <v>0</v>
      </c>
      <c r="J47" s="161">
        <v>0</v>
      </c>
      <c r="K47" s="161">
        <v>3</v>
      </c>
      <c r="L47" s="161">
        <v>3</v>
      </c>
      <c r="M47" s="161">
        <v>1</v>
      </c>
      <c r="N47" s="161">
        <v>2</v>
      </c>
      <c r="O47" s="161">
        <v>0</v>
      </c>
      <c r="P47" s="161">
        <v>0</v>
      </c>
      <c r="Q47" s="161">
        <v>1</v>
      </c>
      <c r="R47" s="161">
        <v>0</v>
      </c>
      <c r="S47" s="161">
        <v>0</v>
      </c>
      <c r="T47" s="165">
        <v>49.6</v>
      </c>
      <c r="U47" s="165">
        <v>0</v>
      </c>
      <c r="V47" s="161">
        <v>7</v>
      </c>
      <c r="W47" s="166">
        <v>176.01</v>
      </c>
      <c r="X47" s="161">
        <v>1211</v>
      </c>
      <c r="Y47" s="161">
        <v>172</v>
      </c>
      <c r="Z47" s="165">
        <v>3</v>
      </c>
      <c r="AA47" s="165">
        <v>1</v>
      </c>
      <c r="AB47" s="165">
        <v>1</v>
      </c>
      <c r="AC47" s="165">
        <v>1</v>
      </c>
      <c r="AD47" s="165">
        <v>5</v>
      </c>
      <c r="AE47" s="165">
        <v>1</v>
      </c>
      <c r="AF47" s="165">
        <v>12</v>
      </c>
      <c r="AG47" s="165">
        <v>8.5</v>
      </c>
      <c r="AH47" s="165">
        <v>3</v>
      </c>
      <c r="AI47" s="165">
        <v>4</v>
      </c>
      <c r="AJ47" s="165">
        <v>2.5</v>
      </c>
      <c r="AK47" s="165">
        <v>13</v>
      </c>
      <c r="AL47" s="165">
        <v>2</v>
      </c>
      <c r="AM47" s="165">
        <v>33</v>
      </c>
      <c r="AN47" s="167">
        <f>tbl_operations[[#This Row],[Interview Styling Registrations]]+tbl_operations[[#This Row],[Confidence Styling Registrations]]</f>
        <v>4</v>
      </c>
      <c r="AO47" s="167">
        <f>tbl_operations[[#This Row],[Interview Styling Completed]]+tbl_operations[[#This Row],[Confidence Styling Completed]]</f>
        <v>4</v>
      </c>
      <c r="AP47" s="167">
        <f>tbl_operations[[#This Row],[Interview Styling Male]]+tbl_operations[[#This Row],[Confidence Styling Male]]</f>
        <v>2</v>
      </c>
      <c r="AQ47" s="167">
        <f>tbl_operations[[#This Row],[Interview Styling Female]]+tbl_operations[[#This Row],[Confidence Styling Female]]</f>
        <v>2</v>
      </c>
      <c r="AR47" s="167">
        <f>tbl_operations[[#This Row],[Interview Styling Non-Binary]]+tbl_operations[[#This Row],[Confidence Styling Non-Binary]]</f>
        <v>0</v>
      </c>
    </row>
    <row r="48" spans="1:44">
      <c r="A48" s="161" t="s">
        <v>22</v>
      </c>
      <c r="B48" s="162" t="s">
        <v>95</v>
      </c>
      <c r="C48" s="161" t="s">
        <v>96</v>
      </c>
      <c r="D48" s="163">
        <v>46087</v>
      </c>
      <c r="E48" s="164" t="str">
        <f t="shared" si="0"/>
        <v>Friday</v>
      </c>
      <c r="F48" s="161">
        <v>4</v>
      </c>
      <c r="G48" s="161">
        <v>3</v>
      </c>
      <c r="H48" s="161">
        <v>0</v>
      </c>
      <c r="I48" s="161">
        <v>3</v>
      </c>
      <c r="J48" s="161">
        <v>0</v>
      </c>
      <c r="K48" s="161">
        <v>0</v>
      </c>
      <c r="L48" s="161">
        <v>0</v>
      </c>
      <c r="M48" s="161">
        <v>0</v>
      </c>
      <c r="N48" s="161">
        <v>0</v>
      </c>
      <c r="O48" s="161">
        <v>0</v>
      </c>
      <c r="P48" s="161">
        <v>1</v>
      </c>
      <c r="Q48" s="161">
        <v>0</v>
      </c>
      <c r="R48" s="161">
        <v>0</v>
      </c>
      <c r="S48" s="161">
        <v>0</v>
      </c>
      <c r="T48" s="165">
        <v>57.8</v>
      </c>
      <c r="U48" s="165">
        <v>0</v>
      </c>
      <c r="V48" s="161">
        <v>12</v>
      </c>
      <c r="W48" s="166">
        <v>268.84</v>
      </c>
      <c r="X48" s="161">
        <v>1692</v>
      </c>
      <c r="Y48" s="161">
        <v>93</v>
      </c>
      <c r="Z48" s="165">
        <v>2</v>
      </c>
      <c r="AA48" s="165">
        <v>0</v>
      </c>
      <c r="AB48" s="165">
        <v>2</v>
      </c>
      <c r="AC48" s="165">
        <v>1</v>
      </c>
      <c r="AD48" s="165">
        <v>3</v>
      </c>
      <c r="AE48" s="165">
        <v>1</v>
      </c>
      <c r="AF48" s="165">
        <v>9</v>
      </c>
      <c r="AG48" s="165">
        <v>6</v>
      </c>
      <c r="AH48" s="165">
        <v>0</v>
      </c>
      <c r="AI48" s="165">
        <v>9.5</v>
      </c>
      <c r="AJ48" s="165">
        <v>4</v>
      </c>
      <c r="AK48" s="165">
        <v>13.5</v>
      </c>
      <c r="AL48" s="165">
        <v>5</v>
      </c>
      <c r="AM48" s="165">
        <v>38</v>
      </c>
      <c r="AN48" s="167">
        <f>tbl_operations[[#This Row],[Interview Styling Registrations]]+tbl_operations[[#This Row],[Confidence Styling Registrations]]</f>
        <v>4</v>
      </c>
      <c r="AO48" s="167">
        <f>tbl_operations[[#This Row],[Interview Styling Completed]]+tbl_operations[[#This Row],[Confidence Styling Completed]]</f>
        <v>3</v>
      </c>
      <c r="AP48" s="167">
        <f>tbl_operations[[#This Row],[Interview Styling Male]]+tbl_operations[[#This Row],[Confidence Styling Male]]</f>
        <v>0</v>
      </c>
      <c r="AQ48" s="167">
        <f>tbl_operations[[#This Row],[Interview Styling Female]]+tbl_operations[[#This Row],[Confidence Styling Female]]</f>
        <v>3</v>
      </c>
      <c r="AR48" s="167">
        <f>tbl_operations[[#This Row],[Interview Styling Non-Binary]]+tbl_operations[[#This Row],[Confidence Styling Non-Binary]]</f>
        <v>0</v>
      </c>
    </row>
    <row r="49" spans="1:44">
      <c r="A49" s="161" t="s">
        <v>22</v>
      </c>
      <c r="B49" s="162" t="s">
        <v>95</v>
      </c>
      <c r="C49" s="161" t="s">
        <v>97</v>
      </c>
      <c r="D49" s="163">
        <v>46090</v>
      </c>
      <c r="E49" s="164" t="str">
        <f t="shared" si="0"/>
        <v>Monday</v>
      </c>
      <c r="F49" s="161">
        <v>0</v>
      </c>
      <c r="G49" s="161">
        <v>0</v>
      </c>
      <c r="H49" s="161">
        <v>0</v>
      </c>
      <c r="I49" s="161">
        <v>0</v>
      </c>
      <c r="J49" s="161">
        <v>0</v>
      </c>
      <c r="K49" s="161">
        <v>2</v>
      </c>
      <c r="L49" s="161">
        <v>2</v>
      </c>
      <c r="M49" s="161">
        <v>1</v>
      </c>
      <c r="N49" s="161">
        <v>1</v>
      </c>
      <c r="O49" s="161">
        <v>0</v>
      </c>
      <c r="P49" s="161">
        <v>1</v>
      </c>
      <c r="Q49" s="161">
        <v>0</v>
      </c>
      <c r="R49" s="161">
        <v>0</v>
      </c>
      <c r="S49" s="161">
        <v>0</v>
      </c>
      <c r="T49" s="165">
        <v>0</v>
      </c>
      <c r="U49" s="165">
        <v>3.6</v>
      </c>
      <c r="V49" s="161">
        <v>6</v>
      </c>
      <c r="W49" s="166">
        <v>148.02</v>
      </c>
      <c r="X49" s="161">
        <v>2025</v>
      </c>
      <c r="Y49" s="161">
        <v>284</v>
      </c>
      <c r="Z49" s="165">
        <v>1</v>
      </c>
      <c r="AA49" s="165">
        <v>1</v>
      </c>
      <c r="AB49" s="165">
        <v>1</v>
      </c>
      <c r="AC49" s="165">
        <v>1</v>
      </c>
      <c r="AD49" s="165">
        <v>1</v>
      </c>
      <c r="AE49" s="165">
        <v>4</v>
      </c>
      <c r="AF49" s="165">
        <v>9</v>
      </c>
      <c r="AG49" s="165">
        <v>2</v>
      </c>
      <c r="AH49" s="165">
        <v>5.5</v>
      </c>
      <c r="AI49" s="165">
        <v>2.5</v>
      </c>
      <c r="AJ49" s="165">
        <v>2</v>
      </c>
      <c r="AK49" s="165">
        <v>5</v>
      </c>
      <c r="AL49" s="165">
        <v>12.5</v>
      </c>
      <c r="AM49" s="165">
        <v>29.5</v>
      </c>
      <c r="AN49" s="167">
        <f>tbl_operations[[#This Row],[Interview Styling Registrations]]+tbl_operations[[#This Row],[Confidence Styling Registrations]]</f>
        <v>2</v>
      </c>
      <c r="AO49" s="167">
        <f>tbl_operations[[#This Row],[Interview Styling Completed]]+tbl_operations[[#This Row],[Confidence Styling Completed]]</f>
        <v>2</v>
      </c>
      <c r="AP49" s="167">
        <f>tbl_operations[[#This Row],[Interview Styling Male]]+tbl_operations[[#This Row],[Confidence Styling Male]]</f>
        <v>1</v>
      </c>
      <c r="AQ49" s="167">
        <f>tbl_operations[[#This Row],[Interview Styling Female]]+tbl_operations[[#This Row],[Confidence Styling Female]]</f>
        <v>1</v>
      </c>
      <c r="AR49" s="167">
        <f>tbl_operations[[#This Row],[Interview Styling Non-Binary]]+tbl_operations[[#This Row],[Confidence Styling Non-Binary]]</f>
        <v>0</v>
      </c>
    </row>
    <row r="50" spans="1:44">
      <c r="A50" s="161" t="s">
        <v>22</v>
      </c>
      <c r="B50" s="162" t="s">
        <v>95</v>
      </c>
      <c r="C50" s="161" t="s">
        <v>97</v>
      </c>
      <c r="D50" s="163">
        <v>46091</v>
      </c>
      <c r="E50" s="164" t="str">
        <f t="shared" si="0"/>
        <v>Tuesday</v>
      </c>
      <c r="F50" s="161">
        <v>3</v>
      </c>
      <c r="G50" s="161">
        <v>2</v>
      </c>
      <c r="H50" s="161">
        <v>0</v>
      </c>
      <c r="I50" s="161">
        <v>2</v>
      </c>
      <c r="J50" s="161">
        <v>0</v>
      </c>
      <c r="K50" s="161">
        <v>3</v>
      </c>
      <c r="L50" s="161">
        <v>2</v>
      </c>
      <c r="M50" s="161">
        <v>1</v>
      </c>
      <c r="N50" s="161">
        <v>1</v>
      </c>
      <c r="O50" s="161">
        <v>0</v>
      </c>
      <c r="P50" s="161">
        <v>0</v>
      </c>
      <c r="Q50" s="161">
        <v>0</v>
      </c>
      <c r="R50" s="161">
        <v>0</v>
      </c>
      <c r="S50" s="161">
        <v>0</v>
      </c>
      <c r="T50" s="165">
        <v>38.1</v>
      </c>
      <c r="U50" s="165">
        <v>0</v>
      </c>
      <c r="V50" s="161">
        <v>12</v>
      </c>
      <c r="W50" s="166">
        <v>204.01</v>
      </c>
      <c r="X50" s="161">
        <v>260</v>
      </c>
      <c r="Y50" s="161">
        <v>16</v>
      </c>
      <c r="Z50" s="165">
        <v>4</v>
      </c>
      <c r="AA50" s="165">
        <v>1</v>
      </c>
      <c r="AB50" s="165">
        <v>2</v>
      </c>
      <c r="AC50" s="165">
        <v>1</v>
      </c>
      <c r="AD50" s="165">
        <v>1</v>
      </c>
      <c r="AE50" s="165">
        <v>2</v>
      </c>
      <c r="AF50" s="165">
        <v>11</v>
      </c>
      <c r="AG50" s="165">
        <v>17</v>
      </c>
      <c r="AH50" s="165">
        <v>2</v>
      </c>
      <c r="AI50" s="165">
        <v>6.5</v>
      </c>
      <c r="AJ50" s="165">
        <v>4</v>
      </c>
      <c r="AK50" s="165">
        <v>4</v>
      </c>
      <c r="AL50" s="165">
        <v>9</v>
      </c>
      <c r="AM50" s="165">
        <v>42.5</v>
      </c>
      <c r="AN50" s="167">
        <f>tbl_operations[[#This Row],[Interview Styling Registrations]]+tbl_operations[[#This Row],[Confidence Styling Registrations]]</f>
        <v>6</v>
      </c>
      <c r="AO50" s="167">
        <f>tbl_operations[[#This Row],[Interview Styling Completed]]+tbl_operations[[#This Row],[Confidence Styling Completed]]</f>
        <v>4</v>
      </c>
      <c r="AP50" s="167">
        <f>tbl_operations[[#This Row],[Interview Styling Male]]+tbl_operations[[#This Row],[Confidence Styling Male]]</f>
        <v>1</v>
      </c>
      <c r="AQ50" s="167">
        <f>tbl_operations[[#This Row],[Interview Styling Female]]+tbl_operations[[#This Row],[Confidence Styling Female]]</f>
        <v>3</v>
      </c>
      <c r="AR50" s="167">
        <f>tbl_operations[[#This Row],[Interview Styling Non-Binary]]+tbl_operations[[#This Row],[Confidence Styling Non-Binary]]</f>
        <v>0</v>
      </c>
    </row>
    <row r="51" spans="1:44">
      <c r="A51" s="161" t="s">
        <v>22</v>
      </c>
      <c r="B51" s="162" t="s">
        <v>95</v>
      </c>
      <c r="C51" s="161" t="s">
        <v>97</v>
      </c>
      <c r="D51" s="163">
        <v>46092</v>
      </c>
      <c r="E51" s="164" t="str">
        <f t="shared" si="0"/>
        <v>Wednesday</v>
      </c>
      <c r="F51" s="161">
        <v>1</v>
      </c>
      <c r="G51" s="161">
        <v>0</v>
      </c>
      <c r="H51" s="161">
        <v>0</v>
      </c>
      <c r="I51" s="161">
        <v>0</v>
      </c>
      <c r="J51" s="161">
        <v>0</v>
      </c>
      <c r="K51" s="161">
        <v>2</v>
      </c>
      <c r="L51" s="161">
        <v>2</v>
      </c>
      <c r="M51" s="161">
        <v>1</v>
      </c>
      <c r="N51" s="161">
        <v>1</v>
      </c>
      <c r="O51" s="161">
        <v>0</v>
      </c>
      <c r="P51" s="161">
        <v>2</v>
      </c>
      <c r="Q51" s="161">
        <v>0</v>
      </c>
      <c r="R51" s="161">
        <v>0</v>
      </c>
      <c r="S51" s="161">
        <v>0</v>
      </c>
      <c r="T51" s="165">
        <v>41.1</v>
      </c>
      <c r="U51" s="165">
        <v>0</v>
      </c>
      <c r="V51" s="161">
        <v>11</v>
      </c>
      <c r="W51" s="166">
        <v>132.74</v>
      </c>
      <c r="X51" s="161">
        <v>348</v>
      </c>
      <c r="Y51" s="161">
        <v>10</v>
      </c>
      <c r="Z51" s="165">
        <v>1</v>
      </c>
      <c r="AA51" s="165">
        <v>1</v>
      </c>
      <c r="AB51" s="165">
        <v>1</v>
      </c>
      <c r="AC51" s="165">
        <v>0</v>
      </c>
      <c r="AD51" s="165">
        <v>1</v>
      </c>
      <c r="AE51" s="165">
        <v>1</v>
      </c>
      <c r="AF51" s="165">
        <v>5</v>
      </c>
      <c r="AG51" s="165">
        <v>4.5</v>
      </c>
      <c r="AH51" s="165">
        <v>4</v>
      </c>
      <c r="AI51" s="165">
        <v>3.5</v>
      </c>
      <c r="AJ51" s="165">
        <v>0</v>
      </c>
      <c r="AK51" s="165">
        <v>5.5</v>
      </c>
      <c r="AL51" s="165">
        <v>5</v>
      </c>
      <c r="AM51" s="165">
        <v>22.5</v>
      </c>
      <c r="AN51" s="167">
        <f>tbl_operations[[#This Row],[Interview Styling Registrations]]+tbl_operations[[#This Row],[Confidence Styling Registrations]]</f>
        <v>3</v>
      </c>
      <c r="AO51" s="167">
        <f>tbl_operations[[#This Row],[Interview Styling Completed]]+tbl_operations[[#This Row],[Confidence Styling Completed]]</f>
        <v>2</v>
      </c>
      <c r="AP51" s="167">
        <f>tbl_operations[[#This Row],[Interview Styling Male]]+tbl_operations[[#This Row],[Confidence Styling Male]]</f>
        <v>1</v>
      </c>
      <c r="AQ51" s="167">
        <f>tbl_operations[[#This Row],[Interview Styling Female]]+tbl_operations[[#This Row],[Confidence Styling Female]]</f>
        <v>1</v>
      </c>
      <c r="AR51" s="167">
        <f>tbl_operations[[#This Row],[Interview Styling Non-Binary]]+tbl_operations[[#This Row],[Confidence Styling Non-Binary]]</f>
        <v>0</v>
      </c>
    </row>
    <row r="52" spans="1:44">
      <c r="A52" s="161" t="s">
        <v>22</v>
      </c>
      <c r="B52" s="162" t="s">
        <v>95</v>
      </c>
      <c r="C52" s="161" t="s">
        <v>97</v>
      </c>
      <c r="D52" s="163">
        <v>46093</v>
      </c>
      <c r="E52" s="164" t="str">
        <f t="shared" si="0"/>
        <v>Thursday</v>
      </c>
      <c r="F52" s="161">
        <v>1</v>
      </c>
      <c r="G52" s="161">
        <v>1</v>
      </c>
      <c r="H52" s="161">
        <v>0</v>
      </c>
      <c r="I52" s="161">
        <v>1</v>
      </c>
      <c r="J52" s="161">
        <v>0</v>
      </c>
      <c r="K52" s="161">
        <v>0</v>
      </c>
      <c r="L52" s="161">
        <v>0</v>
      </c>
      <c r="M52" s="161">
        <v>0</v>
      </c>
      <c r="N52" s="161">
        <v>0</v>
      </c>
      <c r="O52" s="161">
        <v>0</v>
      </c>
      <c r="P52" s="161">
        <v>1</v>
      </c>
      <c r="Q52" s="161">
        <v>1</v>
      </c>
      <c r="R52" s="161">
        <v>0</v>
      </c>
      <c r="S52" s="161">
        <v>0</v>
      </c>
      <c r="T52" s="165">
        <v>27.2</v>
      </c>
      <c r="U52" s="165">
        <v>0</v>
      </c>
      <c r="V52" s="161">
        <v>10</v>
      </c>
      <c r="W52" s="166">
        <v>251.42</v>
      </c>
      <c r="X52" s="161">
        <v>1368</v>
      </c>
      <c r="Y52" s="161">
        <v>191</v>
      </c>
      <c r="Z52" s="165">
        <v>4</v>
      </c>
      <c r="AA52" s="165">
        <v>1</v>
      </c>
      <c r="AB52" s="165">
        <v>2</v>
      </c>
      <c r="AC52" s="165">
        <v>1</v>
      </c>
      <c r="AD52" s="165">
        <v>5</v>
      </c>
      <c r="AE52" s="165">
        <v>1</v>
      </c>
      <c r="AF52" s="165">
        <v>14</v>
      </c>
      <c r="AG52" s="165">
        <v>18</v>
      </c>
      <c r="AH52" s="165">
        <v>4.5</v>
      </c>
      <c r="AI52" s="165">
        <v>8.5</v>
      </c>
      <c r="AJ52" s="165">
        <v>2</v>
      </c>
      <c r="AK52" s="165">
        <v>23.5</v>
      </c>
      <c r="AL52" s="165">
        <v>2.5</v>
      </c>
      <c r="AM52" s="165">
        <v>59</v>
      </c>
      <c r="AN52" s="167">
        <f>tbl_operations[[#This Row],[Interview Styling Registrations]]+tbl_operations[[#This Row],[Confidence Styling Registrations]]</f>
        <v>1</v>
      </c>
      <c r="AO52" s="167">
        <f>tbl_operations[[#This Row],[Interview Styling Completed]]+tbl_operations[[#This Row],[Confidence Styling Completed]]</f>
        <v>1</v>
      </c>
      <c r="AP52" s="167">
        <f>tbl_operations[[#This Row],[Interview Styling Male]]+tbl_operations[[#This Row],[Confidence Styling Male]]</f>
        <v>0</v>
      </c>
      <c r="AQ52" s="167">
        <f>tbl_operations[[#This Row],[Interview Styling Female]]+tbl_operations[[#This Row],[Confidence Styling Female]]</f>
        <v>1</v>
      </c>
      <c r="AR52" s="167">
        <f>tbl_operations[[#This Row],[Interview Styling Non-Binary]]+tbl_operations[[#This Row],[Confidence Styling Non-Binary]]</f>
        <v>0</v>
      </c>
    </row>
    <row r="53" spans="1:44">
      <c r="A53" s="161" t="s">
        <v>22</v>
      </c>
      <c r="B53" s="162" t="s">
        <v>95</v>
      </c>
      <c r="C53" s="161" t="s">
        <v>97</v>
      </c>
      <c r="D53" s="163">
        <v>46094</v>
      </c>
      <c r="E53" s="164" t="str">
        <f t="shared" si="0"/>
        <v>Friday</v>
      </c>
      <c r="F53" s="161">
        <v>0</v>
      </c>
      <c r="G53" s="161">
        <v>0</v>
      </c>
      <c r="H53" s="161">
        <v>0</v>
      </c>
      <c r="I53" s="161">
        <v>0</v>
      </c>
      <c r="J53" s="161">
        <v>0</v>
      </c>
      <c r="K53" s="161">
        <v>0</v>
      </c>
      <c r="L53" s="161">
        <v>0</v>
      </c>
      <c r="M53" s="161">
        <v>0</v>
      </c>
      <c r="N53" s="161">
        <v>0</v>
      </c>
      <c r="O53" s="161">
        <v>0</v>
      </c>
      <c r="P53" s="161">
        <v>0</v>
      </c>
      <c r="Q53" s="161">
        <v>1</v>
      </c>
      <c r="R53" s="161">
        <v>0</v>
      </c>
      <c r="S53" s="161">
        <v>0</v>
      </c>
      <c r="T53" s="165">
        <v>28.3</v>
      </c>
      <c r="U53" s="165">
        <v>0</v>
      </c>
      <c r="V53" s="161">
        <v>4</v>
      </c>
      <c r="W53" s="166">
        <v>95.88</v>
      </c>
      <c r="X53" s="161">
        <v>992</v>
      </c>
      <c r="Y53" s="161">
        <v>115</v>
      </c>
      <c r="Z53" s="165">
        <v>4</v>
      </c>
      <c r="AA53" s="165">
        <v>1</v>
      </c>
      <c r="AB53" s="165">
        <v>1</v>
      </c>
      <c r="AC53" s="165">
        <v>2</v>
      </c>
      <c r="AD53" s="165">
        <v>1</v>
      </c>
      <c r="AE53" s="165">
        <v>1</v>
      </c>
      <c r="AF53" s="165">
        <v>10</v>
      </c>
      <c r="AG53" s="165">
        <v>9</v>
      </c>
      <c r="AH53" s="165">
        <v>4.5</v>
      </c>
      <c r="AI53" s="165">
        <v>4</v>
      </c>
      <c r="AJ53" s="165">
        <v>11</v>
      </c>
      <c r="AK53" s="165">
        <v>2.5</v>
      </c>
      <c r="AL53" s="165">
        <v>4.5</v>
      </c>
      <c r="AM53" s="165">
        <v>35.5</v>
      </c>
      <c r="AN53" s="167">
        <f>tbl_operations[[#This Row],[Interview Styling Registrations]]+tbl_operations[[#This Row],[Confidence Styling Registrations]]</f>
        <v>0</v>
      </c>
      <c r="AO53" s="167">
        <f>tbl_operations[[#This Row],[Interview Styling Completed]]+tbl_operations[[#This Row],[Confidence Styling Completed]]</f>
        <v>0</v>
      </c>
      <c r="AP53" s="167">
        <f>tbl_operations[[#This Row],[Interview Styling Male]]+tbl_operations[[#This Row],[Confidence Styling Male]]</f>
        <v>0</v>
      </c>
      <c r="AQ53" s="167">
        <f>tbl_operations[[#This Row],[Interview Styling Female]]+tbl_operations[[#This Row],[Confidence Styling Female]]</f>
        <v>0</v>
      </c>
      <c r="AR53" s="167">
        <f>tbl_operations[[#This Row],[Interview Styling Non-Binary]]+tbl_operations[[#This Row],[Confidence Styling Non-Binary]]</f>
        <v>0</v>
      </c>
    </row>
    <row r="54" spans="1:44">
      <c r="A54" s="161" t="s">
        <v>22</v>
      </c>
      <c r="B54" s="162" t="s">
        <v>95</v>
      </c>
      <c r="C54" s="161" t="s">
        <v>98</v>
      </c>
      <c r="D54" s="163">
        <v>46097</v>
      </c>
      <c r="E54" s="164" t="str">
        <f t="shared" si="0"/>
        <v>Monday</v>
      </c>
      <c r="F54" s="161">
        <v>0</v>
      </c>
      <c r="G54" s="161">
        <v>0</v>
      </c>
      <c r="H54" s="161">
        <v>0</v>
      </c>
      <c r="I54" s="161">
        <v>0</v>
      </c>
      <c r="J54" s="161">
        <v>0</v>
      </c>
      <c r="K54" s="161">
        <v>3</v>
      </c>
      <c r="L54" s="161">
        <v>3</v>
      </c>
      <c r="M54" s="161">
        <v>0</v>
      </c>
      <c r="N54" s="161">
        <v>3</v>
      </c>
      <c r="O54" s="161">
        <v>0</v>
      </c>
      <c r="P54" s="161">
        <v>1</v>
      </c>
      <c r="Q54" s="161">
        <v>0</v>
      </c>
      <c r="R54" s="161">
        <v>0</v>
      </c>
      <c r="S54" s="161">
        <v>0</v>
      </c>
      <c r="T54" s="165">
        <v>44.7</v>
      </c>
      <c r="U54" s="165">
        <v>0</v>
      </c>
      <c r="V54" s="161">
        <v>11</v>
      </c>
      <c r="W54" s="166">
        <v>285.51</v>
      </c>
      <c r="X54" s="161">
        <v>562</v>
      </c>
      <c r="Y54" s="161">
        <v>71</v>
      </c>
      <c r="Z54" s="165">
        <v>4</v>
      </c>
      <c r="AA54" s="165">
        <v>1</v>
      </c>
      <c r="AB54" s="165">
        <v>2</v>
      </c>
      <c r="AC54" s="165">
        <v>1</v>
      </c>
      <c r="AD54" s="165">
        <v>4</v>
      </c>
      <c r="AE54" s="165">
        <v>1</v>
      </c>
      <c r="AF54" s="165">
        <v>13</v>
      </c>
      <c r="AG54" s="165">
        <v>14.5</v>
      </c>
      <c r="AH54" s="165">
        <v>3.5</v>
      </c>
      <c r="AI54" s="165">
        <v>10.5</v>
      </c>
      <c r="AJ54" s="165">
        <v>3</v>
      </c>
      <c r="AK54" s="165">
        <v>8.5</v>
      </c>
      <c r="AL54" s="165">
        <v>4</v>
      </c>
      <c r="AM54" s="165">
        <v>44</v>
      </c>
      <c r="AN54" s="167">
        <f>tbl_operations[[#This Row],[Interview Styling Registrations]]+tbl_operations[[#This Row],[Confidence Styling Registrations]]</f>
        <v>3</v>
      </c>
      <c r="AO54" s="167">
        <f>tbl_operations[[#This Row],[Interview Styling Completed]]+tbl_operations[[#This Row],[Confidence Styling Completed]]</f>
        <v>3</v>
      </c>
      <c r="AP54" s="167">
        <f>tbl_operations[[#This Row],[Interview Styling Male]]+tbl_operations[[#This Row],[Confidence Styling Male]]</f>
        <v>0</v>
      </c>
      <c r="AQ54" s="167">
        <f>tbl_operations[[#This Row],[Interview Styling Female]]+tbl_operations[[#This Row],[Confidence Styling Female]]</f>
        <v>3</v>
      </c>
      <c r="AR54" s="167">
        <f>tbl_operations[[#This Row],[Interview Styling Non-Binary]]+tbl_operations[[#This Row],[Confidence Styling Non-Binary]]</f>
        <v>0</v>
      </c>
    </row>
    <row r="55" spans="1:44">
      <c r="A55" s="161" t="s">
        <v>22</v>
      </c>
      <c r="B55" s="162" t="s">
        <v>95</v>
      </c>
      <c r="C55" s="161" t="s">
        <v>98</v>
      </c>
      <c r="D55" s="163">
        <v>46098</v>
      </c>
      <c r="E55" s="164" t="str">
        <f t="shared" si="0"/>
        <v>Tuesday</v>
      </c>
      <c r="F55" s="161">
        <v>0</v>
      </c>
      <c r="G55" s="161">
        <v>0</v>
      </c>
      <c r="H55" s="161">
        <v>0</v>
      </c>
      <c r="I55" s="161">
        <v>0</v>
      </c>
      <c r="J55" s="161">
        <v>0</v>
      </c>
      <c r="K55" s="161">
        <v>1</v>
      </c>
      <c r="L55" s="161">
        <v>0</v>
      </c>
      <c r="M55" s="161">
        <v>0</v>
      </c>
      <c r="N55" s="161">
        <v>0</v>
      </c>
      <c r="O55" s="161">
        <v>0</v>
      </c>
      <c r="P55" s="161">
        <v>1</v>
      </c>
      <c r="Q55" s="161">
        <v>0</v>
      </c>
      <c r="R55" s="161">
        <v>0</v>
      </c>
      <c r="S55" s="161">
        <v>0</v>
      </c>
      <c r="T55" s="165">
        <v>28.3</v>
      </c>
      <c r="U55" s="165">
        <v>0</v>
      </c>
      <c r="V55" s="161">
        <v>7</v>
      </c>
      <c r="W55" s="166">
        <v>139.41</v>
      </c>
      <c r="X55" s="161">
        <v>2011</v>
      </c>
      <c r="Y55" s="161">
        <v>233</v>
      </c>
      <c r="Z55" s="165">
        <v>1</v>
      </c>
      <c r="AA55" s="165">
        <v>1</v>
      </c>
      <c r="AB55" s="165">
        <v>1</v>
      </c>
      <c r="AC55" s="165">
        <v>0</v>
      </c>
      <c r="AD55" s="165">
        <v>4</v>
      </c>
      <c r="AE55" s="165">
        <v>3</v>
      </c>
      <c r="AF55" s="165">
        <v>10</v>
      </c>
      <c r="AG55" s="165">
        <v>3</v>
      </c>
      <c r="AH55" s="165">
        <v>4</v>
      </c>
      <c r="AI55" s="165">
        <v>2.5</v>
      </c>
      <c r="AJ55" s="165">
        <v>0</v>
      </c>
      <c r="AK55" s="165">
        <v>21.5</v>
      </c>
      <c r="AL55" s="165">
        <v>15</v>
      </c>
      <c r="AM55" s="165">
        <v>46</v>
      </c>
      <c r="AN55" s="167">
        <f>tbl_operations[[#This Row],[Interview Styling Registrations]]+tbl_operations[[#This Row],[Confidence Styling Registrations]]</f>
        <v>1</v>
      </c>
      <c r="AO55" s="167">
        <f>tbl_operations[[#This Row],[Interview Styling Completed]]+tbl_operations[[#This Row],[Confidence Styling Completed]]</f>
        <v>0</v>
      </c>
      <c r="AP55" s="167">
        <f>tbl_operations[[#This Row],[Interview Styling Male]]+tbl_operations[[#This Row],[Confidence Styling Male]]</f>
        <v>0</v>
      </c>
      <c r="AQ55" s="167">
        <f>tbl_operations[[#This Row],[Interview Styling Female]]+tbl_operations[[#This Row],[Confidence Styling Female]]</f>
        <v>0</v>
      </c>
      <c r="AR55" s="167">
        <f>tbl_operations[[#This Row],[Interview Styling Non-Binary]]+tbl_operations[[#This Row],[Confidence Styling Non-Binary]]</f>
        <v>0</v>
      </c>
    </row>
    <row r="56" spans="1:44">
      <c r="A56" s="161" t="s">
        <v>22</v>
      </c>
      <c r="B56" s="162" t="s">
        <v>95</v>
      </c>
      <c r="C56" s="161" t="s">
        <v>98</v>
      </c>
      <c r="D56" s="163">
        <v>46099</v>
      </c>
      <c r="E56" s="164" t="str">
        <f t="shared" si="0"/>
        <v>Wednesday</v>
      </c>
      <c r="F56" s="161">
        <v>3</v>
      </c>
      <c r="G56" s="161">
        <v>3</v>
      </c>
      <c r="H56" s="161">
        <v>0</v>
      </c>
      <c r="I56" s="161">
        <v>2</v>
      </c>
      <c r="J56" s="161">
        <v>1</v>
      </c>
      <c r="K56" s="161">
        <v>1</v>
      </c>
      <c r="L56" s="161">
        <v>1</v>
      </c>
      <c r="M56" s="161">
        <v>1</v>
      </c>
      <c r="N56" s="161">
        <v>0</v>
      </c>
      <c r="O56" s="161">
        <v>0</v>
      </c>
      <c r="P56" s="161">
        <v>0</v>
      </c>
      <c r="Q56" s="161">
        <v>0</v>
      </c>
      <c r="R56" s="161">
        <v>0</v>
      </c>
      <c r="S56" s="161">
        <v>0</v>
      </c>
      <c r="T56" s="165">
        <v>52.7</v>
      </c>
      <c r="U56" s="165">
        <v>0</v>
      </c>
      <c r="V56" s="161">
        <v>11</v>
      </c>
      <c r="W56" s="166">
        <v>263.23</v>
      </c>
      <c r="X56" s="161">
        <v>1807</v>
      </c>
      <c r="Y56" s="161">
        <v>234</v>
      </c>
      <c r="Z56" s="165">
        <v>2</v>
      </c>
      <c r="AA56" s="165">
        <v>0</v>
      </c>
      <c r="AB56" s="165">
        <v>2</v>
      </c>
      <c r="AC56" s="165">
        <v>0</v>
      </c>
      <c r="AD56" s="165">
        <v>5</v>
      </c>
      <c r="AE56" s="165">
        <v>2</v>
      </c>
      <c r="AF56" s="165">
        <v>11</v>
      </c>
      <c r="AG56" s="165">
        <v>7</v>
      </c>
      <c r="AH56" s="165">
        <v>0</v>
      </c>
      <c r="AI56" s="165">
        <v>7.5</v>
      </c>
      <c r="AJ56" s="165">
        <v>0</v>
      </c>
      <c r="AK56" s="165">
        <v>25.5</v>
      </c>
      <c r="AL56" s="165">
        <v>6</v>
      </c>
      <c r="AM56" s="165">
        <v>46</v>
      </c>
      <c r="AN56" s="167">
        <f>tbl_operations[[#This Row],[Interview Styling Registrations]]+tbl_operations[[#This Row],[Confidence Styling Registrations]]</f>
        <v>4</v>
      </c>
      <c r="AO56" s="167">
        <f>tbl_operations[[#This Row],[Interview Styling Completed]]+tbl_operations[[#This Row],[Confidence Styling Completed]]</f>
        <v>4</v>
      </c>
      <c r="AP56" s="167">
        <f>tbl_operations[[#This Row],[Interview Styling Male]]+tbl_operations[[#This Row],[Confidence Styling Male]]</f>
        <v>1</v>
      </c>
      <c r="AQ56" s="167">
        <f>tbl_operations[[#This Row],[Interview Styling Female]]+tbl_operations[[#This Row],[Confidence Styling Female]]</f>
        <v>2</v>
      </c>
      <c r="AR56" s="167">
        <f>tbl_operations[[#This Row],[Interview Styling Non-Binary]]+tbl_operations[[#This Row],[Confidence Styling Non-Binary]]</f>
        <v>1</v>
      </c>
    </row>
    <row r="57" spans="1:44">
      <c r="A57" s="161" t="s">
        <v>22</v>
      </c>
      <c r="B57" s="162" t="s">
        <v>95</v>
      </c>
      <c r="C57" s="161" t="s">
        <v>98</v>
      </c>
      <c r="D57" s="163">
        <v>46100</v>
      </c>
      <c r="E57" s="164" t="str">
        <f t="shared" si="0"/>
        <v>Thursday</v>
      </c>
      <c r="F57" s="161">
        <v>4</v>
      </c>
      <c r="G57" s="161">
        <v>4</v>
      </c>
      <c r="H57" s="161">
        <v>1</v>
      </c>
      <c r="I57" s="161">
        <v>3</v>
      </c>
      <c r="J57" s="161">
        <v>0</v>
      </c>
      <c r="K57" s="161">
        <v>3</v>
      </c>
      <c r="L57" s="161">
        <v>3</v>
      </c>
      <c r="M57" s="161">
        <v>1</v>
      </c>
      <c r="N57" s="161">
        <v>1</v>
      </c>
      <c r="O57" s="161">
        <v>1</v>
      </c>
      <c r="P57" s="161">
        <v>1</v>
      </c>
      <c r="Q57" s="161">
        <v>1</v>
      </c>
      <c r="R57" s="161">
        <v>0</v>
      </c>
      <c r="S57" s="161">
        <v>0</v>
      </c>
      <c r="T57" s="165">
        <v>37.9</v>
      </c>
      <c r="U57" s="165">
        <v>0</v>
      </c>
      <c r="V57" s="161">
        <v>4</v>
      </c>
      <c r="W57" s="166">
        <v>55.06</v>
      </c>
      <c r="X57" s="161">
        <v>1187</v>
      </c>
      <c r="Y57" s="161">
        <v>53</v>
      </c>
      <c r="Z57" s="165">
        <v>2</v>
      </c>
      <c r="AA57" s="165">
        <v>0</v>
      </c>
      <c r="AB57" s="165">
        <v>0</v>
      </c>
      <c r="AC57" s="165">
        <v>2</v>
      </c>
      <c r="AD57" s="165">
        <v>5</v>
      </c>
      <c r="AE57" s="165">
        <v>4</v>
      </c>
      <c r="AF57" s="165">
        <v>13</v>
      </c>
      <c r="AG57" s="165">
        <v>6.5</v>
      </c>
      <c r="AH57" s="165">
        <v>0</v>
      </c>
      <c r="AI57" s="165">
        <v>0</v>
      </c>
      <c r="AJ57" s="165">
        <v>9</v>
      </c>
      <c r="AK57" s="165">
        <v>16</v>
      </c>
      <c r="AL57" s="165">
        <v>10.5</v>
      </c>
      <c r="AM57" s="165">
        <v>42</v>
      </c>
      <c r="AN57" s="167">
        <f>tbl_operations[[#This Row],[Interview Styling Registrations]]+tbl_operations[[#This Row],[Confidence Styling Registrations]]</f>
        <v>7</v>
      </c>
      <c r="AO57" s="167">
        <f>tbl_operations[[#This Row],[Interview Styling Completed]]+tbl_operations[[#This Row],[Confidence Styling Completed]]</f>
        <v>7</v>
      </c>
      <c r="AP57" s="167">
        <f>tbl_operations[[#This Row],[Interview Styling Male]]+tbl_operations[[#This Row],[Confidence Styling Male]]</f>
        <v>2</v>
      </c>
      <c r="AQ57" s="167">
        <f>tbl_operations[[#This Row],[Interview Styling Female]]+tbl_operations[[#This Row],[Confidence Styling Female]]</f>
        <v>4</v>
      </c>
      <c r="AR57" s="167">
        <f>tbl_operations[[#This Row],[Interview Styling Non-Binary]]+tbl_operations[[#This Row],[Confidence Styling Non-Binary]]</f>
        <v>1</v>
      </c>
    </row>
    <row r="58" spans="1:44">
      <c r="A58" s="161" t="s">
        <v>22</v>
      </c>
      <c r="B58" s="162" t="s">
        <v>95</v>
      </c>
      <c r="C58" s="161" t="s">
        <v>98</v>
      </c>
      <c r="D58" s="163">
        <v>46101</v>
      </c>
      <c r="E58" s="164" t="str">
        <f t="shared" si="0"/>
        <v>Friday</v>
      </c>
      <c r="F58" s="161">
        <v>3</v>
      </c>
      <c r="G58" s="161">
        <v>3</v>
      </c>
      <c r="H58" s="161">
        <v>1</v>
      </c>
      <c r="I58" s="161">
        <v>2</v>
      </c>
      <c r="J58" s="161">
        <v>0</v>
      </c>
      <c r="K58" s="161">
        <v>1</v>
      </c>
      <c r="L58" s="161">
        <v>1</v>
      </c>
      <c r="M58" s="161">
        <v>1</v>
      </c>
      <c r="N58" s="161">
        <v>0</v>
      </c>
      <c r="O58" s="161">
        <v>0</v>
      </c>
      <c r="P58" s="161">
        <v>0</v>
      </c>
      <c r="Q58" s="161">
        <v>0</v>
      </c>
      <c r="R58" s="161">
        <v>0</v>
      </c>
      <c r="S58" s="161">
        <v>0</v>
      </c>
      <c r="T58" s="165">
        <v>35.8</v>
      </c>
      <c r="U58" s="165">
        <v>3.9</v>
      </c>
      <c r="V58" s="161">
        <v>5</v>
      </c>
      <c r="W58" s="166">
        <v>146.82</v>
      </c>
      <c r="X58" s="161">
        <v>854</v>
      </c>
      <c r="Y58" s="161">
        <v>69</v>
      </c>
      <c r="Z58" s="165">
        <v>1</v>
      </c>
      <c r="AA58" s="165">
        <v>0</v>
      </c>
      <c r="AB58" s="165">
        <v>1</v>
      </c>
      <c r="AC58" s="165">
        <v>1</v>
      </c>
      <c r="AD58" s="165">
        <v>4</v>
      </c>
      <c r="AE58" s="165">
        <v>3</v>
      </c>
      <c r="AF58" s="165">
        <v>10</v>
      </c>
      <c r="AG58" s="165">
        <v>3</v>
      </c>
      <c r="AH58" s="165">
        <v>0</v>
      </c>
      <c r="AI58" s="165">
        <v>4.5</v>
      </c>
      <c r="AJ58" s="165">
        <v>2.5</v>
      </c>
      <c r="AK58" s="165">
        <v>10</v>
      </c>
      <c r="AL58" s="165">
        <v>9</v>
      </c>
      <c r="AM58" s="165">
        <v>29</v>
      </c>
      <c r="AN58" s="167">
        <f>tbl_operations[[#This Row],[Interview Styling Registrations]]+tbl_operations[[#This Row],[Confidence Styling Registrations]]</f>
        <v>4</v>
      </c>
      <c r="AO58" s="167">
        <f>tbl_operations[[#This Row],[Interview Styling Completed]]+tbl_operations[[#This Row],[Confidence Styling Completed]]</f>
        <v>4</v>
      </c>
      <c r="AP58" s="167">
        <f>tbl_operations[[#This Row],[Interview Styling Male]]+tbl_operations[[#This Row],[Confidence Styling Male]]</f>
        <v>2</v>
      </c>
      <c r="AQ58" s="167">
        <f>tbl_operations[[#This Row],[Interview Styling Female]]+tbl_operations[[#This Row],[Confidence Styling Female]]</f>
        <v>2</v>
      </c>
      <c r="AR58" s="167">
        <f>tbl_operations[[#This Row],[Interview Styling Non-Binary]]+tbl_operations[[#This Row],[Confidence Styling Non-Binary]]</f>
        <v>0</v>
      </c>
    </row>
    <row r="59" spans="1:44">
      <c r="A59" s="161" t="s">
        <v>22</v>
      </c>
      <c r="B59" s="162" t="s">
        <v>95</v>
      </c>
      <c r="C59" s="161" t="s">
        <v>99</v>
      </c>
      <c r="D59" s="163">
        <v>46104</v>
      </c>
      <c r="E59" s="164" t="str">
        <f t="shared" si="0"/>
        <v>Monday</v>
      </c>
      <c r="F59" s="161">
        <v>2</v>
      </c>
      <c r="G59" s="161">
        <v>2</v>
      </c>
      <c r="H59" s="161">
        <v>0</v>
      </c>
      <c r="I59" s="161">
        <v>2</v>
      </c>
      <c r="J59" s="161">
        <v>0</v>
      </c>
      <c r="K59" s="161">
        <v>3</v>
      </c>
      <c r="L59" s="161">
        <v>3</v>
      </c>
      <c r="M59" s="161">
        <v>1</v>
      </c>
      <c r="N59" s="161">
        <v>2</v>
      </c>
      <c r="O59" s="161">
        <v>0</v>
      </c>
      <c r="P59" s="161">
        <v>0</v>
      </c>
      <c r="Q59" s="161">
        <v>0</v>
      </c>
      <c r="R59" s="161">
        <v>1</v>
      </c>
      <c r="S59" s="161">
        <v>1</v>
      </c>
      <c r="T59" s="165">
        <v>43.9</v>
      </c>
      <c r="U59" s="165">
        <v>0</v>
      </c>
      <c r="V59" s="161">
        <v>4</v>
      </c>
      <c r="W59" s="166">
        <v>115.23</v>
      </c>
      <c r="X59" s="161">
        <v>621</v>
      </c>
      <c r="Y59" s="161">
        <v>88</v>
      </c>
      <c r="Z59" s="165">
        <v>4</v>
      </c>
      <c r="AA59" s="165">
        <v>0</v>
      </c>
      <c r="AB59" s="165">
        <v>1</v>
      </c>
      <c r="AC59" s="165">
        <v>0</v>
      </c>
      <c r="AD59" s="165">
        <v>2</v>
      </c>
      <c r="AE59" s="165">
        <v>1</v>
      </c>
      <c r="AF59" s="165">
        <v>8</v>
      </c>
      <c r="AG59" s="165">
        <v>17</v>
      </c>
      <c r="AH59" s="165">
        <v>0</v>
      </c>
      <c r="AI59" s="165">
        <v>2.5</v>
      </c>
      <c r="AJ59" s="165">
        <v>0</v>
      </c>
      <c r="AK59" s="165">
        <v>7</v>
      </c>
      <c r="AL59" s="165">
        <v>4</v>
      </c>
      <c r="AM59" s="165">
        <v>30.5</v>
      </c>
      <c r="AN59" s="167">
        <f>tbl_operations[[#This Row],[Interview Styling Registrations]]+tbl_operations[[#This Row],[Confidence Styling Registrations]]</f>
        <v>5</v>
      </c>
      <c r="AO59" s="167">
        <f>tbl_operations[[#This Row],[Interview Styling Completed]]+tbl_operations[[#This Row],[Confidence Styling Completed]]</f>
        <v>5</v>
      </c>
      <c r="AP59" s="167">
        <f>tbl_operations[[#This Row],[Interview Styling Male]]+tbl_operations[[#This Row],[Confidence Styling Male]]</f>
        <v>1</v>
      </c>
      <c r="AQ59" s="167">
        <f>tbl_operations[[#This Row],[Interview Styling Female]]+tbl_operations[[#This Row],[Confidence Styling Female]]</f>
        <v>4</v>
      </c>
      <c r="AR59" s="167">
        <f>tbl_operations[[#This Row],[Interview Styling Non-Binary]]+tbl_operations[[#This Row],[Confidence Styling Non-Binary]]</f>
        <v>0</v>
      </c>
    </row>
    <row r="60" spans="1:44">
      <c r="A60" s="161" t="s">
        <v>22</v>
      </c>
      <c r="B60" s="162" t="s">
        <v>95</v>
      </c>
      <c r="C60" s="161" t="s">
        <v>99</v>
      </c>
      <c r="D60" s="163">
        <v>46105</v>
      </c>
      <c r="E60" s="164" t="str">
        <f t="shared" si="0"/>
        <v>Tuesday</v>
      </c>
      <c r="F60" s="161">
        <v>4</v>
      </c>
      <c r="G60" s="161">
        <v>3</v>
      </c>
      <c r="H60" s="161">
        <v>1</v>
      </c>
      <c r="I60" s="161">
        <v>2</v>
      </c>
      <c r="J60" s="161">
        <v>0</v>
      </c>
      <c r="K60" s="161">
        <v>3</v>
      </c>
      <c r="L60" s="161">
        <v>3</v>
      </c>
      <c r="M60" s="161">
        <v>1</v>
      </c>
      <c r="N60" s="161">
        <v>2</v>
      </c>
      <c r="O60" s="161">
        <v>0</v>
      </c>
      <c r="P60" s="161">
        <v>0</v>
      </c>
      <c r="Q60" s="161">
        <v>0</v>
      </c>
      <c r="R60" s="161">
        <v>1</v>
      </c>
      <c r="S60" s="161">
        <v>0</v>
      </c>
      <c r="T60" s="165">
        <v>24.4</v>
      </c>
      <c r="U60" s="165">
        <v>0</v>
      </c>
      <c r="V60" s="161">
        <v>4</v>
      </c>
      <c r="W60" s="166">
        <v>122.04</v>
      </c>
      <c r="X60" s="161">
        <v>794</v>
      </c>
      <c r="Y60" s="161">
        <v>45</v>
      </c>
      <c r="Z60" s="165">
        <v>4</v>
      </c>
      <c r="AA60" s="165">
        <v>0</v>
      </c>
      <c r="AB60" s="165">
        <v>1</v>
      </c>
      <c r="AC60" s="165">
        <v>2</v>
      </c>
      <c r="AD60" s="165">
        <v>2</v>
      </c>
      <c r="AE60" s="165">
        <v>1</v>
      </c>
      <c r="AF60" s="165">
        <v>10</v>
      </c>
      <c r="AG60" s="165">
        <v>12.5</v>
      </c>
      <c r="AH60" s="165">
        <v>0</v>
      </c>
      <c r="AI60" s="165">
        <v>4</v>
      </c>
      <c r="AJ60" s="165">
        <v>10</v>
      </c>
      <c r="AK60" s="165">
        <v>7.5</v>
      </c>
      <c r="AL60" s="165">
        <v>3.5</v>
      </c>
      <c r="AM60" s="165">
        <v>37.5</v>
      </c>
      <c r="AN60" s="167">
        <f>tbl_operations[[#This Row],[Interview Styling Registrations]]+tbl_operations[[#This Row],[Confidence Styling Registrations]]</f>
        <v>7</v>
      </c>
      <c r="AO60" s="167">
        <f>tbl_operations[[#This Row],[Interview Styling Completed]]+tbl_operations[[#This Row],[Confidence Styling Completed]]</f>
        <v>6</v>
      </c>
      <c r="AP60" s="167">
        <f>tbl_operations[[#This Row],[Interview Styling Male]]+tbl_operations[[#This Row],[Confidence Styling Male]]</f>
        <v>2</v>
      </c>
      <c r="AQ60" s="167">
        <f>tbl_operations[[#This Row],[Interview Styling Female]]+tbl_operations[[#This Row],[Confidence Styling Female]]</f>
        <v>4</v>
      </c>
      <c r="AR60" s="167">
        <f>tbl_operations[[#This Row],[Interview Styling Non-Binary]]+tbl_operations[[#This Row],[Confidence Styling Non-Binary]]</f>
        <v>0</v>
      </c>
    </row>
    <row r="61" spans="1:44">
      <c r="A61" s="161" t="s">
        <v>22</v>
      </c>
      <c r="B61" s="162" t="s">
        <v>95</v>
      </c>
      <c r="C61" s="161" t="s">
        <v>99</v>
      </c>
      <c r="D61" s="163">
        <v>46106</v>
      </c>
      <c r="E61" s="164" t="str">
        <f t="shared" si="0"/>
        <v>Wednesday</v>
      </c>
      <c r="F61" s="161">
        <v>4</v>
      </c>
      <c r="G61" s="161">
        <v>4</v>
      </c>
      <c r="H61" s="161">
        <v>0</v>
      </c>
      <c r="I61" s="161">
        <v>4</v>
      </c>
      <c r="J61" s="161">
        <v>0</v>
      </c>
      <c r="K61" s="161">
        <v>0</v>
      </c>
      <c r="L61" s="161">
        <v>0</v>
      </c>
      <c r="M61" s="161">
        <v>0</v>
      </c>
      <c r="N61" s="161">
        <v>0</v>
      </c>
      <c r="O61" s="161">
        <v>0</v>
      </c>
      <c r="P61" s="161">
        <v>1</v>
      </c>
      <c r="Q61" s="161">
        <v>0</v>
      </c>
      <c r="R61" s="161">
        <v>0</v>
      </c>
      <c r="S61" s="161">
        <v>0</v>
      </c>
      <c r="T61" s="165">
        <v>15.5</v>
      </c>
      <c r="U61" s="165">
        <v>2.7</v>
      </c>
      <c r="V61" s="161">
        <v>18</v>
      </c>
      <c r="W61" s="166">
        <v>477.18</v>
      </c>
      <c r="X61" s="161">
        <v>821</v>
      </c>
      <c r="Y61" s="161">
        <v>127</v>
      </c>
      <c r="Z61" s="165">
        <v>3</v>
      </c>
      <c r="AA61" s="165">
        <v>1</v>
      </c>
      <c r="AB61" s="165">
        <v>0</v>
      </c>
      <c r="AC61" s="165">
        <v>0</v>
      </c>
      <c r="AD61" s="165">
        <v>4</v>
      </c>
      <c r="AE61" s="165">
        <v>4</v>
      </c>
      <c r="AF61" s="165">
        <v>12</v>
      </c>
      <c r="AG61" s="165">
        <v>11</v>
      </c>
      <c r="AH61" s="165">
        <v>2</v>
      </c>
      <c r="AI61" s="165">
        <v>0</v>
      </c>
      <c r="AJ61" s="165">
        <v>0</v>
      </c>
      <c r="AK61" s="165">
        <v>20</v>
      </c>
      <c r="AL61" s="165">
        <v>8.5</v>
      </c>
      <c r="AM61" s="165">
        <v>41.5</v>
      </c>
      <c r="AN61" s="167">
        <f>tbl_operations[[#This Row],[Interview Styling Registrations]]+tbl_operations[[#This Row],[Confidence Styling Registrations]]</f>
        <v>4</v>
      </c>
      <c r="AO61" s="167">
        <f>tbl_operations[[#This Row],[Interview Styling Completed]]+tbl_operations[[#This Row],[Confidence Styling Completed]]</f>
        <v>4</v>
      </c>
      <c r="AP61" s="167">
        <f>tbl_operations[[#This Row],[Interview Styling Male]]+tbl_operations[[#This Row],[Confidence Styling Male]]</f>
        <v>0</v>
      </c>
      <c r="AQ61" s="167">
        <f>tbl_operations[[#This Row],[Interview Styling Female]]+tbl_operations[[#This Row],[Confidence Styling Female]]</f>
        <v>4</v>
      </c>
      <c r="AR61" s="167">
        <f>tbl_operations[[#This Row],[Interview Styling Non-Binary]]+tbl_operations[[#This Row],[Confidence Styling Non-Binary]]</f>
        <v>0</v>
      </c>
    </row>
    <row r="62" spans="1:44">
      <c r="A62" s="161" t="s">
        <v>22</v>
      </c>
      <c r="B62" s="162" t="s">
        <v>95</v>
      </c>
      <c r="C62" s="161" t="s">
        <v>99</v>
      </c>
      <c r="D62" s="163">
        <v>46107</v>
      </c>
      <c r="E62" s="164" t="str">
        <f t="shared" si="0"/>
        <v>Thursday</v>
      </c>
      <c r="F62" s="161">
        <v>2</v>
      </c>
      <c r="G62" s="161">
        <v>2</v>
      </c>
      <c r="H62" s="161">
        <v>1</v>
      </c>
      <c r="I62" s="161">
        <v>1</v>
      </c>
      <c r="J62" s="161">
        <v>0</v>
      </c>
      <c r="K62" s="161">
        <v>0</v>
      </c>
      <c r="L62" s="161">
        <v>0</v>
      </c>
      <c r="M62" s="161">
        <v>0</v>
      </c>
      <c r="N62" s="161">
        <v>0</v>
      </c>
      <c r="O62" s="161">
        <v>0</v>
      </c>
      <c r="P62" s="161">
        <v>2</v>
      </c>
      <c r="Q62" s="161">
        <v>1</v>
      </c>
      <c r="R62" s="161">
        <v>0</v>
      </c>
      <c r="S62" s="161">
        <v>0</v>
      </c>
      <c r="T62" s="165">
        <v>48</v>
      </c>
      <c r="U62" s="165">
        <v>18.6</v>
      </c>
      <c r="V62" s="161">
        <v>6</v>
      </c>
      <c r="W62" s="166">
        <v>101.09</v>
      </c>
      <c r="X62" s="161">
        <v>894</v>
      </c>
      <c r="Y62" s="161">
        <v>86</v>
      </c>
      <c r="Z62" s="165">
        <v>2</v>
      </c>
      <c r="AA62" s="165">
        <v>2</v>
      </c>
      <c r="AB62" s="165">
        <v>2</v>
      </c>
      <c r="AC62" s="165">
        <v>0</v>
      </c>
      <c r="AD62" s="165">
        <v>5</v>
      </c>
      <c r="AE62" s="165">
        <v>4</v>
      </c>
      <c r="AF62" s="165">
        <v>15</v>
      </c>
      <c r="AG62" s="165">
        <v>6</v>
      </c>
      <c r="AH62" s="165">
        <v>6</v>
      </c>
      <c r="AI62" s="165">
        <v>6.5</v>
      </c>
      <c r="AJ62" s="165">
        <v>0</v>
      </c>
      <c r="AK62" s="165">
        <v>25.5</v>
      </c>
      <c r="AL62" s="165">
        <v>8.5</v>
      </c>
      <c r="AM62" s="165">
        <v>52.5</v>
      </c>
      <c r="AN62" s="167">
        <f>tbl_operations[[#This Row],[Interview Styling Registrations]]+tbl_operations[[#This Row],[Confidence Styling Registrations]]</f>
        <v>2</v>
      </c>
      <c r="AO62" s="167">
        <f>tbl_operations[[#This Row],[Interview Styling Completed]]+tbl_operations[[#This Row],[Confidence Styling Completed]]</f>
        <v>2</v>
      </c>
      <c r="AP62" s="167">
        <f>tbl_operations[[#This Row],[Interview Styling Male]]+tbl_operations[[#This Row],[Confidence Styling Male]]</f>
        <v>1</v>
      </c>
      <c r="AQ62" s="167">
        <f>tbl_operations[[#This Row],[Interview Styling Female]]+tbl_operations[[#This Row],[Confidence Styling Female]]</f>
        <v>1</v>
      </c>
      <c r="AR62" s="167">
        <f>tbl_operations[[#This Row],[Interview Styling Non-Binary]]+tbl_operations[[#This Row],[Confidence Styling Non-Binary]]</f>
        <v>0</v>
      </c>
    </row>
    <row r="63" spans="1:44">
      <c r="A63" s="161" t="s">
        <v>22</v>
      </c>
      <c r="B63" s="162" t="s">
        <v>95</v>
      </c>
      <c r="C63" s="161" t="s">
        <v>99</v>
      </c>
      <c r="D63" s="163">
        <v>46108</v>
      </c>
      <c r="E63" s="164" t="str">
        <f t="shared" si="0"/>
        <v>Friday</v>
      </c>
      <c r="F63" s="161">
        <v>3</v>
      </c>
      <c r="G63" s="161">
        <v>3</v>
      </c>
      <c r="H63" s="161">
        <v>1</v>
      </c>
      <c r="I63" s="161">
        <v>2</v>
      </c>
      <c r="J63" s="161">
        <v>0</v>
      </c>
      <c r="K63" s="161">
        <v>3</v>
      </c>
      <c r="L63" s="161">
        <v>3</v>
      </c>
      <c r="M63" s="161">
        <v>1</v>
      </c>
      <c r="N63" s="161">
        <v>2</v>
      </c>
      <c r="O63" s="161">
        <v>0</v>
      </c>
      <c r="P63" s="161">
        <v>0</v>
      </c>
      <c r="Q63" s="161">
        <v>0</v>
      </c>
      <c r="R63" s="161">
        <v>1</v>
      </c>
      <c r="S63" s="161">
        <v>0</v>
      </c>
      <c r="T63" s="165">
        <v>8</v>
      </c>
      <c r="U63" s="165">
        <v>0</v>
      </c>
      <c r="V63" s="161">
        <v>8</v>
      </c>
      <c r="W63" s="166">
        <v>202.26</v>
      </c>
      <c r="X63" s="161">
        <v>1705</v>
      </c>
      <c r="Y63" s="161">
        <v>150</v>
      </c>
      <c r="Z63" s="165">
        <v>3</v>
      </c>
      <c r="AA63" s="165">
        <v>2</v>
      </c>
      <c r="AB63" s="165">
        <v>1</v>
      </c>
      <c r="AC63" s="165">
        <v>1</v>
      </c>
      <c r="AD63" s="165">
        <v>1</v>
      </c>
      <c r="AE63" s="165">
        <v>2</v>
      </c>
      <c r="AF63" s="165">
        <v>10</v>
      </c>
      <c r="AG63" s="165">
        <v>13</v>
      </c>
      <c r="AH63" s="165">
        <v>8.5</v>
      </c>
      <c r="AI63" s="165">
        <v>3</v>
      </c>
      <c r="AJ63" s="165">
        <v>3</v>
      </c>
      <c r="AK63" s="165">
        <v>3.5</v>
      </c>
      <c r="AL63" s="165">
        <v>6</v>
      </c>
      <c r="AM63" s="165">
        <v>37</v>
      </c>
      <c r="AN63" s="167">
        <f>tbl_operations[[#This Row],[Interview Styling Registrations]]+tbl_operations[[#This Row],[Confidence Styling Registrations]]</f>
        <v>6</v>
      </c>
      <c r="AO63" s="167">
        <f>tbl_operations[[#This Row],[Interview Styling Completed]]+tbl_operations[[#This Row],[Confidence Styling Completed]]</f>
        <v>6</v>
      </c>
      <c r="AP63" s="167">
        <f>tbl_operations[[#This Row],[Interview Styling Male]]+tbl_operations[[#This Row],[Confidence Styling Male]]</f>
        <v>2</v>
      </c>
      <c r="AQ63" s="167">
        <f>tbl_operations[[#This Row],[Interview Styling Female]]+tbl_operations[[#This Row],[Confidence Styling Female]]</f>
        <v>4</v>
      </c>
      <c r="AR63" s="167">
        <f>tbl_operations[[#This Row],[Interview Styling Non-Binary]]+tbl_operations[[#This Row],[Confidence Styling Non-Binary]]</f>
        <v>0</v>
      </c>
    </row>
    <row r="64" spans="1:44">
      <c r="A64" s="161" t="s">
        <v>22</v>
      </c>
      <c r="B64" s="162" t="s">
        <v>95</v>
      </c>
      <c r="C64" s="161" t="s">
        <v>100</v>
      </c>
      <c r="D64" s="163">
        <v>46111</v>
      </c>
      <c r="E64" s="164" t="str">
        <f t="shared" si="0"/>
        <v>Monday</v>
      </c>
      <c r="F64" s="161">
        <v>2</v>
      </c>
      <c r="G64" s="161">
        <v>2</v>
      </c>
      <c r="H64" s="161">
        <v>1</v>
      </c>
      <c r="I64" s="161">
        <v>1</v>
      </c>
      <c r="J64" s="161">
        <v>0</v>
      </c>
      <c r="K64" s="161">
        <v>0</v>
      </c>
      <c r="L64" s="161">
        <v>0</v>
      </c>
      <c r="M64" s="161">
        <v>0</v>
      </c>
      <c r="N64" s="161">
        <v>0</v>
      </c>
      <c r="O64" s="161">
        <v>0</v>
      </c>
      <c r="P64" s="161">
        <v>1</v>
      </c>
      <c r="Q64" s="161">
        <v>1</v>
      </c>
      <c r="R64" s="161">
        <v>0</v>
      </c>
      <c r="S64" s="161">
        <v>0</v>
      </c>
      <c r="T64" s="165">
        <v>26.6</v>
      </c>
      <c r="U64" s="165">
        <v>0</v>
      </c>
      <c r="V64" s="161">
        <v>21</v>
      </c>
      <c r="W64" s="166">
        <v>449.14</v>
      </c>
      <c r="X64" s="161">
        <v>1954</v>
      </c>
      <c r="Y64" s="161">
        <v>189</v>
      </c>
      <c r="Z64" s="165">
        <v>1</v>
      </c>
      <c r="AA64" s="165">
        <v>0</v>
      </c>
      <c r="AB64" s="165">
        <v>2</v>
      </c>
      <c r="AC64" s="165">
        <v>2</v>
      </c>
      <c r="AD64" s="165">
        <v>1</v>
      </c>
      <c r="AE64" s="165">
        <v>4</v>
      </c>
      <c r="AF64" s="165">
        <v>10</v>
      </c>
      <c r="AG64" s="165">
        <v>3.5</v>
      </c>
      <c r="AH64" s="165">
        <v>0</v>
      </c>
      <c r="AI64" s="165">
        <v>4</v>
      </c>
      <c r="AJ64" s="165">
        <v>4</v>
      </c>
      <c r="AK64" s="165">
        <v>2</v>
      </c>
      <c r="AL64" s="165">
        <v>18</v>
      </c>
      <c r="AM64" s="165">
        <v>31.5</v>
      </c>
      <c r="AN64" s="167">
        <f>tbl_operations[[#This Row],[Interview Styling Registrations]]+tbl_operations[[#This Row],[Confidence Styling Registrations]]</f>
        <v>2</v>
      </c>
      <c r="AO64" s="167">
        <f>tbl_operations[[#This Row],[Interview Styling Completed]]+tbl_operations[[#This Row],[Confidence Styling Completed]]</f>
        <v>2</v>
      </c>
      <c r="AP64" s="167">
        <f>tbl_operations[[#This Row],[Interview Styling Male]]+tbl_operations[[#This Row],[Confidence Styling Male]]</f>
        <v>1</v>
      </c>
      <c r="AQ64" s="167">
        <f>tbl_operations[[#This Row],[Interview Styling Female]]+tbl_operations[[#This Row],[Confidence Styling Female]]</f>
        <v>1</v>
      </c>
      <c r="AR64" s="167">
        <f>tbl_operations[[#This Row],[Interview Styling Non-Binary]]+tbl_operations[[#This Row],[Confidence Styling Non-Binary]]</f>
        <v>0</v>
      </c>
    </row>
    <row r="65" spans="1:44">
      <c r="A65" s="161" t="s">
        <v>22</v>
      </c>
      <c r="B65" s="162" t="s">
        <v>95</v>
      </c>
      <c r="C65" s="161" t="s">
        <v>100</v>
      </c>
      <c r="D65" s="163">
        <v>46112</v>
      </c>
      <c r="E65" s="164" t="str">
        <f t="shared" si="0"/>
        <v>Tuesday</v>
      </c>
      <c r="F65" s="161">
        <v>0</v>
      </c>
      <c r="G65" s="161">
        <v>0</v>
      </c>
      <c r="H65" s="161">
        <v>0</v>
      </c>
      <c r="I65" s="161">
        <v>0</v>
      </c>
      <c r="J65" s="161">
        <v>0</v>
      </c>
      <c r="K65" s="161">
        <v>2</v>
      </c>
      <c r="L65" s="161">
        <v>2</v>
      </c>
      <c r="M65" s="161">
        <v>1</v>
      </c>
      <c r="N65" s="161">
        <v>1</v>
      </c>
      <c r="O65" s="161">
        <v>0</v>
      </c>
      <c r="P65" s="161">
        <v>2</v>
      </c>
      <c r="Q65" s="161">
        <v>0</v>
      </c>
      <c r="R65" s="161">
        <v>1</v>
      </c>
      <c r="S65" s="161">
        <v>0</v>
      </c>
      <c r="T65" s="165">
        <v>21.1</v>
      </c>
      <c r="U65" s="165">
        <v>6.2</v>
      </c>
      <c r="V65" s="161">
        <v>4</v>
      </c>
      <c r="W65" s="166">
        <v>109.12</v>
      </c>
      <c r="X65" s="161">
        <v>1619</v>
      </c>
      <c r="Y65" s="161">
        <v>107</v>
      </c>
      <c r="Z65" s="165">
        <v>1</v>
      </c>
      <c r="AA65" s="165">
        <v>0</v>
      </c>
      <c r="AB65" s="165">
        <v>2</v>
      </c>
      <c r="AC65" s="165">
        <v>0</v>
      </c>
      <c r="AD65" s="165">
        <v>4</v>
      </c>
      <c r="AE65" s="165">
        <v>4</v>
      </c>
      <c r="AF65" s="165">
        <v>11</v>
      </c>
      <c r="AG65" s="165">
        <v>3.5</v>
      </c>
      <c r="AH65" s="165">
        <v>0</v>
      </c>
      <c r="AI65" s="165">
        <v>4.5</v>
      </c>
      <c r="AJ65" s="165">
        <v>0</v>
      </c>
      <c r="AK65" s="165">
        <v>11</v>
      </c>
      <c r="AL65" s="165">
        <v>20</v>
      </c>
      <c r="AM65" s="165">
        <v>39</v>
      </c>
      <c r="AN65" s="167">
        <f>tbl_operations[[#This Row],[Interview Styling Registrations]]+tbl_operations[[#This Row],[Confidence Styling Registrations]]</f>
        <v>2</v>
      </c>
      <c r="AO65" s="167">
        <f>tbl_operations[[#This Row],[Interview Styling Completed]]+tbl_operations[[#This Row],[Confidence Styling Completed]]</f>
        <v>2</v>
      </c>
      <c r="AP65" s="167">
        <f>tbl_operations[[#This Row],[Interview Styling Male]]+tbl_operations[[#This Row],[Confidence Styling Male]]</f>
        <v>1</v>
      </c>
      <c r="AQ65" s="167">
        <f>tbl_operations[[#This Row],[Interview Styling Female]]+tbl_operations[[#This Row],[Confidence Styling Female]]</f>
        <v>1</v>
      </c>
      <c r="AR65" s="167">
        <f>tbl_operations[[#This Row],[Interview Styling Non-Binary]]+tbl_operations[[#This Row],[Confidence Styling Non-Binary]]</f>
        <v>0</v>
      </c>
    </row>
    <row r="66" spans="1:44">
      <c r="A66" s="161" t="s">
        <v>23</v>
      </c>
      <c r="B66" s="162" t="s">
        <v>101</v>
      </c>
      <c r="C66" s="161" t="s">
        <v>96</v>
      </c>
      <c r="D66" s="163">
        <v>46113</v>
      </c>
      <c r="E66" s="164" t="str">
        <f t="shared" ref="E66:E129" si="1">TEXT(D66,"dddd")</f>
        <v>Wednesday</v>
      </c>
      <c r="F66" s="161">
        <v>1</v>
      </c>
      <c r="G66" s="161">
        <v>1</v>
      </c>
      <c r="H66" s="161">
        <v>0</v>
      </c>
      <c r="I66" s="161">
        <v>1</v>
      </c>
      <c r="J66" s="161">
        <v>0</v>
      </c>
      <c r="K66" s="161">
        <v>1</v>
      </c>
      <c r="L66" s="161">
        <v>1</v>
      </c>
      <c r="M66" s="161">
        <v>0</v>
      </c>
      <c r="N66" s="161">
        <v>1</v>
      </c>
      <c r="O66" s="161">
        <v>0</v>
      </c>
      <c r="P66" s="161">
        <v>0</v>
      </c>
      <c r="Q66" s="161">
        <v>0</v>
      </c>
      <c r="R66" s="161">
        <v>0</v>
      </c>
      <c r="S66" s="161">
        <v>0</v>
      </c>
      <c r="T66" s="165">
        <v>11.1</v>
      </c>
      <c r="U66" s="165">
        <v>0</v>
      </c>
      <c r="V66" s="161">
        <v>7</v>
      </c>
      <c r="W66" s="166">
        <v>194.06</v>
      </c>
      <c r="X66" s="161">
        <v>1122</v>
      </c>
      <c r="Y66" s="161">
        <v>67</v>
      </c>
      <c r="Z66" s="165">
        <v>4</v>
      </c>
      <c r="AA66" s="165">
        <v>1</v>
      </c>
      <c r="AB66" s="165">
        <v>0</v>
      </c>
      <c r="AC66" s="165">
        <v>2</v>
      </c>
      <c r="AD66" s="165">
        <v>3</v>
      </c>
      <c r="AE66" s="165">
        <v>3</v>
      </c>
      <c r="AF66" s="165">
        <v>13</v>
      </c>
      <c r="AG66" s="165">
        <v>17</v>
      </c>
      <c r="AH66" s="165">
        <v>3.5</v>
      </c>
      <c r="AI66" s="165">
        <v>0</v>
      </c>
      <c r="AJ66" s="165">
        <v>5.5</v>
      </c>
      <c r="AK66" s="165">
        <v>15</v>
      </c>
      <c r="AL66" s="165">
        <v>15.5</v>
      </c>
      <c r="AM66" s="165">
        <v>56.5</v>
      </c>
      <c r="AN66" s="167">
        <f>tbl_operations[[#This Row],[Interview Styling Registrations]]+tbl_operations[[#This Row],[Confidence Styling Registrations]]</f>
        <v>2</v>
      </c>
      <c r="AO66" s="167">
        <f>tbl_operations[[#This Row],[Interview Styling Completed]]+tbl_operations[[#This Row],[Confidence Styling Completed]]</f>
        <v>2</v>
      </c>
      <c r="AP66" s="167">
        <f>tbl_operations[[#This Row],[Interview Styling Male]]+tbl_operations[[#This Row],[Confidence Styling Male]]</f>
        <v>0</v>
      </c>
      <c r="AQ66" s="167">
        <f>tbl_operations[[#This Row],[Interview Styling Female]]+tbl_operations[[#This Row],[Confidence Styling Female]]</f>
        <v>2</v>
      </c>
      <c r="AR66" s="167">
        <f>tbl_operations[[#This Row],[Interview Styling Non-Binary]]+tbl_operations[[#This Row],[Confidence Styling Non-Binary]]</f>
        <v>0</v>
      </c>
    </row>
    <row r="67" spans="1:44">
      <c r="A67" s="161" t="s">
        <v>23</v>
      </c>
      <c r="B67" s="162" t="s">
        <v>101</v>
      </c>
      <c r="C67" s="161" t="s">
        <v>96</v>
      </c>
      <c r="D67" s="163">
        <v>46114</v>
      </c>
      <c r="E67" s="164" t="str">
        <f t="shared" si="1"/>
        <v>Thursday</v>
      </c>
      <c r="F67" s="161">
        <v>4</v>
      </c>
      <c r="G67" s="161">
        <v>4</v>
      </c>
      <c r="H67" s="161">
        <v>0</v>
      </c>
      <c r="I67" s="161">
        <v>4</v>
      </c>
      <c r="J67" s="161">
        <v>0</v>
      </c>
      <c r="K67" s="161">
        <v>2</v>
      </c>
      <c r="L67" s="161">
        <v>2</v>
      </c>
      <c r="M67" s="161">
        <v>1</v>
      </c>
      <c r="N67" s="161">
        <v>1</v>
      </c>
      <c r="O67" s="161">
        <v>0</v>
      </c>
      <c r="P67" s="161">
        <v>0</v>
      </c>
      <c r="Q67" s="161">
        <v>0</v>
      </c>
      <c r="R67" s="161">
        <v>0</v>
      </c>
      <c r="S67" s="161">
        <v>0</v>
      </c>
      <c r="T67" s="165">
        <v>50.5</v>
      </c>
      <c r="U67" s="165">
        <v>4.2</v>
      </c>
      <c r="V67" s="161">
        <v>5</v>
      </c>
      <c r="W67" s="166">
        <v>147.79</v>
      </c>
      <c r="X67" s="161">
        <v>869</v>
      </c>
      <c r="Y67" s="161">
        <v>55</v>
      </c>
      <c r="Z67" s="165">
        <v>3</v>
      </c>
      <c r="AA67" s="165">
        <v>1</v>
      </c>
      <c r="AB67" s="165">
        <v>1</v>
      </c>
      <c r="AC67" s="165">
        <v>1</v>
      </c>
      <c r="AD67" s="165">
        <v>4</v>
      </c>
      <c r="AE67" s="165">
        <v>4</v>
      </c>
      <c r="AF67" s="165">
        <v>14</v>
      </c>
      <c r="AG67" s="165">
        <v>14.5</v>
      </c>
      <c r="AH67" s="165">
        <v>2.5</v>
      </c>
      <c r="AI67" s="165">
        <v>4</v>
      </c>
      <c r="AJ67" s="165">
        <v>5.5</v>
      </c>
      <c r="AK67" s="165">
        <v>16</v>
      </c>
      <c r="AL67" s="165">
        <v>19</v>
      </c>
      <c r="AM67" s="165">
        <v>61.5</v>
      </c>
      <c r="AN67" s="167">
        <f>tbl_operations[[#This Row],[Interview Styling Registrations]]+tbl_operations[[#This Row],[Confidence Styling Registrations]]</f>
        <v>6</v>
      </c>
      <c r="AO67" s="167">
        <f>tbl_operations[[#This Row],[Interview Styling Completed]]+tbl_operations[[#This Row],[Confidence Styling Completed]]</f>
        <v>6</v>
      </c>
      <c r="AP67" s="167">
        <f>tbl_operations[[#This Row],[Interview Styling Male]]+tbl_operations[[#This Row],[Confidence Styling Male]]</f>
        <v>1</v>
      </c>
      <c r="AQ67" s="167">
        <f>tbl_operations[[#This Row],[Interview Styling Female]]+tbl_operations[[#This Row],[Confidence Styling Female]]</f>
        <v>5</v>
      </c>
      <c r="AR67" s="167">
        <f>tbl_operations[[#This Row],[Interview Styling Non-Binary]]+tbl_operations[[#This Row],[Confidence Styling Non-Binary]]</f>
        <v>0</v>
      </c>
    </row>
    <row r="68" spans="1:44">
      <c r="A68" s="161" t="s">
        <v>23</v>
      </c>
      <c r="B68" s="162" t="s">
        <v>101</v>
      </c>
      <c r="C68" s="161" t="s">
        <v>96</v>
      </c>
      <c r="D68" s="163">
        <v>46115</v>
      </c>
      <c r="E68" s="164" t="str">
        <f t="shared" si="1"/>
        <v>Friday</v>
      </c>
      <c r="F68" s="161">
        <v>3</v>
      </c>
      <c r="G68" s="161">
        <v>2</v>
      </c>
      <c r="H68" s="161">
        <v>1</v>
      </c>
      <c r="I68" s="161">
        <v>1</v>
      </c>
      <c r="J68" s="161">
        <v>0</v>
      </c>
      <c r="K68" s="161">
        <v>0</v>
      </c>
      <c r="L68" s="161">
        <v>0</v>
      </c>
      <c r="M68" s="161">
        <v>0</v>
      </c>
      <c r="N68" s="161">
        <v>0</v>
      </c>
      <c r="O68" s="161">
        <v>0</v>
      </c>
      <c r="P68" s="161">
        <v>1</v>
      </c>
      <c r="Q68" s="161">
        <v>0</v>
      </c>
      <c r="R68" s="161">
        <v>0</v>
      </c>
      <c r="S68" s="161">
        <v>0</v>
      </c>
      <c r="T68" s="165">
        <v>63</v>
      </c>
      <c r="U68" s="165">
        <v>0</v>
      </c>
      <c r="V68" s="161">
        <v>10</v>
      </c>
      <c r="W68" s="166">
        <v>157.22</v>
      </c>
      <c r="X68" s="161">
        <v>1655</v>
      </c>
      <c r="Y68" s="161">
        <v>98</v>
      </c>
      <c r="Z68" s="165">
        <v>3</v>
      </c>
      <c r="AA68" s="165">
        <v>1</v>
      </c>
      <c r="AB68" s="165">
        <v>1</v>
      </c>
      <c r="AC68" s="165">
        <v>0</v>
      </c>
      <c r="AD68" s="165">
        <v>1</v>
      </c>
      <c r="AE68" s="165">
        <v>1</v>
      </c>
      <c r="AF68" s="165">
        <v>7</v>
      </c>
      <c r="AG68" s="165">
        <v>6.5</v>
      </c>
      <c r="AH68" s="165">
        <v>5.5</v>
      </c>
      <c r="AI68" s="165">
        <v>2.5</v>
      </c>
      <c r="AJ68" s="165">
        <v>0</v>
      </c>
      <c r="AK68" s="165">
        <v>2.5</v>
      </c>
      <c r="AL68" s="165">
        <v>3.5</v>
      </c>
      <c r="AM68" s="165">
        <v>20.5</v>
      </c>
      <c r="AN68" s="167">
        <f>tbl_operations[[#This Row],[Interview Styling Registrations]]+tbl_operations[[#This Row],[Confidence Styling Registrations]]</f>
        <v>3</v>
      </c>
      <c r="AO68" s="167">
        <f>tbl_operations[[#This Row],[Interview Styling Completed]]+tbl_operations[[#This Row],[Confidence Styling Completed]]</f>
        <v>2</v>
      </c>
      <c r="AP68" s="167">
        <f>tbl_operations[[#This Row],[Interview Styling Male]]+tbl_operations[[#This Row],[Confidence Styling Male]]</f>
        <v>1</v>
      </c>
      <c r="AQ68" s="167">
        <f>tbl_operations[[#This Row],[Interview Styling Female]]+tbl_operations[[#This Row],[Confidence Styling Female]]</f>
        <v>1</v>
      </c>
      <c r="AR68" s="167">
        <f>tbl_operations[[#This Row],[Interview Styling Non-Binary]]+tbl_operations[[#This Row],[Confidence Styling Non-Binary]]</f>
        <v>0</v>
      </c>
    </row>
    <row r="69" spans="1:44">
      <c r="A69" s="161" t="s">
        <v>23</v>
      </c>
      <c r="B69" s="162" t="s">
        <v>101</v>
      </c>
      <c r="C69" s="161" t="s">
        <v>97</v>
      </c>
      <c r="D69" s="163">
        <v>46118</v>
      </c>
      <c r="E69" s="164" t="str">
        <f t="shared" si="1"/>
        <v>Monday</v>
      </c>
      <c r="F69" s="161">
        <v>0</v>
      </c>
      <c r="G69" s="161">
        <v>0</v>
      </c>
      <c r="H69" s="161">
        <v>0</v>
      </c>
      <c r="I69" s="161">
        <v>0</v>
      </c>
      <c r="J69" s="161">
        <v>0</v>
      </c>
      <c r="K69" s="161">
        <v>1</v>
      </c>
      <c r="L69" s="161">
        <v>0</v>
      </c>
      <c r="M69" s="161">
        <v>0</v>
      </c>
      <c r="N69" s="161">
        <v>0</v>
      </c>
      <c r="O69" s="161">
        <v>0</v>
      </c>
      <c r="P69" s="161">
        <v>1</v>
      </c>
      <c r="Q69" s="161">
        <v>0</v>
      </c>
      <c r="R69" s="161">
        <v>0</v>
      </c>
      <c r="S69" s="161">
        <v>1</v>
      </c>
      <c r="T69" s="165">
        <v>49.5</v>
      </c>
      <c r="U69" s="165">
        <v>7.1</v>
      </c>
      <c r="V69" s="161">
        <v>16</v>
      </c>
      <c r="W69" s="166">
        <v>237.6</v>
      </c>
      <c r="X69" s="161">
        <v>552</v>
      </c>
      <c r="Y69" s="161">
        <v>83</v>
      </c>
      <c r="Z69" s="165">
        <v>1</v>
      </c>
      <c r="AA69" s="165">
        <v>1</v>
      </c>
      <c r="AB69" s="165">
        <v>0</v>
      </c>
      <c r="AC69" s="165">
        <v>1</v>
      </c>
      <c r="AD69" s="165">
        <v>3</v>
      </c>
      <c r="AE69" s="165">
        <v>1</v>
      </c>
      <c r="AF69" s="165">
        <v>7</v>
      </c>
      <c r="AG69" s="165">
        <v>4.5</v>
      </c>
      <c r="AH69" s="165">
        <v>3.5</v>
      </c>
      <c r="AI69" s="165">
        <v>0</v>
      </c>
      <c r="AJ69" s="165">
        <v>5</v>
      </c>
      <c r="AK69" s="165">
        <v>13.5</v>
      </c>
      <c r="AL69" s="165">
        <v>2.5</v>
      </c>
      <c r="AM69" s="165">
        <v>29</v>
      </c>
      <c r="AN69" s="167">
        <f>tbl_operations[[#This Row],[Interview Styling Registrations]]+tbl_operations[[#This Row],[Confidence Styling Registrations]]</f>
        <v>1</v>
      </c>
      <c r="AO69" s="167">
        <f>tbl_operations[[#This Row],[Interview Styling Completed]]+tbl_operations[[#This Row],[Confidence Styling Completed]]</f>
        <v>0</v>
      </c>
      <c r="AP69" s="167">
        <f>tbl_operations[[#This Row],[Interview Styling Male]]+tbl_operations[[#This Row],[Confidence Styling Male]]</f>
        <v>0</v>
      </c>
      <c r="AQ69" s="167">
        <f>tbl_operations[[#This Row],[Interview Styling Female]]+tbl_operations[[#This Row],[Confidence Styling Female]]</f>
        <v>0</v>
      </c>
      <c r="AR69" s="167">
        <f>tbl_operations[[#This Row],[Interview Styling Non-Binary]]+tbl_operations[[#This Row],[Confidence Styling Non-Binary]]</f>
        <v>0</v>
      </c>
    </row>
    <row r="70" spans="1:44">
      <c r="A70" s="161" t="s">
        <v>23</v>
      </c>
      <c r="B70" s="162" t="s">
        <v>101</v>
      </c>
      <c r="C70" s="161" t="s">
        <v>97</v>
      </c>
      <c r="D70" s="163">
        <v>46119</v>
      </c>
      <c r="E70" s="164" t="str">
        <f t="shared" si="1"/>
        <v>Tuesday</v>
      </c>
      <c r="F70" s="161">
        <v>4</v>
      </c>
      <c r="G70" s="161">
        <v>3</v>
      </c>
      <c r="H70" s="161">
        <v>0</v>
      </c>
      <c r="I70" s="161">
        <v>3</v>
      </c>
      <c r="J70" s="161">
        <v>0</v>
      </c>
      <c r="K70" s="161">
        <v>1</v>
      </c>
      <c r="L70" s="161">
        <v>1</v>
      </c>
      <c r="M70" s="161">
        <v>0</v>
      </c>
      <c r="N70" s="161">
        <v>1</v>
      </c>
      <c r="O70" s="161">
        <v>0</v>
      </c>
      <c r="P70" s="161">
        <v>0</v>
      </c>
      <c r="Q70" s="161">
        <v>0</v>
      </c>
      <c r="R70" s="161">
        <v>0</v>
      </c>
      <c r="S70" s="161">
        <v>0</v>
      </c>
      <c r="T70" s="165">
        <v>14.4</v>
      </c>
      <c r="U70" s="165">
        <v>0</v>
      </c>
      <c r="V70" s="161">
        <v>9</v>
      </c>
      <c r="W70" s="166">
        <v>241.49</v>
      </c>
      <c r="X70" s="161">
        <v>1799</v>
      </c>
      <c r="Y70" s="161">
        <v>234</v>
      </c>
      <c r="Z70" s="165">
        <v>3</v>
      </c>
      <c r="AA70" s="165">
        <v>0</v>
      </c>
      <c r="AB70" s="165">
        <v>1</v>
      </c>
      <c r="AC70" s="165">
        <v>0</v>
      </c>
      <c r="AD70" s="165">
        <v>1</v>
      </c>
      <c r="AE70" s="165">
        <v>3</v>
      </c>
      <c r="AF70" s="165">
        <v>8</v>
      </c>
      <c r="AG70" s="165">
        <v>7.5</v>
      </c>
      <c r="AH70" s="165">
        <v>0</v>
      </c>
      <c r="AI70" s="165">
        <v>5</v>
      </c>
      <c r="AJ70" s="165">
        <v>0</v>
      </c>
      <c r="AK70" s="165">
        <v>4.5</v>
      </c>
      <c r="AL70" s="165">
        <v>11.5</v>
      </c>
      <c r="AM70" s="165">
        <v>28.5</v>
      </c>
      <c r="AN70" s="167">
        <f>tbl_operations[[#This Row],[Interview Styling Registrations]]+tbl_operations[[#This Row],[Confidence Styling Registrations]]</f>
        <v>5</v>
      </c>
      <c r="AO70" s="167">
        <f>tbl_operations[[#This Row],[Interview Styling Completed]]+tbl_operations[[#This Row],[Confidence Styling Completed]]</f>
        <v>4</v>
      </c>
      <c r="AP70" s="167">
        <f>tbl_operations[[#This Row],[Interview Styling Male]]+tbl_operations[[#This Row],[Confidence Styling Male]]</f>
        <v>0</v>
      </c>
      <c r="AQ70" s="167">
        <f>tbl_operations[[#This Row],[Interview Styling Female]]+tbl_operations[[#This Row],[Confidence Styling Female]]</f>
        <v>4</v>
      </c>
      <c r="AR70" s="167">
        <f>tbl_operations[[#This Row],[Interview Styling Non-Binary]]+tbl_operations[[#This Row],[Confidence Styling Non-Binary]]</f>
        <v>0</v>
      </c>
    </row>
    <row r="71" spans="1:44">
      <c r="A71" s="161" t="s">
        <v>23</v>
      </c>
      <c r="B71" s="162" t="s">
        <v>101</v>
      </c>
      <c r="C71" s="161" t="s">
        <v>97</v>
      </c>
      <c r="D71" s="163">
        <v>46120</v>
      </c>
      <c r="E71" s="164" t="str">
        <f t="shared" si="1"/>
        <v>Wednesday</v>
      </c>
      <c r="F71" s="161">
        <v>0</v>
      </c>
      <c r="G71" s="161">
        <v>0</v>
      </c>
      <c r="H71" s="161">
        <v>0</v>
      </c>
      <c r="I71" s="161">
        <v>0</v>
      </c>
      <c r="J71" s="161">
        <v>0</v>
      </c>
      <c r="K71" s="161">
        <v>0</v>
      </c>
      <c r="L71" s="161">
        <v>0</v>
      </c>
      <c r="M71" s="161">
        <v>0</v>
      </c>
      <c r="N71" s="161">
        <v>0</v>
      </c>
      <c r="O71" s="161">
        <v>0</v>
      </c>
      <c r="P71" s="161">
        <v>0</v>
      </c>
      <c r="Q71" s="161">
        <v>1</v>
      </c>
      <c r="R71" s="161">
        <v>1</v>
      </c>
      <c r="S71" s="161">
        <v>0</v>
      </c>
      <c r="T71" s="165">
        <v>22.2</v>
      </c>
      <c r="U71" s="165">
        <v>0</v>
      </c>
      <c r="V71" s="161">
        <v>11</v>
      </c>
      <c r="W71" s="166">
        <v>254.04</v>
      </c>
      <c r="X71" s="161">
        <v>1903</v>
      </c>
      <c r="Y71" s="161">
        <v>57</v>
      </c>
      <c r="Z71" s="165">
        <v>1</v>
      </c>
      <c r="AA71" s="165">
        <v>0</v>
      </c>
      <c r="AB71" s="165">
        <v>1</v>
      </c>
      <c r="AC71" s="165">
        <v>0</v>
      </c>
      <c r="AD71" s="165">
        <v>4</v>
      </c>
      <c r="AE71" s="165">
        <v>3</v>
      </c>
      <c r="AF71" s="165">
        <v>9</v>
      </c>
      <c r="AG71" s="165">
        <v>3</v>
      </c>
      <c r="AH71" s="165">
        <v>0</v>
      </c>
      <c r="AI71" s="165">
        <v>3</v>
      </c>
      <c r="AJ71" s="165">
        <v>0</v>
      </c>
      <c r="AK71" s="165">
        <v>11</v>
      </c>
      <c r="AL71" s="165">
        <v>11</v>
      </c>
      <c r="AM71" s="165">
        <v>28</v>
      </c>
      <c r="AN71" s="167">
        <f>tbl_operations[[#This Row],[Interview Styling Registrations]]+tbl_operations[[#This Row],[Confidence Styling Registrations]]</f>
        <v>0</v>
      </c>
      <c r="AO71" s="167">
        <f>tbl_operations[[#This Row],[Interview Styling Completed]]+tbl_operations[[#This Row],[Confidence Styling Completed]]</f>
        <v>0</v>
      </c>
      <c r="AP71" s="167">
        <f>tbl_operations[[#This Row],[Interview Styling Male]]+tbl_operations[[#This Row],[Confidence Styling Male]]</f>
        <v>0</v>
      </c>
      <c r="AQ71" s="167">
        <f>tbl_operations[[#This Row],[Interview Styling Female]]+tbl_operations[[#This Row],[Confidence Styling Female]]</f>
        <v>0</v>
      </c>
      <c r="AR71" s="167">
        <f>tbl_operations[[#This Row],[Interview Styling Non-Binary]]+tbl_operations[[#This Row],[Confidence Styling Non-Binary]]</f>
        <v>0</v>
      </c>
    </row>
    <row r="72" spans="1:44">
      <c r="A72" s="161" t="s">
        <v>23</v>
      </c>
      <c r="B72" s="162" t="s">
        <v>101</v>
      </c>
      <c r="C72" s="161" t="s">
        <v>97</v>
      </c>
      <c r="D72" s="163">
        <v>46121</v>
      </c>
      <c r="E72" s="164" t="str">
        <f t="shared" si="1"/>
        <v>Thursday</v>
      </c>
      <c r="F72" s="161">
        <v>4</v>
      </c>
      <c r="G72" s="161">
        <v>4</v>
      </c>
      <c r="H72" s="161">
        <v>1</v>
      </c>
      <c r="I72" s="161">
        <v>3</v>
      </c>
      <c r="J72" s="161">
        <v>0</v>
      </c>
      <c r="K72" s="161">
        <v>1</v>
      </c>
      <c r="L72" s="161">
        <v>1</v>
      </c>
      <c r="M72" s="161">
        <v>1</v>
      </c>
      <c r="N72" s="161">
        <v>0</v>
      </c>
      <c r="O72" s="161">
        <v>0</v>
      </c>
      <c r="P72" s="161">
        <v>0</v>
      </c>
      <c r="Q72" s="161">
        <v>0</v>
      </c>
      <c r="R72" s="161">
        <v>0</v>
      </c>
      <c r="S72" s="161">
        <v>0</v>
      </c>
      <c r="T72" s="165">
        <v>21.6</v>
      </c>
      <c r="U72" s="165">
        <v>0</v>
      </c>
      <c r="V72" s="161">
        <v>12</v>
      </c>
      <c r="W72" s="166">
        <v>311.82</v>
      </c>
      <c r="X72" s="161">
        <v>1277</v>
      </c>
      <c r="Y72" s="161">
        <v>86</v>
      </c>
      <c r="Z72" s="165">
        <v>1</v>
      </c>
      <c r="AA72" s="165">
        <v>1</v>
      </c>
      <c r="AB72" s="165">
        <v>0</v>
      </c>
      <c r="AC72" s="165">
        <v>1</v>
      </c>
      <c r="AD72" s="165">
        <v>1</v>
      </c>
      <c r="AE72" s="165">
        <v>2</v>
      </c>
      <c r="AF72" s="165">
        <v>6</v>
      </c>
      <c r="AG72" s="165">
        <v>2.5</v>
      </c>
      <c r="AH72" s="165">
        <v>3.5</v>
      </c>
      <c r="AI72" s="165">
        <v>0</v>
      </c>
      <c r="AJ72" s="165">
        <v>3.5</v>
      </c>
      <c r="AK72" s="165">
        <v>3</v>
      </c>
      <c r="AL72" s="165">
        <v>6</v>
      </c>
      <c r="AM72" s="165">
        <v>18.5</v>
      </c>
      <c r="AN72" s="167">
        <f>tbl_operations[[#This Row],[Interview Styling Registrations]]+tbl_operations[[#This Row],[Confidence Styling Registrations]]</f>
        <v>5</v>
      </c>
      <c r="AO72" s="167">
        <f>tbl_operations[[#This Row],[Interview Styling Completed]]+tbl_operations[[#This Row],[Confidence Styling Completed]]</f>
        <v>5</v>
      </c>
      <c r="AP72" s="167">
        <f>tbl_operations[[#This Row],[Interview Styling Male]]+tbl_operations[[#This Row],[Confidence Styling Male]]</f>
        <v>2</v>
      </c>
      <c r="AQ72" s="167">
        <f>tbl_operations[[#This Row],[Interview Styling Female]]+tbl_operations[[#This Row],[Confidence Styling Female]]</f>
        <v>3</v>
      </c>
      <c r="AR72" s="167">
        <f>tbl_operations[[#This Row],[Interview Styling Non-Binary]]+tbl_operations[[#This Row],[Confidence Styling Non-Binary]]</f>
        <v>0</v>
      </c>
    </row>
    <row r="73" spans="1:44">
      <c r="A73" s="161" t="s">
        <v>23</v>
      </c>
      <c r="B73" s="162" t="s">
        <v>101</v>
      </c>
      <c r="C73" s="161" t="s">
        <v>97</v>
      </c>
      <c r="D73" s="163">
        <v>46122</v>
      </c>
      <c r="E73" s="164" t="str">
        <f t="shared" si="1"/>
        <v>Friday</v>
      </c>
      <c r="F73" s="161">
        <v>4</v>
      </c>
      <c r="G73" s="161">
        <v>3</v>
      </c>
      <c r="H73" s="161">
        <v>1</v>
      </c>
      <c r="I73" s="161">
        <v>2</v>
      </c>
      <c r="J73" s="161">
        <v>0</v>
      </c>
      <c r="K73" s="161">
        <v>2</v>
      </c>
      <c r="L73" s="161">
        <v>2</v>
      </c>
      <c r="M73" s="161">
        <v>1</v>
      </c>
      <c r="N73" s="161">
        <v>1</v>
      </c>
      <c r="O73" s="161">
        <v>0</v>
      </c>
      <c r="P73" s="161">
        <v>1</v>
      </c>
      <c r="Q73" s="161">
        <v>0</v>
      </c>
      <c r="R73" s="161">
        <v>1</v>
      </c>
      <c r="S73" s="161">
        <v>0</v>
      </c>
      <c r="T73" s="165">
        <v>31</v>
      </c>
      <c r="U73" s="165">
        <v>0</v>
      </c>
      <c r="V73" s="161">
        <v>3</v>
      </c>
      <c r="W73" s="166">
        <v>55.94</v>
      </c>
      <c r="X73" s="161">
        <v>1628</v>
      </c>
      <c r="Y73" s="161">
        <v>63</v>
      </c>
      <c r="Z73" s="165">
        <v>3</v>
      </c>
      <c r="AA73" s="165">
        <v>2</v>
      </c>
      <c r="AB73" s="165">
        <v>2</v>
      </c>
      <c r="AC73" s="165">
        <v>1</v>
      </c>
      <c r="AD73" s="165">
        <v>4</v>
      </c>
      <c r="AE73" s="165">
        <v>4</v>
      </c>
      <c r="AF73" s="165">
        <v>16</v>
      </c>
      <c r="AG73" s="165">
        <v>12.5</v>
      </c>
      <c r="AH73" s="165">
        <v>7</v>
      </c>
      <c r="AI73" s="165">
        <v>4.5</v>
      </c>
      <c r="AJ73" s="165">
        <v>5</v>
      </c>
      <c r="AK73" s="165">
        <v>17.5</v>
      </c>
      <c r="AL73" s="165">
        <v>16</v>
      </c>
      <c r="AM73" s="165">
        <v>62.5</v>
      </c>
      <c r="AN73" s="167">
        <f>tbl_operations[[#This Row],[Interview Styling Registrations]]+tbl_operations[[#This Row],[Confidence Styling Registrations]]</f>
        <v>6</v>
      </c>
      <c r="AO73" s="167">
        <f>tbl_operations[[#This Row],[Interview Styling Completed]]+tbl_operations[[#This Row],[Confidence Styling Completed]]</f>
        <v>5</v>
      </c>
      <c r="AP73" s="167">
        <f>tbl_operations[[#This Row],[Interview Styling Male]]+tbl_operations[[#This Row],[Confidence Styling Male]]</f>
        <v>2</v>
      </c>
      <c r="AQ73" s="167">
        <f>tbl_operations[[#This Row],[Interview Styling Female]]+tbl_operations[[#This Row],[Confidence Styling Female]]</f>
        <v>3</v>
      </c>
      <c r="AR73" s="167">
        <f>tbl_operations[[#This Row],[Interview Styling Non-Binary]]+tbl_operations[[#This Row],[Confidence Styling Non-Binary]]</f>
        <v>0</v>
      </c>
    </row>
    <row r="74" spans="1:44">
      <c r="A74" s="161" t="s">
        <v>23</v>
      </c>
      <c r="B74" s="162" t="s">
        <v>101</v>
      </c>
      <c r="C74" s="161" t="s">
        <v>98</v>
      </c>
      <c r="D74" s="163">
        <v>46125</v>
      </c>
      <c r="E74" s="164" t="str">
        <f t="shared" si="1"/>
        <v>Monday</v>
      </c>
      <c r="F74" s="161">
        <v>2</v>
      </c>
      <c r="G74" s="161">
        <v>2</v>
      </c>
      <c r="H74" s="161">
        <v>0</v>
      </c>
      <c r="I74" s="161">
        <v>2</v>
      </c>
      <c r="J74" s="161">
        <v>0</v>
      </c>
      <c r="K74" s="161">
        <v>0</v>
      </c>
      <c r="L74" s="161">
        <v>0</v>
      </c>
      <c r="M74" s="161">
        <v>0</v>
      </c>
      <c r="N74" s="161">
        <v>0</v>
      </c>
      <c r="O74" s="161">
        <v>0</v>
      </c>
      <c r="P74" s="161">
        <v>0</v>
      </c>
      <c r="Q74" s="161">
        <v>0</v>
      </c>
      <c r="R74" s="161">
        <v>0</v>
      </c>
      <c r="S74" s="161">
        <v>0</v>
      </c>
      <c r="T74" s="165">
        <v>23.3</v>
      </c>
      <c r="U74" s="165">
        <v>2.1</v>
      </c>
      <c r="V74" s="161">
        <v>6</v>
      </c>
      <c r="W74" s="166">
        <v>112.78</v>
      </c>
      <c r="X74" s="161">
        <v>1868</v>
      </c>
      <c r="Y74" s="161">
        <v>105</v>
      </c>
      <c r="Z74" s="165">
        <v>2</v>
      </c>
      <c r="AA74" s="165">
        <v>2</v>
      </c>
      <c r="AB74" s="165">
        <v>1</v>
      </c>
      <c r="AC74" s="165">
        <v>0</v>
      </c>
      <c r="AD74" s="165">
        <v>3</v>
      </c>
      <c r="AE74" s="165">
        <v>2</v>
      </c>
      <c r="AF74" s="165">
        <v>10</v>
      </c>
      <c r="AG74" s="165">
        <v>8.5</v>
      </c>
      <c r="AH74" s="165">
        <v>9</v>
      </c>
      <c r="AI74" s="165">
        <v>3.5</v>
      </c>
      <c r="AJ74" s="165">
        <v>0</v>
      </c>
      <c r="AK74" s="165">
        <v>11</v>
      </c>
      <c r="AL74" s="165">
        <v>5.5</v>
      </c>
      <c r="AM74" s="165">
        <v>37.5</v>
      </c>
      <c r="AN74" s="167">
        <f>tbl_operations[[#This Row],[Interview Styling Registrations]]+tbl_operations[[#This Row],[Confidence Styling Registrations]]</f>
        <v>2</v>
      </c>
      <c r="AO74" s="167">
        <f>tbl_operations[[#This Row],[Interview Styling Completed]]+tbl_operations[[#This Row],[Confidence Styling Completed]]</f>
        <v>2</v>
      </c>
      <c r="AP74" s="167">
        <f>tbl_operations[[#This Row],[Interview Styling Male]]+tbl_operations[[#This Row],[Confidence Styling Male]]</f>
        <v>0</v>
      </c>
      <c r="AQ74" s="167">
        <f>tbl_operations[[#This Row],[Interview Styling Female]]+tbl_operations[[#This Row],[Confidence Styling Female]]</f>
        <v>2</v>
      </c>
      <c r="AR74" s="167">
        <f>tbl_operations[[#This Row],[Interview Styling Non-Binary]]+tbl_operations[[#This Row],[Confidence Styling Non-Binary]]</f>
        <v>0</v>
      </c>
    </row>
    <row r="75" spans="1:44">
      <c r="A75" s="161" t="s">
        <v>23</v>
      </c>
      <c r="B75" s="162" t="s">
        <v>101</v>
      </c>
      <c r="C75" s="161" t="s">
        <v>98</v>
      </c>
      <c r="D75" s="163">
        <v>46126</v>
      </c>
      <c r="E75" s="164" t="str">
        <f t="shared" si="1"/>
        <v>Tuesday</v>
      </c>
      <c r="F75" s="161">
        <v>1</v>
      </c>
      <c r="G75" s="161">
        <v>1</v>
      </c>
      <c r="H75" s="161">
        <v>1</v>
      </c>
      <c r="I75" s="161">
        <v>0</v>
      </c>
      <c r="J75" s="161">
        <v>0</v>
      </c>
      <c r="K75" s="161">
        <v>2</v>
      </c>
      <c r="L75" s="161">
        <v>2</v>
      </c>
      <c r="M75" s="161">
        <v>0</v>
      </c>
      <c r="N75" s="161">
        <v>2</v>
      </c>
      <c r="O75" s="161">
        <v>0</v>
      </c>
      <c r="P75" s="161">
        <v>2</v>
      </c>
      <c r="Q75" s="161">
        <v>0</v>
      </c>
      <c r="R75" s="161">
        <v>0</v>
      </c>
      <c r="S75" s="161">
        <v>0</v>
      </c>
      <c r="T75" s="165">
        <v>14.1</v>
      </c>
      <c r="U75" s="165">
        <v>0</v>
      </c>
      <c r="V75" s="161">
        <v>3</v>
      </c>
      <c r="W75" s="166">
        <v>79.61</v>
      </c>
      <c r="X75" s="161">
        <v>1727</v>
      </c>
      <c r="Y75" s="161">
        <v>269</v>
      </c>
      <c r="Z75" s="165">
        <v>4</v>
      </c>
      <c r="AA75" s="165">
        <v>1</v>
      </c>
      <c r="AB75" s="165">
        <v>2</v>
      </c>
      <c r="AC75" s="165">
        <v>0</v>
      </c>
      <c r="AD75" s="165">
        <v>5</v>
      </c>
      <c r="AE75" s="165">
        <v>3</v>
      </c>
      <c r="AF75" s="165">
        <v>15</v>
      </c>
      <c r="AG75" s="165">
        <v>19</v>
      </c>
      <c r="AH75" s="165">
        <v>2.5</v>
      </c>
      <c r="AI75" s="165">
        <v>5</v>
      </c>
      <c r="AJ75" s="165">
        <v>0</v>
      </c>
      <c r="AK75" s="165">
        <v>19</v>
      </c>
      <c r="AL75" s="165">
        <v>14</v>
      </c>
      <c r="AM75" s="165">
        <v>59.5</v>
      </c>
      <c r="AN75" s="167">
        <f>tbl_operations[[#This Row],[Interview Styling Registrations]]+tbl_operations[[#This Row],[Confidence Styling Registrations]]</f>
        <v>3</v>
      </c>
      <c r="AO75" s="167">
        <f>tbl_operations[[#This Row],[Interview Styling Completed]]+tbl_operations[[#This Row],[Confidence Styling Completed]]</f>
        <v>3</v>
      </c>
      <c r="AP75" s="167">
        <f>tbl_operations[[#This Row],[Interview Styling Male]]+tbl_operations[[#This Row],[Confidence Styling Male]]</f>
        <v>1</v>
      </c>
      <c r="AQ75" s="167">
        <f>tbl_operations[[#This Row],[Interview Styling Female]]+tbl_operations[[#This Row],[Confidence Styling Female]]</f>
        <v>2</v>
      </c>
      <c r="AR75" s="167">
        <f>tbl_operations[[#This Row],[Interview Styling Non-Binary]]+tbl_operations[[#This Row],[Confidence Styling Non-Binary]]</f>
        <v>0</v>
      </c>
    </row>
    <row r="76" spans="1:44">
      <c r="A76" s="161" t="s">
        <v>23</v>
      </c>
      <c r="B76" s="162" t="s">
        <v>101</v>
      </c>
      <c r="C76" s="161" t="s">
        <v>98</v>
      </c>
      <c r="D76" s="163">
        <v>46127</v>
      </c>
      <c r="E76" s="164" t="str">
        <f t="shared" si="1"/>
        <v>Wednesday</v>
      </c>
      <c r="F76" s="161">
        <v>3</v>
      </c>
      <c r="G76" s="161">
        <v>3</v>
      </c>
      <c r="H76" s="161">
        <v>1</v>
      </c>
      <c r="I76" s="161">
        <v>2</v>
      </c>
      <c r="J76" s="161">
        <v>0</v>
      </c>
      <c r="K76" s="161">
        <v>1</v>
      </c>
      <c r="L76" s="161">
        <v>1</v>
      </c>
      <c r="M76" s="161">
        <v>0</v>
      </c>
      <c r="N76" s="161">
        <v>1</v>
      </c>
      <c r="O76" s="161">
        <v>0</v>
      </c>
      <c r="P76" s="161">
        <v>0</v>
      </c>
      <c r="Q76" s="161">
        <v>0</v>
      </c>
      <c r="R76" s="161">
        <v>0</v>
      </c>
      <c r="S76" s="161">
        <v>0</v>
      </c>
      <c r="T76" s="165">
        <v>20.7</v>
      </c>
      <c r="U76" s="165">
        <v>0</v>
      </c>
      <c r="V76" s="161">
        <v>14</v>
      </c>
      <c r="W76" s="166">
        <v>261.09</v>
      </c>
      <c r="X76" s="161">
        <v>794</v>
      </c>
      <c r="Y76" s="161">
        <v>104</v>
      </c>
      <c r="Z76" s="165">
        <v>3</v>
      </c>
      <c r="AA76" s="165">
        <v>0</v>
      </c>
      <c r="AB76" s="165">
        <v>2</v>
      </c>
      <c r="AC76" s="165">
        <v>0</v>
      </c>
      <c r="AD76" s="165">
        <v>1</v>
      </c>
      <c r="AE76" s="165">
        <v>4</v>
      </c>
      <c r="AF76" s="165">
        <v>10</v>
      </c>
      <c r="AG76" s="165">
        <v>7.5</v>
      </c>
      <c r="AH76" s="165">
        <v>0</v>
      </c>
      <c r="AI76" s="165">
        <v>9.5</v>
      </c>
      <c r="AJ76" s="165">
        <v>0</v>
      </c>
      <c r="AK76" s="165">
        <v>4</v>
      </c>
      <c r="AL76" s="165">
        <v>17</v>
      </c>
      <c r="AM76" s="165">
        <v>38</v>
      </c>
      <c r="AN76" s="167">
        <f>tbl_operations[[#This Row],[Interview Styling Registrations]]+tbl_operations[[#This Row],[Confidence Styling Registrations]]</f>
        <v>4</v>
      </c>
      <c r="AO76" s="167">
        <f>tbl_operations[[#This Row],[Interview Styling Completed]]+tbl_operations[[#This Row],[Confidence Styling Completed]]</f>
        <v>4</v>
      </c>
      <c r="AP76" s="167">
        <f>tbl_operations[[#This Row],[Interview Styling Male]]+tbl_operations[[#This Row],[Confidence Styling Male]]</f>
        <v>1</v>
      </c>
      <c r="AQ76" s="167">
        <f>tbl_operations[[#This Row],[Interview Styling Female]]+tbl_operations[[#This Row],[Confidence Styling Female]]</f>
        <v>3</v>
      </c>
      <c r="AR76" s="167">
        <f>tbl_operations[[#This Row],[Interview Styling Non-Binary]]+tbl_operations[[#This Row],[Confidence Styling Non-Binary]]</f>
        <v>0</v>
      </c>
    </row>
    <row r="77" spans="1:44">
      <c r="A77" s="161" t="s">
        <v>23</v>
      </c>
      <c r="B77" s="162" t="s">
        <v>101</v>
      </c>
      <c r="C77" s="161" t="s">
        <v>98</v>
      </c>
      <c r="D77" s="163">
        <v>46128</v>
      </c>
      <c r="E77" s="164" t="str">
        <f t="shared" si="1"/>
        <v>Thursday</v>
      </c>
      <c r="F77" s="161">
        <v>0</v>
      </c>
      <c r="G77" s="161">
        <v>0</v>
      </c>
      <c r="H77" s="161">
        <v>0</v>
      </c>
      <c r="I77" s="161">
        <v>0</v>
      </c>
      <c r="J77" s="161">
        <v>0</v>
      </c>
      <c r="K77" s="161">
        <v>2</v>
      </c>
      <c r="L77" s="161">
        <v>2</v>
      </c>
      <c r="M77" s="161">
        <v>0</v>
      </c>
      <c r="N77" s="161">
        <v>2</v>
      </c>
      <c r="O77" s="161">
        <v>0</v>
      </c>
      <c r="P77" s="161">
        <v>0</v>
      </c>
      <c r="Q77" s="161">
        <v>1</v>
      </c>
      <c r="R77" s="161">
        <v>0</v>
      </c>
      <c r="S77" s="161">
        <v>0</v>
      </c>
      <c r="T77" s="165">
        <v>43.7</v>
      </c>
      <c r="U77" s="165">
        <v>0</v>
      </c>
      <c r="V77" s="161">
        <v>14</v>
      </c>
      <c r="W77" s="166">
        <v>364.07</v>
      </c>
      <c r="X77" s="161">
        <v>323</v>
      </c>
      <c r="Y77" s="161">
        <v>38</v>
      </c>
      <c r="Z77" s="165">
        <v>2</v>
      </c>
      <c r="AA77" s="165">
        <v>0</v>
      </c>
      <c r="AB77" s="165">
        <v>1</v>
      </c>
      <c r="AC77" s="165">
        <v>2</v>
      </c>
      <c r="AD77" s="165">
        <v>2</v>
      </c>
      <c r="AE77" s="165">
        <v>2</v>
      </c>
      <c r="AF77" s="165">
        <v>9</v>
      </c>
      <c r="AG77" s="165">
        <v>6.5</v>
      </c>
      <c r="AH77" s="165">
        <v>0</v>
      </c>
      <c r="AI77" s="165">
        <v>3.5</v>
      </c>
      <c r="AJ77" s="165">
        <v>5</v>
      </c>
      <c r="AK77" s="165">
        <v>10.5</v>
      </c>
      <c r="AL77" s="165">
        <v>8.5</v>
      </c>
      <c r="AM77" s="165">
        <v>34</v>
      </c>
      <c r="AN77" s="167">
        <f>tbl_operations[[#This Row],[Interview Styling Registrations]]+tbl_operations[[#This Row],[Confidence Styling Registrations]]</f>
        <v>2</v>
      </c>
      <c r="AO77" s="167">
        <f>tbl_operations[[#This Row],[Interview Styling Completed]]+tbl_operations[[#This Row],[Confidence Styling Completed]]</f>
        <v>2</v>
      </c>
      <c r="AP77" s="167">
        <f>tbl_operations[[#This Row],[Interview Styling Male]]+tbl_operations[[#This Row],[Confidence Styling Male]]</f>
        <v>0</v>
      </c>
      <c r="AQ77" s="167">
        <f>tbl_operations[[#This Row],[Interview Styling Female]]+tbl_operations[[#This Row],[Confidence Styling Female]]</f>
        <v>2</v>
      </c>
      <c r="AR77" s="167">
        <f>tbl_operations[[#This Row],[Interview Styling Non-Binary]]+tbl_operations[[#This Row],[Confidence Styling Non-Binary]]</f>
        <v>0</v>
      </c>
    </row>
    <row r="78" spans="1:44">
      <c r="A78" s="161" t="s">
        <v>23</v>
      </c>
      <c r="B78" s="162" t="s">
        <v>101</v>
      </c>
      <c r="C78" s="161" t="s">
        <v>98</v>
      </c>
      <c r="D78" s="163">
        <v>46129</v>
      </c>
      <c r="E78" s="164" t="str">
        <f t="shared" si="1"/>
        <v>Friday</v>
      </c>
      <c r="F78" s="161">
        <v>1</v>
      </c>
      <c r="G78" s="161">
        <v>1</v>
      </c>
      <c r="H78" s="161">
        <v>0</v>
      </c>
      <c r="I78" s="161">
        <v>1</v>
      </c>
      <c r="J78" s="161">
        <v>0</v>
      </c>
      <c r="K78" s="161">
        <v>1</v>
      </c>
      <c r="L78" s="161">
        <v>1</v>
      </c>
      <c r="M78" s="161">
        <v>1</v>
      </c>
      <c r="N78" s="161">
        <v>0</v>
      </c>
      <c r="O78" s="161">
        <v>0</v>
      </c>
      <c r="P78" s="161">
        <v>0</v>
      </c>
      <c r="Q78" s="161">
        <v>0</v>
      </c>
      <c r="R78" s="161">
        <v>1</v>
      </c>
      <c r="S78" s="161">
        <v>0</v>
      </c>
      <c r="T78" s="165">
        <v>45.9</v>
      </c>
      <c r="U78" s="165">
        <v>15.7</v>
      </c>
      <c r="V78" s="161">
        <v>14</v>
      </c>
      <c r="W78" s="166">
        <v>233.57</v>
      </c>
      <c r="X78" s="161">
        <v>526</v>
      </c>
      <c r="Y78" s="161">
        <v>24</v>
      </c>
      <c r="Z78" s="165">
        <v>4</v>
      </c>
      <c r="AA78" s="165">
        <v>0</v>
      </c>
      <c r="AB78" s="165">
        <v>1</v>
      </c>
      <c r="AC78" s="165">
        <v>0</v>
      </c>
      <c r="AD78" s="165">
        <v>2</v>
      </c>
      <c r="AE78" s="165">
        <v>3</v>
      </c>
      <c r="AF78" s="165">
        <v>10</v>
      </c>
      <c r="AG78" s="165">
        <v>19.5</v>
      </c>
      <c r="AH78" s="165">
        <v>0</v>
      </c>
      <c r="AI78" s="165">
        <v>3</v>
      </c>
      <c r="AJ78" s="165">
        <v>0</v>
      </c>
      <c r="AK78" s="165">
        <v>6.5</v>
      </c>
      <c r="AL78" s="165">
        <v>7</v>
      </c>
      <c r="AM78" s="165">
        <v>36</v>
      </c>
      <c r="AN78" s="167">
        <f>tbl_operations[[#This Row],[Interview Styling Registrations]]+tbl_operations[[#This Row],[Confidence Styling Registrations]]</f>
        <v>2</v>
      </c>
      <c r="AO78" s="167">
        <f>tbl_operations[[#This Row],[Interview Styling Completed]]+tbl_operations[[#This Row],[Confidence Styling Completed]]</f>
        <v>2</v>
      </c>
      <c r="AP78" s="167">
        <f>tbl_operations[[#This Row],[Interview Styling Male]]+tbl_operations[[#This Row],[Confidence Styling Male]]</f>
        <v>1</v>
      </c>
      <c r="AQ78" s="167">
        <f>tbl_operations[[#This Row],[Interview Styling Female]]+tbl_operations[[#This Row],[Confidence Styling Female]]</f>
        <v>1</v>
      </c>
      <c r="AR78" s="167">
        <f>tbl_operations[[#This Row],[Interview Styling Non-Binary]]+tbl_operations[[#This Row],[Confidence Styling Non-Binary]]</f>
        <v>0</v>
      </c>
    </row>
    <row r="79" spans="1:44">
      <c r="A79" s="161" t="s">
        <v>23</v>
      </c>
      <c r="B79" s="162" t="s">
        <v>101</v>
      </c>
      <c r="C79" s="161" t="s">
        <v>99</v>
      </c>
      <c r="D79" s="163">
        <v>46132</v>
      </c>
      <c r="E79" s="164" t="str">
        <f t="shared" si="1"/>
        <v>Monday</v>
      </c>
      <c r="F79" s="161">
        <v>4</v>
      </c>
      <c r="G79" s="161">
        <v>4</v>
      </c>
      <c r="H79" s="161">
        <v>1</v>
      </c>
      <c r="I79" s="161">
        <v>3</v>
      </c>
      <c r="J79" s="161">
        <v>0</v>
      </c>
      <c r="K79" s="161">
        <v>1</v>
      </c>
      <c r="L79" s="161">
        <v>1</v>
      </c>
      <c r="M79" s="161">
        <v>1</v>
      </c>
      <c r="N79" s="161">
        <v>0</v>
      </c>
      <c r="O79" s="161">
        <v>0</v>
      </c>
      <c r="P79" s="161">
        <v>0</v>
      </c>
      <c r="Q79" s="161">
        <v>0</v>
      </c>
      <c r="R79" s="161">
        <v>0</v>
      </c>
      <c r="S79" s="161">
        <v>0</v>
      </c>
      <c r="T79" s="165">
        <v>17.7</v>
      </c>
      <c r="U79" s="165">
        <v>6.4</v>
      </c>
      <c r="V79" s="161">
        <v>13</v>
      </c>
      <c r="W79" s="166">
        <v>242.66</v>
      </c>
      <c r="X79" s="161">
        <v>657</v>
      </c>
      <c r="Y79" s="161">
        <v>20</v>
      </c>
      <c r="Z79" s="165">
        <v>2</v>
      </c>
      <c r="AA79" s="165">
        <v>0</v>
      </c>
      <c r="AB79" s="165">
        <v>2</v>
      </c>
      <c r="AC79" s="165">
        <v>1</v>
      </c>
      <c r="AD79" s="165">
        <v>1</v>
      </c>
      <c r="AE79" s="165">
        <v>1</v>
      </c>
      <c r="AF79" s="165">
        <v>7</v>
      </c>
      <c r="AG79" s="165">
        <v>5</v>
      </c>
      <c r="AH79" s="165">
        <v>0</v>
      </c>
      <c r="AI79" s="165">
        <v>4</v>
      </c>
      <c r="AJ79" s="165">
        <v>5</v>
      </c>
      <c r="AK79" s="165">
        <v>3.5</v>
      </c>
      <c r="AL79" s="165">
        <v>3.5</v>
      </c>
      <c r="AM79" s="165">
        <v>21</v>
      </c>
      <c r="AN79" s="167">
        <f>tbl_operations[[#This Row],[Interview Styling Registrations]]+tbl_operations[[#This Row],[Confidence Styling Registrations]]</f>
        <v>5</v>
      </c>
      <c r="AO79" s="167">
        <f>tbl_operations[[#This Row],[Interview Styling Completed]]+tbl_operations[[#This Row],[Confidence Styling Completed]]</f>
        <v>5</v>
      </c>
      <c r="AP79" s="167">
        <f>tbl_operations[[#This Row],[Interview Styling Male]]+tbl_operations[[#This Row],[Confidence Styling Male]]</f>
        <v>2</v>
      </c>
      <c r="AQ79" s="167">
        <f>tbl_operations[[#This Row],[Interview Styling Female]]+tbl_operations[[#This Row],[Confidence Styling Female]]</f>
        <v>3</v>
      </c>
      <c r="AR79" s="167">
        <f>tbl_operations[[#This Row],[Interview Styling Non-Binary]]+tbl_operations[[#This Row],[Confidence Styling Non-Binary]]</f>
        <v>0</v>
      </c>
    </row>
    <row r="80" spans="1:44">
      <c r="A80" s="161" t="s">
        <v>23</v>
      </c>
      <c r="B80" s="162" t="s">
        <v>101</v>
      </c>
      <c r="C80" s="161" t="s">
        <v>99</v>
      </c>
      <c r="D80" s="163">
        <v>46133</v>
      </c>
      <c r="E80" s="164" t="str">
        <f t="shared" si="1"/>
        <v>Tuesday</v>
      </c>
      <c r="F80" s="161">
        <v>3</v>
      </c>
      <c r="G80" s="161">
        <v>3</v>
      </c>
      <c r="H80" s="161">
        <v>0</v>
      </c>
      <c r="I80" s="161">
        <v>3</v>
      </c>
      <c r="J80" s="161">
        <v>0</v>
      </c>
      <c r="K80" s="161">
        <v>3</v>
      </c>
      <c r="L80" s="161">
        <v>2</v>
      </c>
      <c r="M80" s="161">
        <v>0</v>
      </c>
      <c r="N80" s="161">
        <v>2</v>
      </c>
      <c r="O80" s="161">
        <v>0</v>
      </c>
      <c r="P80" s="161">
        <v>1</v>
      </c>
      <c r="Q80" s="161">
        <v>0</v>
      </c>
      <c r="R80" s="161">
        <v>0</v>
      </c>
      <c r="S80" s="161">
        <v>0</v>
      </c>
      <c r="T80" s="165">
        <v>0</v>
      </c>
      <c r="U80" s="165">
        <v>4.5</v>
      </c>
      <c r="V80" s="161">
        <v>9</v>
      </c>
      <c r="W80" s="166">
        <v>228.26</v>
      </c>
      <c r="X80" s="161">
        <v>1213</v>
      </c>
      <c r="Y80" s="161">
        <v>142</v>
      </c>
      <c r="Z80" s="165">
        <v>1</v>
      </c>
      <c r="AA80" s="165">
        <v>1</v>
      </c>
      <c r="AB80" s="165">
        <v>2</v>
      </c>
      <c r="AC80" s="165">
        <v>0</v>
      </c>
      <c r="AD80" s="165">
        <v>2</v>
      </c>
      <c r="AE80" s="165">
        <v>2</v>
      </c>
      <c r="AF80" s="165">
        <v>8</v>
      </c>
      <c r="AG80" s="165">
        <v>2.5</v>
      </c>
      <c r="AH80" s="165">
        <v>3</v>
      </c>
      <c r="AI80" s="165">
        <v>9.5</v>
      </c>
      <c r="AJ80" s="165">
        <v>0</v>
      </c>
      <c r="AK80" s="165">
        <v>8.5</v>
      </c>
      <c r="AL80" s="165">
        <v>8.5</v>
      </c>
      <c r="AM80" s="165">
        <v>32</v>
      </c>
      <c r="AN80" s="167">
        <f>tbl_operations[[#This Row],[Interview Styling Registrations]]+tbl_operations[[#This Row],[Confidence Styling Registrations]]</f>
        <v>6</v>
      </c>
      <c r="AO80" s="167">
        <f>tbl_operations[[#This Row],[Interview Styling Completed]]+tbl_operations[[#This Row],[Confidence Styling Completed]]</f>
        <v>5</v>
      </c>
      <c r="AP80" s="167">
        <f>tbl_operations[[#This Row],[Interview Styling Male]]+tbl_operations[[#This Row],[Confidence Styling Male]]</f>
        <v>0</v>
      </c>
      <c r="AQ80" s="167">
        <f>tbl_operations[[#This Row],[Interview Styling Female]]+tbl_operations[[#This Row],[Confidence Styling Female]]</f>
        <v>5</v>
      </c>
      <c r="AR80" s="167">
        <f>tbl_operations[[#This Row],[Interview Styling Non-Binary]]+tbl_operations[[#This Row],[Confidence Styling Non-Binary]]</f>
        <v>0</v>
      </c>
    </row>
    <row r="81" spans="1:44">
      <c r="A81" s="161" t="s">
        <v>23</v>
      </c>
      <c r="B81" s="162" t="s">
        <v>101</v>
      </c>
      <c r="C81" s="161" t="s">
        <v>99</v>
      </c>
      <c r="D81" s="163">
        <v>46134</v>
      </c>
      <c r="E81" s="164" t="str">
        <f t="shared" si="1"/>
        <v>Wednesday</v>
      </c>
      <c r="F81" s="161">
        <v>1</v>
      </c>
      <c r="G81" s="161">
        <v>1</v>
      </c>
      <c r="H81" s="161">
        <v>0</v>
      </c>
      <c r="I81" s="161">
        <v>1</v>
      </c>
      <c r="J81" s="161">
        <v>0</v>
      </c>
      <c r="K81" s="161">
        <v>0</v>
      </c>
      <c r="L81" s="161">
        <v>0</v>
      </c>
      <c r="M81" s="161">
        <v>0</v>
      </c>
      <c r="N81" s="161">
        <v>0</v>
      </c>
      <c r="O81" s="161">
        <v>0</v>
      </c>
      <c r="P81" s="161">
        <v>1</v>
      </c>
      <c r="Q81" s="161">
        <v>0</v>
      </c>
      <c r="R81" s="161">
        <v>0</v>
      </c>
      <c r="S81" s="161">
        <v>0</v>
      </c>
      <c r="T81" s="165">
        <v>36</v>
      </c>
      <c r="U81" s="165">
        <v>0</v>
      </c>
      <c r="V81" s="161">
        <v>13</v>
      </c>
      <c r="W81" s="166">
        <v>312.74</v>
      </c>
      <c r="X81" s="161">
        <v>1272</v>
      </c>
      <c r="Y81" s="161">
        <v>43</v>
      </c>
      <c r="Z81" s="165">
        <v>4</v>
      </c>
      <c r="AA81" s="165">
        <v>1</v>
      </c>
      <c r="AB81" s="165">
        <v>1</v>
      </c>
      <c r="AC81" s="165">
        <v>0</v>
      </c>
      <c r="AD81" s="165">
        <v>3</v>
      </c>
      <c r="AE81" s="165">
        <v>2</v>
      </c>
      <c r="AF81" s="165">
        <v>11</v>
      </c>
      <c r="AG81" s="165">
        <v>22</v>
      </c>
      <c r="AH81" s="165">
        <v>2.5</v>
      </c>
      <c r="AI81" s="165">
        <v>4.5</v>
      </c>
      <c r="AJ81" s="165">
        <v>0</v>
      </c>
      <c r="AK81" s="165">
        <v>10.5</v>
      </c>
      <c r="AL81" s="165">
        <v>4.5</v>
      </c>
      <c r="AM81" s="165">
        <v>44</v>
      </c>
      <c r="AN81" s="167">
        <f>tbl_operations[[#This Row],[Interview Styling Registrations]]+tbl_operations[[#This Row],[Confidence Styling Registrations]]</f>
        <v>1</v>
      </c>
      <c r="AO81" s="167">
        <f>tbl_operations[[#This Row],[Interview Styling Completed]]+tbl_operations[[#This Row],[Confidence Styling Completed]]</f>
        <v>1</v>
      </c>
      <c r="AP81" s="167">
        <f>tbl_operations[[#This Row],[Interview Styling Male]]+tbl_operations[[#This Row],[Confidence Styling Male]]</f>
        <v>0</v>
      </c>
      <c r="AQ81" s="167">
        <f>tbl_operations[[#This Row],[Interview Styling Female]]+tbl_operations[[#This Row],[Confidence Styling Female]]</f>
        <v>1</v>
      </c>
      <c r="AR81" s="167">
        <f>tbl_operations[[#This Row],[Interview Styling Non-Binary]]+tbl_operations[[#This Row],[Confidence Styling Non-Binary]]</f>
        <v>0</v>
      </c>
    </row>
    <row r="82" spans="1:44">
      <c r="A82" s="161" t="s">
        <v>23</v>
      </c>
      <c r="B82" s="162" t="s">
        <v>101</v>
      </c>
      <c r="C82" s="161" t="s">
        <v>99</v>
      </c>
      <c r="D82" s="163">
        <v>46135</v>
      </c>
      <c r="E82" s="164" t="str">
        <f t="shared" si="1"/>
        <v>Thursday</v>
      </c>
      <c r="F82" s="161">
        <v>3</v>
      </c>
      <c r="G82" s="161">
        <v>3</v>
      </c>
      <c r="H82" s="161">
        <v>0</v>
      </c>
      <c r="I82" s="161">
        <v>3</v>
      </c>
      <c r="J82" s="161">
        <v>0</v>
      </c>
      <c r="K82" s="161">
        <v>1</v>
      </c>
      <c r="L82" s="161">
        <v>1</v>
      </c>
      <c r="M82" s="161">
        <v>1</v>
      </c>
      <c r="N82" s="161">
        <v>0</v>
      </c>
      <c r="O82" s="161">
        <v>0</v>
      </c>
      <c r="P82" s="161">
        <v>1</v>
      </c>
      <c r="Q82" s="161">
        <v>0</v>
      </c>
      <c r="R82" s="161">
        <v>1</v>
      </c>
      <c r="S82" s="161">
        <v>0</v>
      </c>
      <c r="T82" s="165">
        <v>45</v>
      </c>
      <c r="U82" s="165">
        <v>13.5</v>
      </c>
      <c r="V82" s="161">
        <v>13</v>
      </c>
      <c r="W82" s="166">
        <v>274.17</v>
      </c>
      <c r="X82" s="161">
        <v>1095</v>
      </c>
      <c r="Y82" s="161">
        <v>58</v>
      </c>
      <c r="Z82" s="165">
        <v>4</v>
      </c>
      <c r="AA82" s="165">
        <v>2</v>
      </c>
      <c r="AB82" s="165">
        <v>1</v>
      </c>
      <c r="AC82" s="165">
        <v>0</v>
      </c>
      <c r="AD82" s="165">
        <v>3</v>
      </c>
      <c r="AE82" s="165">
        <v>3</v>
      </c>
      <c r="AF82" s="165">
        <v>13</v>
      </c>
      <c r="AG82" s="165">
        <v>8.5</v>
      </c>
      <c r="AH82" s="165">
        <v>9</v>
      </c>
      <c r="AI82" s="165">
        <v>3</v>
      </c>
      <c r="AJ82" s="165">
        <v>0</v>
      </c>
      <c r="AK82" s="165">
        <v>12</v>
      </c>
      <c r="AL82" s="165">
        <v>14</v>
      </c>
      <c r="AM82" s="165">
        <v>46.5</v>
      </c>
      <c r="AN82" s="167">
        <f>tbl_operations[[#This Row],[Interview Styling Registrations]]+tbl_operations[[#This Row],[Confidence Styling Registrations]]</f>
        <v>4</v>
      </c>
      <c r="AO82" s="167">
        <f>tbl_operations[[#This Row],[Interview Styling Completed]]+tbl_operations[[#This Row],[Confidence Styling Completed]]</f>
        <v>4</v>
      </c>
      <c r="AP82" s="167">
        <f>tbl_operations[[#This Row],[Interview Styling Male]]+tbl_operations[[#This Row],[Confidence Styling Male]]</f>
        <v>1</v>
      </c>
      <c r="AQ82" s="167">
        <f>tbl_operations[[#This Row],[Interview Styling Female]]+tbl_operations[[#This Row],[Confidence Styling Female]]</f>
        <v>3</v>
      </c>
      <c r="AR82" s="167">
        <f>tbl_operations[[#This Row],[Interview Styling Non-Binary]]+tbl_operations[[#This Row],[Confidence Styling Non-Binary]]</f>
        <v>0</v>
      </c>
    </row>
    <row r="83" spans="1:44">
      <c r="A83" s="161" t="s">
        <v>23</v>
      </c>
      <c r="B83" s="162" t="s">
        <v>101</v>
      </c>
      <c r="C83" s="161" t="s">
        <v>99</v>
      </c>
      <c r="D83" s="163">
        <v>46136</v>
      </c>
      <c r="E83" s="164" t="str">
        <f t="shared" si="1"/>
        <v>Friday</v>
      </c>
      <c r="F83" s="161">
        <v>0</v>
      </c>
      <c r="G83" s="161">
        <v>0</v>
      </c>
      <c r="H83" s="161">
        <v>0</v>
      </c>
      <c r="I83" s="161">
        <v>0</v>
      </c>
      <c r="J83" s="161">
        <v>0</v>
      </c>
      <c r="K83" s="161">
        <v>1</v>
      </c>
      <c r="L83" s="161">
        <v>1</v>
      </c>
      <c r="M83" s="161">
        <v>1</v>
      </c>
      <c r="N83" s="161">
        <v>0</v>
      </c>
      <c r="O83" s="161">
        <v>0</v>
      </c>
      <c r="P83" s="161">
        <v>2</v>
      </c>
      <c r="Q83" s="161">
        <v>0</v>
      </c>
      <c r="R83" s="161">
        <v>0</v>
      </c>
      <c r="S83" s="161">
        <v>0</v>
      </c>
      <c r="T83" s="165">
        <v>20.3</v>
      </c>
      <c r="U83" s="165">
        <v>4.6</v>
      </c>
      <c r="V83" s="161">
        <v>4</v>
      </c>
      <c r="W83" s="166">
        <v>63.24</v>
      </c>
      <c r="X83" s="161">
        <v>500</v>
      </c>
      <c r="Y83" s="161">
        <v>49</v>
      </c>
      <c r="Z83" s="165">
        <v>3</v>
      </c>
      <c r="AA83" s="165">
        <v>0</v>
      </c>
      <c r="AB83" s="165">
        <v>1</v>
      </c>
      <c r="AC83" s="165">
        <v>1</v>
      </c>
      <c r="AD83" s="165">
        <v>4</v>
      </c>
      <c r="AE83" s="165">
        <v>2</v>
      </c>
      <c r="AF83" s="165">
        <v>11</v>
      </c>
      <c r="AG83" s="165">
        <v>8</v>
      </c>
      <c r="AH83" s="165">
        <v>0</v>
      </c>
      <c r="AI83" s="165">
        <v>2</v>
      </c>
      <c r="AJ83" s="165">
        <v>3</v>
      </c>
      <c r="AK83" s="165">
        <v>13.5</v>
      </c>
      <c r="AL83" s="165">
        <v>7.5</v>
      </c>
      <c r="AM83" s="165">
        <v>34</v>
      </c>
      <c r="AN83" s="167">
        <f>tbl_operations[[#This Row],[Interview Styling Registrations]]+tbl_operations[[#This Row],[Confidence Styling Registrations]]</f>
        <v>1</v>
      </c>
      <c r="AO83" s="167">
        <f>tbl_operations[[#This Row],[Interview Styling Completed]]+tbl_operations[[#This Row],[Confidence Styling Completed]]</f>
        <v>1</v>
      </c>
      <c r="AP83" s="167">
        <f>tbl_operations[[#This Row],[Interview Styling Male]]+tbl_operations[[#This Row],[Confidence Styling Male]]</f>
        <v>1</v>
      </c>
      <c r="AQ83" s="167">
        <f>tbl_operations[[#This Row],[Interview Styling Female]]+tbl_operations[[#This Row],[Confidence Styling Female]]</f>
        <v>0</v>
      </c>
      <c r="AR83" s="167">
        <f>tbl_operations[[#This Row],[Interview Styling Non-Binary]]+tbl_operations[[#This Row],[Confidence Styling Non-Binary]]</f>
        <v>0</v>
      </c>
    </row>
    <row r="84" spans="1:44">
      <c r="A84" s="161" t="s">
        <v>23</v>
      </c>
      <c r="B84" s="162" t="s">
        <v>101</v>
      </c>
      <c r="C84" s="161" t="s">
        <v>100</v>
      </c>
      <c r="D84" s="163">
        <v>46139</v>
      </c>
      <c r="E84" s="164" t="str">
        <f t="shared" si="1"/>
        <v>Monday</v>
      </c>
      <c r="F84" s="161">
        <v>4</v>
      </c>
      <c r="G84" s="161">
        <v>3</v>
      </c>
      <c r="H84" s="161">
        <v>0</v>
      </c>
      <c r="I84" s="161">
        <v>3</v>
      </c>
      <c r="J84" s="161">
        <v>0</v>
      </c>
      <c r="K84" s="161">
        <v>3</v>
      </c>
      <c r="L84" s="161">
        <v>3</v>
      </c>
      <c r="M84" s="161">
        <v>1</v>
      </c>
      <c r="N84" s="161">
        <v>2</v>
      </c>
      <c r="O84" s="161">
        <v>0</v>
      </c>
      <c r="P84" s="161">
        <v>1</v>
      </c>
      <c r="Q84" s="161">
        <v>1</v>
      </c>
      <c r="R84" s="161">
        <v>0</v>
      </c>
      <c r="S84" s="161">
        <v>0</v>
      </c>
      <c r="T84" s="165">
        <v>0</v>
      </c>
      <c r="U84" s="165">
        <v>11.3</v>
      </c>
      <c r="V84" s="161">
        <v>14</v>
      </c>
      <c r="W84" s="166">
        <v>173.35</v>
      </c>
      <c r="X84" s="161">
        <v>1302</v>
      </c>
      <c r="Y84" s="161">
        <v>43</v>
      </c>
      <c r="Z84" s="165">
        <v>2</v>
      </c>
      <c r="AA84" s="165">
        <v>1</v>
      </c>
      <c r="AB84" s="165">
        <v>1</v>
      </c>
      <c r="AC84" s="165">
        <v>2</v>
      </c>
      <c r="AD84" s="165">
        <v>2</v>
      </c>
      <c r="AE84" s="165">
        <v>2</v>
      </c>
      <c r="AF84" s="165">
        <v>10</v>
      </c>
      <c r="AG84" s="165">
        <v>7</v>
      </c>
      <c r="AH84" s="165">
        <v>2.5</v>
      </c>
      <c r="AI84" s="165">
        <v>2.5</v>
      </c>
      <c r="AJ84" s="165">
        <v>5.5</v>
      </c>
      <c r="AK84" s="165">
        <v>4.5</v>
      </c>
      <c r="AL84" s="165">
        <v>9.5</v>
      </c>
      <c r="AM84" s="165">
        <v>31.5</v>
      </c>
      <c r="AN84" s="167">
        <f>tbl_operations[[#This Row],[Interview Styling Registrations]]+tbl_operations[[#This Row],[Confidence Styling Registrations]]</f>
        <v>7</v>
      </c>
      <c r="AO84" s="167">
        <f>tbl_operations[[#This Row],[Interview Styling Completed]]+tbl_operations[[#This Row],[Confidence Styling Completed]]</f>
        <v>6</v>
      </c>
      <c r="AP84" s="167">
        <f>tbl_operations[[#This Row],[Interview Styling Male]]+tbl_operations[[#This Row],[Confidence Styling Male]]</f>
        <v>1</v>
      </c>
      <c r="AQ84" s="167">
        <f>tbl_operations[[#This Row],[Interview Styling Female]]+tbl_operations[[#This Row],[Confidence Styling Female]]</f>
        <v>5</v>
      </c>
      <c r="AR84" s="167">
        <f>tbl_operations[[#This Row],[Interview Styling Non-Binary]]+tbl_operations[[#This Row],[Confidence Styling Non-Binary]]</f>
        <v>0</v>
      </c>
    </row>
    <row r="85" spans="1:44">
      <c r="A85" s="161" t="s">
        <v>23</v>
      </c>
      <c r="B85" s="162" t="s">
        <v>101</v>
      </c>
      <c r="C85" s="161" t="s">
        <v>100</v>
      </c>
      <c r="D85" s="163">
        <v>46140</v>
      </c>
      <c r="E85" s="164" t="str">
        <f t="shared" si="1"/>
        <v>Tuesday</v>
      </c>
      <c r="F85" s="161">
        <v>3</v>
      </c>
      <c r="G85" s="161">
        <v>3</v>
      </c>
      <c r="H85" s="161">
        <v>1</v>
      </c>
      <c r="I85" s="161">
        <v>2</v>
      </c>
      <c r="J85" s="161">
        <v>0</v>
      </c>
      <c r="K85" s="161">
        <v>0</v>
      </c>
      <c r="L85" s="161">
        <v>0</v>
      </c>
      <c r="M85" s="161">
        <v>0</v>
      </c>
      <c r="N85" s="161">
        <v>0</v>
      </c>
      <c r="O85" s="161">
        <v>0</v>
      </c>
      <c r="P85" s="161">
        <v>1</v>
      </c>
      <c r="Q85" s="161">
        <v>0</v>
      </c>
      <c r="R85" s="161">
        <v>0</v>
      </c>
      <c r="S85" s="161">
        <v>0</v>
      </c>
      <c r="T85" s="165">
        <v>12.1</v>
      </c>
      <c r="U85" s="165">
        <v>11.1</v>
      </c>
      <c r="V85" s="161">
        <v>20</v>
      </c>
      <c r="W85" s="166">
        <v>524.4</v>
      </c>
      <c r="X85" s="161">
        <v>1880</v>
      </c>
      <c r="Y85" s="161">
        <v>87</v>
      </c>
      <c r="Z85" s="165">
        <v>2</v>
      </c>
      <c r="AA85" s="165">
        <v>0</v>
      </c>
      <c r="AB85" s="165">
        <v>1</v>
      </c>
      <c r="AC85" s="165">
        <v>1</v>
      </c>
      <c r="AD85" s="165">
        <v>3</v>
      </c>
      <c r="AE85" s="165">
        <v>4</v>
      </c>
      <c r="AF85" s="165">
        <v>11</v>
      </c>
      <c r="AG85" s="165">
        <v>5</v>
      </c>
      <c r="AH85" s="165">
        <v>0</v>
      </c>
      <c r="AI85" s="165">
        <v>4.5</v>
      </c>
      <c r="AJ85" s="165">
        <v>4</v>
      </c>
      <c r="AK85" s="165">
        <v>14</v>
      </c>
      <c r="AL85" s="165">
        <v>13</v>
      </c>
      <c r="AM85" s="165">
        <v>40.5</v>
      </c>
      <c r="AN85" s="167">
        <f>tbl_operations[[#This Row],[Interview Styling Registrations]]+tbl_operations[[#This Row],[Confidence Styling Registrations]]</f>
        <v>3</v>
      </c>
      <c r="AO85" s="167">
        <f>tbl_operations[[#This Row],[Interview Styling Completed]]+tbl_operations[[#This Row],[Confidence Styling Completed]]</f>
        <v>3</v>
      </c>
      <c r="AP85" s="167">
        <f>tbl_operations[[#This Row],[Interview Styling Male]]+tbl_operations[[#This Row],[Confidence Styling Male]]</f>
        <v>1</v>
      </c>
      <c r="AQ85" s="167">
        <f>tbl_operations[[#This Row],[Interview Styling Female]]+tbl_operations[[#This Row],[Confidence Styling Female]]</f>
        <v>2</v>
      </c>
      <c r="AR85" s="167">
        <f>tbl_operations[[#This Row],[Interview Styling Non-Binary]]+tbl_operations[[#This Row],[Confidence Styling Non-Binary]]</f>
        <v>0</v>
      </c>
    </row>
    <row r="86" spans="1:44">
      <c r="A86" s="161" t="s">
        <v>23</v>
      </c>
      <c r="B86" s="162" t="s">
        <v>101</v>
      </c>
      <c r="C86" s="161" t="s">
        <v>100</v>
      </c>
      <c r="D86" s="163">
        <v>46141</v>
      </c>
      <c r="E86" s="164" t="str">
        <f t="shared" si="1"/>
        <v>Wednesday</v>
      </c>
      <c r="F86" s="161">
        <v>4</v>
      </c>
      <c r="G86" s="161">
        <v>4</v>
      </c>
      <c r="H86" s="161">
        <v>0</v>
      </c>
      <c r="I86" s="161">
        <v>4</v>
      </c>
      <c r="J86" s="161">
        <v>0</v>
      </c>
      <c r="K86" s="161">
        <v>1</v>
      </c>
      <c r="L86" s="161">
        <v>0</v>
      </c>
      <c r="M86" s="161">
        <v>0</v>
      </c>
      <c r="N86" s="161">
        <v>0</v>
      </c>
      <c r="O86" s="161">
        <v>0</v>
      </c>
      <c r="P86" s="161">
        <v>0</v>
      </c>
      <c r="Q86" s="161">
        <v>1</v>
      </c>
      <c r="R86" s="161">
        <v>1</v>
      </c>
      <c r="S86" s="161">
        <v>0</v>
      </c>
      <c r="T86" s="165">
        <v>20.4</v>
      </c>
      <c r="U86" s="165">
        <v>0</v>
      </c>
      <c r="V86" s="161">
        <v>11</v>
      </c>
      <c r="W86" s="166">
        <v>300.55</v>
      </c>
      <c r="X86" s="161">
        <v>1759</v>
      </c>
      <c r="Y86" s="161">
        <v>38</v>
      </c>
      <c r="Z86" s="165">
        <v>3</v>
      </c>
      <c r="AA86" s="165">
        <v>0</v>
      </c>
      <c r="AB86" s="165">
        <v>0</v>
      </c>
      <c r="AC86" s="165">
        <v>0</v>
      </c>
      <c r="AD86" s="165">
        <v>3</v>
      </c>
      <c r="AE86" s="165">
        <v>3</v>
      </c>
      <c r="AF86" s="165">
        <v>9</v>
      </c>
      <c r="AG86" s="165">
        <v>14</v>
      </c>
      <c r="AH86" s="165">
        <v>0</v>
      </c>
      <c r="AI86" s="165">
        <v>0</v>
      </c>
      <c r="AJ86" s="165">
        <v>0</v>
      </c>
      <c r="AK86" s="165">
        <v>13.5</v>
      </c>
      <c r="AL86" s="165">
        <v>6.5</v>
      </c>
      <c r="AM86" s="165">
        <v>34</v>
      </c>
      <c r="AN86" s="167">
        <f>tbl_operations[[#This Row],[Interview Styling Registrations]]+tbl_operations[[#This Row],[Confidence Styling Registrations]]</f>
        <v>5</v>
      </c>
      <c r="AO86" s="167">
        <f>tbl_operations[[#This Row],[Interview Styling Completed]]+tbl_operations[[#This Row],[Confidence Styling Completed]]</f>
        <v>4</v>
      </c>
      <c r="AP86" s="167">
        <f>tbl_operations[[#This Row],[Interview Styling Male]]+tbl_operations[[#This Row],[Confidence Styling Male]]</f>
        <v>0</v>
      </c>
      <c r="AQ86" s="167">
        <f>tbl_operations[[#This Row],[Interview Styling Female]]+tbl_operations[[#This Row],[Confidence Styling Female]]</f>
        <v>4</v>
      </c>
      <c r="AR86" s="167">
        <f>tbl_operations[[#This Row],[Interview Styling Non-Binary]]+tbl_operations[[#This Row],[Confidence Styling Non-Binary]]</f>
        <v>0</v>
      </c>
    </row>
    <row r="87" spans="1:44">
      <c r="A87" s="161" t="s">
        <v>23</v>
      </c>
      <c r="B87" s="162" t="s">
        <v>101</v>
      </c>
      <c r="C87" s="161" t="s">
        <v>100</v>
      </c>
      <c r="D87" s="163">
        <v>46142</v>
      </c>
      <c r="E87" s="164" t="str">
        <f t="shared" si="1"/>
        <v>Thursday</v>
      </c>
      <c r="F87" s="161">
        <v>0</v>
      </c>
      <c r="G87" s="161">
        <v>0</v>
      </c>
      <c r="H87" s="161">
        <v>0</v>
      </c>
      <c r="I87" s="161">
        <v>0</v>
      </c>
      <c r="J87" s="161">
        <v>0</v>
      </c>
      <c r="K87" s="161">
        <v>1</v>
      </c>
      <c r="L87" s="161">
        <v>0</v>
      </c>
      <c r="M87" s="161">
        <v>0</v>
      </c>
      <c r="N87" s="161">
        <v>0</v>
      </c>
      <c r="O87" s="161">
        <v>0</v>
      </c>
      <c r="P87" s="161">
        <v>2</v>
      </c>
      <c r="Q87" s="161">
        <v>0</v>
      </c>
      <c r="R87" s="161">
        <v>1</v>
      </c>
      <c r="S87" s="161">
        <v>0</v>
      </c>
      <c r="T87" s="165">
        <v>37.7</v>
      </c>
      <c r="U87" s="165">
        <v>21.6</v>
      </c>
      <c r="V87" s="161">
        <v>6</v>
      </c>
      <c r="W87" s="166">
        <v>113.55</v>
      </c>
      <c r="X87" s="161">
        <v>1665</v>
      </c>
      <c r="Y87" s="161">
        <v>174</v>
      </c>
      <c r="Z87" s="165">
        <v>2</v>
      </c>
      <c r="AA87" s="165">
        <v>1</v>
      </c>
      <c r="AB87" s="165">
        <v>1</v>
      </c>
      <c r="AC87" s="165">
        <v>1</v>
      </c>
      <c r="AD87" s="165">
        <v>5</v>
      </c>
      <c r="AE87" s="165">
        <v>3</v>
      </c>
      <c r="AF87" s="165">
        <v>13</v>
      </c>
      <c r="AG87" s="165">
        <v>9</v>
      </c>
      <c r="AH87" s="165">
        <v>5</v>
      </c>
      <c r="AI87" s="165">
        <v>5.5</v>
      </c>
      <c r="AJ87" s="165">
        <v>4.5</v>
      </c>
      <c r="AK87" s="165">
        <v>19.5</v>
      </c>
      <c r="AL87" s="165">
        <v>15.5</v>
      </c>
      <c r="AM87" s="165">
        <v>59</v>
      </c>
      <c r="AN87" s="167">
        <f>tbl_operations[[#This Row],[Interview Styling Registrations]]+tbl_operations[[#This Row],[Confidence Styling Registrations]]</f>
        <v>1</v>
      </c>
      <c r="AO87" s="167">
        <f>tbl_operations[[#This Row],[Interview Styling Completed]]+tbl_operations[[#This Row],[Confidence Styling Completed]]</f>
        <v>0</v>
      </c>
      <c r="AP87" s="167">
        <f>tbl_operations[[#This Row],[Interview Styling Male]]+tbl_operations[[#This Row],[Confidence Styling Male]]</f>
        <v>0</v>
      </c>
      <c r="AQ87" s="167">
        <f>tbl_operations[[#This Row],[Interview Styling Female]]+tbl_operations[[#This Row],[Confidence Styling Female]]</f>
        <v>0</v>
      </c>
      <c r="AR87" s="167">
        <f>tbl_operations[[#This Row],[Interview Styling Non-Binary]]+tbl_operations[[#This Row],[Confidence Styling Non-Binary]]</f>
        <v>0</v>
      </c>
    </row>
    <row r="88" spans="1:44">
      <c r="A88" s="161" t="s">
        <v>24</v>
      </c>
      <c r="B88" s="162" t="s">
        <v>101</v>
      </c>
      <c r="C88" s="161" t="s">
        <v>96</v>
      </c>
      <c r="D88" s="163">
        <v>46143</v>
      </c>
      <c r="E88" s="164" t="str">
        <f t="shared" si="1"/>
        <v>Friday</v>
      </c>
      <c r="F88" s="161">
        <v>3</v>
      </c>
      <c r="G88" s="161">
        <v>3</v>
      </c>
      <c r="H88" s="161">
        <v>1</v>
      </c>
      <c r="I88" s="161">
        <v>2</v>
      </c>
      <c r="J88" s="161">
        <v>0</v>
      </c>
      <c r="K88" s="161">
        <v>3</v>
      </c>
      <c r="L88" s="161">
        <v>2</v>
      </c>
      <c r="M88" s="161">
        <v>0</v>
      </c>
      <c r="N88" s="161">
        <v>2</v>
      </c>
      <c r="O88" s="161">
        <v>0</v>
      </c>
      <c r="P88" s="161">
        <v>1</v>
      </c>
      <c r="Q88" s="161">
        <v>0</v>
      </c>
      <c r="R88" s="161">
        <v>0</v>
      </c>
      <c r="S88" s="161">
        <v>0</v>
      </c>
      <c r="T88" s="165">
        <v>34.8</v>
      </c>
      <c r="U88" s="165">
        <v>10.4</v>
      </c>
      <c r="V88" s="161">
        <v>11</v>
      </c>
      <c r="W88" s="166">
        <v>182.41</v>
      </c>
      <c r="X88" s="161">
        <v>1581</v>
      </c>
      <c r="Y88" s="161">
        <v>185</v>
      </c>
      <c r="Z88" s="165">
        <v>4</v>
      </c>
      <c r="AA88" s="165">
        <v>2</v>
      </c>
      <c r="AB88" s="165">
        <v>1</v>
      </c>
      <c r="AC88" s="165">
        <v>2</v>
      </c>
      <c r="AD88" s="165">
        <v>4</v>
      </c>
      <c r="AE88" s="165">
        <v>3</v>
      </c>
      <c r="AF88" s="165">
        <v>16</v>
      </c>
      <c r="AG88" s="165">
        <v>12</v>
      </c>
      <c r="AH88" s="165">
        <v>5.5</v>
      </c>
      <c r="AI88" s="165">
        <v>4.5</v>
      </c>
      <c r="AJ88" s="165">
        <v>10.5</v>
      </c>
      <c r="AK88" s="165">
        <v>9.5</v>
      </c>
      <c r="AL88" s="165">
        <v>16.5</v>
      </c>
      <c r="AM88" s="165">
        <v>58.5</v>
      </c>
      <c r="AN88" s="167">
        <f>tbl_operations[[#This Row],[Interview Styling Registrations]]+tbl_operations[[#This Row],[Confidence Styling Registrations]]</f>
        <v>6</v>
      </c>
      <c r="AO88" s="167">
        <f>tbl_operations[[#This Row],[Interview Styling Completed]]+tbl_operations[[#This Row],[Confidence Styling Completed]]</f>
        <v>5</v>
      </c>
      <c r="AP88" s="167">
        <f>tbl_operations[[#This Row],[Interview Styling Male]]+tbl_operations[[#This Row],[Confidence Styling Male]]</f>
        <v>1</v>
      </c>
      <c r="AQ88" s="167">
        <f>tbl_operations[[#This Row],[Interview Styling Female]]+tbl_operations[[#This Row],[Confidence Styling Female]]</f>
        <v>4</v>
      </c>
      <c r="AR88" s="167">
        <f>tbl_operations[[#This Row],[Interview Styling Non-Binary]]+tbl_operations[[#This Row],[Confidence Styling Non-Binary]]</f>
        <v>0</v>
      </c>
    </row>
    <row r="89" spans="1:44">
      <c r="A89" s="161" t="s">
        <v>24</v>
      </c>
      <c r="B89" s="162" t="s">
        <v>101</v>
      </c>
      <c r="C89" s="161" t="s">
        <v>97</v>
      </c>
      <c r="D89" s="163">
        <v>46146</v>
      </c>
      <c r="E89" s="164" t="str">
        <f t="shared" si="1"/>
        <v>Monday</v>
      </c>
      <c r="F89" s="161">
        <v>3</v>
      </c>
      <c r="G89" s="161">
        <v>2</v>
      </c>
      <c r="H89" s="161">
        <v>0</v>
      </c>
      <c r="I89" s="161">
        <v>2</v>
      </c>
      <c r="J89" s="161">
        <v>0</v>
      </c>
      <c r="K89" s="161">
        <v>2</v>
      </c>
      <c r="L89" s="161">
        <v>2</v>
      </c>
      <c r="M89" s="161">
        <v>1</v>
      </c>
      <c r="N89" s="161">
        <v>1</v>
      </c>
      <c r="O89" s="161">
        <v>0</v>
      </c>
      <c r="P89" s="161">
        <v>1</v>
      </c>
      <c r="Q89" s="161">
        <v>0</v>
      </c>
      <c r="R89" s="161">
        <v>1</v>
      </c>
      <c r="S89" s="161">
        <v>0</v>
      </c>
      <c r="T89" s="165">
        <v>33.6</v>
      </c>
      <c r="U89" s="165">
        <v>6.6</v>
      </c>
      <c r="V89" s="161">
        <v>15</v>
      </c>
      <c r="W89" s="166">
        <v>347.95</v>
      </c>
      <c r="X89" s="161">
        <v>396</v>
      </c>
      <c r="Y89" s="161">
        <v>37</v>
      </c>
      <c r="Z89" s="165">
        <v>2</v>
      </c>
      <c r="AA89" s="165">
        <v>0</v>
      </c>
      <c r="AB89" s="165">
        <v>0</v>
      </c>
      <c r="AC89" s="165">
        <v>0</v>
      </c>
      <c r="AD89" s="165">
        <v>5</v>
      </c>
      <c r="AE89" s="165">
        <v>2</v>
      </c>
      <c r="AF89" s="165">
        <v>9</v>
      </c>
      <c r="AG89" s="165">
        <v>6.5</v>
      </c>
      <c r="AH89" s="165">
        <v>0</v>
      </c>
      <c r="AI89" s="165">
        <v>0</v>
      </c>
      <c r="AJ89" s="165">
        <v>0</v>
      </c>
      <c r="AK89" s="165">
        <v>18</v>
      </c>
      <c r="AL89" s="165">
        <v>6</v>
      </c>
      <c r="AM89" s="165">
        <v>30.5</v>
      </c>
      <c r="AN89" s="167">
        <f>tbl_operations[[#This Row],[Interview Styling Registrations]]+tbl_operations[[#This Row],[Confidence Styling Registrations]]</f>
        <v>5</v>
      </c>
      <c r="AO89" s="167">
        <f>tbl_operations[[#This Row],[Interview Styling Completed]]+tbl_operations[[#This Row],[Confidence Styling Completed]]</f>
        <v>4</v>
      </c>
      <c r="AP89" s="167">
        <f>tbl_operations[[#This Row],[Interview Styling Male]]+tbl_operations[[#This Row],[Confidence Styling Male]]</f>
        <v>1</v>
      </c>
      <c r="AQ89" s="167">
        <f>tbl_operations[[#This Row],[Interview Styling Female]]+tbl_operations[[#This Row],[Confidence Styling Female]]</f>
        <v>3</v>
      </c>
      <c r="AR89" s="167">
        <f>tbl_operations[[#This Row],[Interview Styling Non-Binary]]+tbl_operations[[#This Row],[Confidence Styling Non-Binary]]</f>
        <v>0</v>
      </c>
    </row>
    <row r="90" spans="1:44">
      <c r="A90" s="161" t="s">
        <v>24</v>
      </c>
      <c r="B90" s="162" t="s">
        <v>101</v>
      </c>
      <c r="C90" s="161" t="s">
        <v>97</v>
      </c>
      <c r="D90" s="163">
        <v>46147</v>
      </c>
      <c r="E90" s="164" t="str">
        <f t="shared" si="1"/>
        <v>Tuesday</v>
      </c>
      <c r="F90" s="161">
        <v>3</v>
      </c>
      <c r="G90" s="161">
        <v>3</v>
      </c>
      <c r="H90" s="161">
        <v>1</v>
      </c>
      <c r="I90" s="161">
        <v>2</v>
      </c>
      <c r="J90" s="161">
        <v>0</v>
      </c>
      <c r="K90" s="161">
        <v>3</v>
      </c>
      <c r="L90" s="161">
        <v>3</v>
      </c>
      <c r="M90" s="161">
        <v>1</v>
      </c>
      <c r="N90" s="161">
        <v>2</v>
      </c>
      <c r="O90" s="161">
        <v>0</v>
      </c>
      <c r="P90" s="161">
        <v>1</v>
      </c>
      <c r="Q90" s="161">
        <v>0</v>
      </c>
      <c r="R90" s="161">
        <v>0</v>
      </c>
      <c r="S90" s="161">
        <v>0</v>
      </c>
      <c r="T90" s="165">
        <v>16.6</v>
      </c>
      <c r="U90" s="165">
        <v>0</v>
      </c>
      <c r="V90" s="161">
        <v>3</v>
      </c>
      <c r="W90" s="166">
        <v>87.74</v>
      </c>
      <c r="X90" s="161">
        <v>1415</v>
      </c>
      <c r="Y90" s="161">
        <v>99</v>
      </c>
      <c r="Z90" s="165">
        <v>1</v>
      </c>
      <c r="AA90" s="165">
        <v>2</v>
      </c>
      <c r="AB90" s="165">
        <v>1</v>
      </c>
      <c r="AC90" s="165">
        <v>1</v>
      </c>
      <c r="AD90" s="165">
        <v>1</v>
      </c>
      <c r="AE90" s="165">
        <v>2</v>
      </c>
      <c r="AF90" s="165">
        <v>8</v>
      </c>
      <c r="AG90" s="165">
        <v>3.5</v>
      </c>
      <c r="AH90" s="165">
        <v>5</v>
      </c>
      <c r="AI90" s="165">
        <v>4</v>
      </c>
      <c r="AJ90" s="165">
        <v>5.5</v>
      </c>
      <c r="AK90" s="165">
        <v>2.5</v>
      </c>
      <c r="AL90" s="165">
        <v>9</v>
      </c>
      <c r="AM90" s="165">
        <v>29.5</v>
      </c>
      <c r="AN90" s="167">
        <f>tbl_operations[[#This Row],[Interview Styling Registrations]]+tbl_operations[[#This Row],[Confidence Styling Registrations]]</f>
        <v>6</v>
      </c>
      <c r="AO90" s="167">
        <f>tbl_operations[[#This Row],[Interview Styling Completed]]+tbl_operations[[#This Row],[Confidence Styling Completed]]</f>
        <v>6</v>
      </c>
      <c r="AP90" s="167">
        <f>tbl_operations[[#This Row],[Interview Styling Male]]+tbl_operations[[#This Row],[Confidence Styling Male]]</f>
        <v>2</v>
      </c>
      <c r="AQ90" s="167">
        <f>tbl_operations[[#This Row],[Interview Styling Female]]+tbl_operations[[#This Row],[Confidence Styling Female]]</f>
        <v>4</v>
      </c>
      <c r="AR90" s="167">
        <f>tbl_operations[[#This Row],[Interview Styling Non-Binary]]+tbl_operations[[#This Row],[Confidence Styling Non-Binary]]</f>
        <v>0</v>
      </c>
    </row>
    <row r="91" spans="1:44">
      <c r="A91" s="161" t="s">
        <v>24</v>
      </c>
      <c r="B91" s="162" t="s">
        <v>101</v>
      </c>
      <c r="C91" s="161" t="s">
        <v>97</v>
      </c>
      <c r="D91" s="163">
        <v>46148</v>
      </c>
      <c r="E91" s="164" t="str">
        <f t="shared" si="1"/>
        <v>Wednesday</v>
      </c>
      <c r="F91" s="161">
        <v>4</v>
      </c>
      <c r="G91" s="161">
        <v>4</v>
      </c>
      <c r="H91" s="161">
        <v>1</v>
      </c>
      <c r="I91" s="161">
        <v>3</v>
      </c>
      <c r="J91" s="161">
        <v>0</v>
      </c>
      <c r="K91" s="161">
        <v>3</v>
      </c>
      <c r="L91" s="161">
        <v>3</v>
      </c>
      <c r="M91" s="161">
        <v>1</v>
      </c>
      <c r="N91" s="161">
        <v>2</v>
      </c>
      <c r="O91" s="161">
        <v>0</v>
      </c>
      <c r="P91" s="161">
        <v>1</v>
      </c>
      <c r="Q91" s="161">
        <v>0</v>
      </c>
      <c r="R91" s="161">
        <v>0</v>
      </c>
      <c r="S91" s="161">
        <v>0</v>
      </c>
      <c r="T91" s="165">
        <v>0</v>
      </c>
      <c r="U91" s="165">
        <v>21.3</v>
      </c>
      <c r="V91" s="161">
        <v>16</v>
      </c>
      <c r="W91" s="166">
        <v>365.51</v>
      </c>
      <c r="X91" s="161">
        <v>581</v>
      </c>
      <c r="Y91" s="161">
        <v>66</v>
      </c>
      <c r="Z91" s="165">
        <v>1</v>
      </c>
      <c r="AA91" s="165">
        <v>2</v>
      </c>
      <c r="AB91" s="165">
        <v>2</v>
      </c>
      <c r="AC91" s="165">
        <v>1</v>
      </c>
      <c r="AD91" s="165">
        <v>3</v>
      </c>
      <c r="AE91" s="165">
        <v>3</v>
      </c>
      <c r="AF91" s="165">
        <v>12</v>
      </c>
      <c r="AG91" s="165">
        <v>4.5</v>
      </c>
      <c r="AH91" s="165">
        <v>6.5</v>
      </c>
      <c r="AI91" s="165">
        <v>6.5</v>
      </c>
      <c r="AJ91" s="165">
        <v>2</v>
      </c>
      <c r="AK91" s="165">
        <v>13.5</v>
      </c>
      <c r="AL91" s="165">
        <v>8.5</v>
      </c>
      <c r="AM91" s="165">
        <v>41.5</v>
      </c>
      <c r="AN91" s="167">
        <f>tbl_operations[[#This Row],[Interview Styling Registrations]]+tbl_operations[[#This Row],[Confidence Styling Registrations]]</f>
        <v>7</v>
      </c>
      <c r="AO91" s="167">
        <f>tbl_operations[[#This Row],[Interview Styling Completed]]+tbl_operations[[#This Row],[Confidence Styling Completed]]</f>
        <v>7</v>
      </c>
      <c r="AP91" s="167">
        <f>tbl_operations[[#This Row],[Interview Styling Male]]+tbl_operations[[#This Row],[Confidence Styling Male]]</f>
        <v>2</v>
      </c>
      <c r="AQ91" s="167">
        <f>tbl_operations[[#This Row],[Interview Styling Female]]+tbl_operations[[#This Row],[Confidence Styling Female]]</f>
        <v>5</v>
      </c>
      <c r="AR91" s="167">
        <f>tbl_operations[[#This Row],[Interview Styling Non-Binary]]+tbl_operations[[#This Row],[Confidence Styling Non-Binary]]</f>
        <v>0</v>
      </c>
    </row>
    <row r="92" spans="1:44">
      <c r="A92" s="161" t="s">
        <v>24</v>
      </c>
      <c r="B92" s="162" t="s">
        <v>101</v>
      </c>
      <c r="C92" s="161" t="s">
        <v>97</v>
      </c>
      <c r="D92" s="163">
        <v>46149</v>
      </c>
      <c r="E92" s="164" t="str">
        <f t="shared" si="1"/>
        <v>Thursday</v>
      </c>
      <c r="F92" s="161">
        <v>2</v>
      </c>
      <c r="G92" s="161">
        <v>2</v>
      </c>
      <c r="H92" s="161">
        <v>0</v>
      </c>
      <c r="I92" s="161">
        <v>2</v>
      </c>
      <c r="J92" s="161">
        <v>0</v>
      </c>
      <c r="K92" s="161">
        <v>3</v>
      </c>
      <c r="L92" s="161">
        <v>3</v>
      </c>
      <c r="M92" s="161">
        <v>0</v>
      </c>
      <c r="N92" s="161">
        <v>3</v>
      </c>
      <c r="O92" s="161">
        <v>0</v>
      </c>
      <c r="P92" s="161">
        <v>0</v>
      </c>
      <c r="Q92" s="161">
        <v>1</v>
      </c>
      <c r="R92" s="161">
        <v>1</v>
      </c>
      <c r="S92" s="161">
        <v>0</v>
      </c>
      <c r="T92" s="165">
        <v>54.7</v>
      </c>
      <c r="U92" s="165">
        <v>0</v>
      </c>
      <c r="V92" s="161">
        <v>12</v>
      </c>
      <c r="W92" s="166">
        <v>333.51</v>
      </c>
      <c r="X92" s="161">
        <v>609</v>
      </c>
      <c r="Y92" s="161">
        <v>72</v>
      </c>
      <c r="Z92" s="165">
        <v>1</v>
      </c>
      <c r="AA92" s="165">
        <v>1</v>
      </c>
      <c r="AB92" s="165">
        <v>2</v>
      </c>
      <c r="AC92" s="165">
        <v>0</v>
      </c>
      <c r="AD92" s="165">
        <v>3</v>
      </c>
      <c r="AE92" s="165">
        <v>1</v>
      </c>
      <c r="AF92" s="165">
        <v>8</v>
      </c>
      <c r="AG92" s="165">
        <v>3</v>
      </c>
      <c r="AH92" s="165">
        <v>3.5</v>
      </c>
      <c r="AI92" s="165">
        <v>4</v>
      </c>
      <c r="AJ92" s="165">
        <v>0</v>
      </c>
      <c r="AK92" s="165">
        <v>12.5</v>
      </c>
      <c r="AL92" s="165">
        <v>3</v>
      </c>
      <c r="AM92" s="165">
        <v>26</v>
      </c>
      <c r="AN92" s="167">
        <f>tbl_operations[[#This Row],[Interview Styling Registrations]]+tbl_operations[[#This Row],[Confidence Styling Registrations]]</f>
        <v>5</v>
      </c>
      <c r="AO92" s="167">
        <f>tbl_operations[[#This Row],[Interview Styling Completed]]+tbl_operations[[#This Row],[Confidence Styling Completed]]</f>
        <v>5</v>
      </c>
      <c r="AP92" s="167">
        <f>tbl_operations[[#This Row],[Interview Styling Male]]+tbl_operations[[#This Row],[Confidence Styling Male]]</f>
        <v>0</v>
      </c>
      <c r="AQ92" s="167">
        <f>tbl_operations[[#This Row],[Interview Styling Female]]+tbl_operations[[#This Row],[Confidence Styling Female]]</f>
        <v>5</v>
      </c>
      <c r="AR92" s="167">
        <f>tbl_operations[[#This Row],[Interview Styling Non-Binary]]+tbl_operations[[#This Row],[Confidence Styling Non-Binary]]</f>
        <v>0</v>
      </c>
    </row>
    <row r="93" spans="1:44">
      <c r="A93" s="161" t="s">
        <v>24</v>
      </c>
      <c r="B93" s="162" t="s">
        <v>101</v>
      </c>
      <c r="C93" s="161" t="s">
        <v>97</v>
      </c>
      <c r="D93" s="163">
        <v>46150</v>
      </c>
      <c r="E93" s="164" t="str">
        <f t="shared" si="1"/>
        <v>Friday</v>
      </c>
      <c r="F93" s="161">
        <v>0</v>
      </c>
      <c r="G93" s="161">
        <v>0</v>
      </c>
      <c r="H93" s="161">
        <v>0</v>
      </c>
      <c r="I93" s="161">
        <v>0</v>
      </c>
      <c r="J93" s="161">
        <v>0</v>
      </c>
      <c r="K93" s="161">
        <v>0</v>
      </c>
      <c r="L93" s="161">
        <v>0</v>
      </c>
      <c r="M93" s="161">
        <v>0</v>
      </c>
      <c r="N93" s="161">
        <v>0</v>
      </c>
      <c r="O93" s="161">
        <v>0</v>
      </c>
      <c r="P93" s="161">
        <v>2</v>
      </c>
      <c r="Q93" s="161">
        <v>0</v>
      </c>
      <c r="R93" s="161">
        <v>0</v>
      </c>
      <c r="S93" s="161">
        <v>0</v>
      </c>
      <c r="T93" s="165">
        <v>29.1</v>
      </c>
      <c r="U93" s="165">
        <v>0</v>
      </c>
      <c r="V93" s="161">
        <v>7</v>
      </c>
      <c r="W93" s="166">
        <v>192.84</v>
      </c>
      <c r="X93" s="161">
        <v>695</v>
      </c>
      <c r="Y93" s="161">
        <v>43</v>
      </c>
      <c r="Z93" s="165">
        <v>1</v>
      </c>
      <c r="AA93" s="165">
        <v>0</v>
      </c>
      <c r="AB93" s="165">
        <v>2</v>
      </c>
      <c r="AC93" s="165">
        <v>0</v>
      </c>
      <c r="AD93" s="165">
        <v>4</v>
      </c>
      <c r="AE93" s="165">
        <v>1</v>
      </c>
      <c r="AF93" s="165">
        <v>8</v>
      </c>
      <c r="AG93" s="165">
        <v>2</v>
      </c>
      <c r="AH93" s="165">
        <v>0</v>
      </c>
      <c r="AI93" s="165">
        <v>4.5</v>
      </c>
      <c r="AJ93" s="165">
        <v>0</v>
      </c>
      <c r="AK93" s="165">
        <v>13.5</v>
      </c>
      <c r="AL93" s="165">
        <v>4.5</v>
      </c>
      <c r="AM93" s="165">
        <v>24.5</v>
      </c>
      <c r="AN93" s="167">
        <f>tbl_operations[[#This Row],[Interview Styling Registrations]]+tbl_operations[[#This Row],[Confidence Styling Registrations]]</f>
        <v>0</v>
      </c>
      <c r="AO93" s="167">
        <f>tbl_operations[[#This Row],[Interview Styling Completed]]+tbl_operations[[#This Row],[Confidence Styling Completed]]</f>
        <v>0</v>
      </c>
      <c r="AP93" s="167">
        <f>tbl_operations[[#This Row],[Interview Styling Male]]+tbl_operations[[#This Row],[Confidence Styling Male]]</f>
        <v>0</v>
      </c>
      <c r="AQ93" s="167">
        <f>tbl_operations[[#This Row],[Interview Styling Female]]+tbl_operations[[#This Row],[Confidence Styling Female]]</f>
        <v>0</v>
      </c>
      <c r="AR93" s="167">
        <f>tbl_operations[[#This Row],[Interview Styling Non-Binary]]+tbl_operations[[#This Row],[Confidence Styling Non-Binary]]</f>
        <v>0</v>
      </c>
    </row>
    <row r="94" spans="1:44">
      <c r="A94" s="161" t="s">
        <v>24</v>
      </c>
      <c r="B94" s="162" t="s">
        <v>101</v>
      </c>
      <c r="C94" s="161" t="s">
        <v>98</v>
      </c>
      <c r="D94" s="163">
        <v>46153</v>
      </c>
      <c r="E94" s="164" t="str">
        <f t="shared" si="1"/>
        <v>Monday</v>
      </c>
      <c r="F94" s="161">
        <v>1</v>
      </c>
      <c r="G94" s="161">
        <v>1</v>
      </c>
      <c r="H94" s="161">
        <v>1</v>
      </c>
      <c r="I94" s="161">
        <v>0</v>
      </c>
      <c r="J94" s="161">
        <v>0</v>
      </c>
      <c r="K94" s="161">
        <v>0</v>
      </c>
      <c r="L94" s="161">
        <v>0</v>
      </c>
      <c r="M94" s="161">
        <v>0</v>
      </c>
      <c r="N94" s="161">
        <v>0</v>
      </c>
      <c r="O94" s="161">
        <v>0</v>
      </c>
      <c r="P94" s="161">
        <v>1</v>
      </c>
      <c r="Q94" s="161">
        <v>0</v>
      </c>
      <c r="R94" s="161">
        <v>0</v>
      </c>
      <c r="S94" s="161">
        <v>0</v>
      </c>
      <c r="T94" s="165">
        <v>29.1</v>
      </c>
      <c r="U94" s="165">
        <v>0</v>
      </c>
      <c r="V94" s="161">
        <v>13</v>
      </c>
      <c r="W94" s="166">
        <v>284.08</v>
      </c>
      <c r="X94" s="161">
        <v>1218</v>
      </c>
      <c r="Y94" s="161">
        <v>144</v>
      </c>
      <c r="Z94" s="165">
        <v>2</v>
      </c>
      <c r="AA94" s="165">
        <v>2</v>
      </c>
      <c r="AB94" s="165">
        <v>2</v>
      </c>
      <c r="AC94" s="165">
        <v>0</v>
      </c>
      <c r="AD94" s="165">
        <v>3</v>
      </c>
      <c r="AE94" s="165">
        <v>4</v>
      </c>
      <c r="AF94" s="165">
        <v>13</v>
      </c>
      <c r="AG94" s="165">
        <v>7</v>
      </c>
      <c r="AH94" s="165">
        <v>10.5</v>
      </c>
      <c r="AI94" s="165">
        <v>4.5</v>
      </c>
      <c r="AJ94" s="165">
        <v>0</v>
      </c>
      <c r="AK94" s="165">
        <v>16.5</v>
      </c>
      <c r="AL94" s="165">
        <v>10</v>
      </c>
      <c r="AM94" s="165">
        <v>48.5</v>
      </c>
      <c r="AN94" s="167">
        <f>tbl_operations[[#This Row],[Interview Styling Registrations]]+tbl_operations[[#This Row],[Confidence Styling Registrations]]</f>
        <v>1</v>
      </c>
      <c r="AO94" s="167">
        <f>tbl_operations[[#This Row],[Interview Styling Completed]]+tbl_operations[[#This Row],[Confidence Styling Completed]]</f>
        <v>1</v>
      </c>
      <c r="AP94" s="167">
        <f>tbl_operations[[#This Row],[Interview Styling Male]]+tbl_operations[[#This Row],[Confidence Styling Male]]</f>
        <v>1</v>
      </c>
      <c r="AQ94" s="167">
        <f>tbl_operations[[#This Row],[Interview Styling Female]]+tbl_operations[[#This Row],[Confidence Styling Female]]</f>
        <v>0</v>
      </c>
      <c r="AR94" s="167">
        <f>tbl_operations[[#This Row],[Interview Styling Non-Binary]]+tbl_operations[[#This Row],[Confidence Styling Non-Binary]]</f>
        <v>0</v>
      </c>
    </row>
    <row r="95" spans="1:44">
      <c r="A95" s="161" t="s">
        <v>24</v>
      </c>
      <c r="B95" s="162" t="s">
        <v>101</v>
      </c>
      <c r="C95" s="161" t="s">
        <v>98</v>
      </c>
      <c r="D95" s="163">
        <v>46154</v>
      </c>
      <c r="E95" s="164" t="str">
        <f t="shared" si="1"/>
        <v>Tuesday</v>
      </c>
      <c r="F95" s="161">
        <v>3</v>
      </c>
      <c r="G95" s="161">
        <v>3</v>
      </c>
      <c r="H95" s="161">
        <v>0</v>
      </c>
      <c r="I95" s="161">
        <v>3</v>
      </c>
      <c r="J95" s="161">
        <v>0</v>
      </c>
      <c r="K95" s="161">
        <v>2</v>
      </c>
      <c r="L95" s="161">
        <v>1</v>
      </c>
      <c r="M95" s="161">
        <v>0</v>
      </c>
      <c r="N95" s="161">
        <v>1</v>
      </c>
      <c r="O95" s="161">
        <v>0</v>
      </c>
      <c r="P95" s="161">
        <v>0</v>
      </c>
      <c r="Q95" s="161">
        <v>0</v>
      </c>
      <c r="R95" s="161">
        <v>0</v>
      </c>
      <c r="S95" s="161">
        <v>0</v>
      </c>
      <c r="T95" s="165">
        <v>13.9</v>
      </c>
      <c r="U95" s="165">
        <v>17.8</v>
      </c>
      <c r="V95" s="161">
        <v>12</v>
      </c>
      <c r="W95" s="166">
        <v>220.19</v>
      </c>
      <c r="X95" s="161">
        <v>807</v>
      </c>
      <c r="Y95" s="161">
        <v>114</v>
      </c>
      <c r="Z95" s="165">
        <v>4</v>
      </c>
      <c r="AA95" s="165">
        <v>1</v>
      </c>
      <c r="AB95" s="165">
        <v>2</v>
      </c>
      <c r="AC95" s="165">
        <v>1</v>
      </c>
      <c r="AD95" s="165">
        <v>1</v>
      </c>
      <c r="AE95" s="165">
        <v>4</v>
      </c>
      <c r="AF95" s="165">
        <v>13</v>
      </c>
      <c r="AG95" s="165">
        <v>14.5</v>
      </c>
      <c r="AH95" s="165">
        <v>4</v>
      </c>
      <c r="AI95" s="165">
        <v>7</v>
      </c>
      <c r="AJ95" s="165">
        <v>2.5</v>
      </c>
      <c r="AK95" s="165">
        <v>5</v>
      </c>
      <c r="AL95" s="165">
        <v>9.5</v>
      </c>
      <c r="AM95" s="165">
        <v>42.5</v>
      </c>
      <c r="AN95" s="167">
        <f>tbl_operations[[#This Row],[Interview Styling Registrations]]+tbl_operations[[#This Row],[Confidence Styling Registrations]]</f>
        <v>5</v>
      </c>
      <c r="AO95" s="167">
        <f>tbl_operations[[#This Row],[Interview Styling Completed]]+tbl_operations[[#This Row],[Confidence Styling Completed]]</f>
        <v>4</v>
      </c>
      <c r="AP95" s="167">
        <f>tbl_operations[[#This Row],[Interview Styling Male]]+tbl_operations[[#This Row],[Confidence Styling Male]]</f>
        <v>0</v>
      </c>
      <c r="AQ95" s="167">
        <f>tbl_operations[[#This Row],[Interview Styling Female]]+tbl_operations[[#This Row],[Confidence Styling Female]]</f>
        <v>4</v>
      </c>
      <c r="AR95" s="167">
        <f>tbl_operations[[#This Row],[Interview Styling Non-Binary]]+tbl_operations[[#This Row],[Confidence Styling Non-Binary]]</f>
        <v>0</v>
      </c>
    </row>
    <row r="96" spans="1:44">
      <c r="A96" s="161" t="s">
        <v>24</v>
      </c>
      <c r="B96" s="162" t="s">
        <v>101</v>
      </c>
      <c r="C96" s="161" t="s">
        <v>98</v>
      </c>
      <c r="D96" s="163">
        <v>46155</v>
      </c>
      <c r="E96" s="164" t="str">
        <f t="shared" si="1"/>
        <v>Wednesday</v>
      </c>
      <c r="F96" s="161">
        <v>1</v>
      </c>
      <c r="G96" s="161">
        <v>0</v>
      </c>
      <c r="H96" s="161">
        <v>0</v>
      </c>
      <c r="I96" s="161">
        <v>0</v>
      </c>
      <c r="J96" s="161">
        <v>0</v>
      </c>
      <c r="K96" s="161">
        <v>2</v>
      </c>
      <c r="L96" s="161">
        <v>2</v>
      </c>
      <c r="M96" s="161">
        <v>0</v>
      </c>
      <c r="N96" s="161">
        <v>2</v>
      </c>
      <c r="O96" s="161">
        <v>0</v>
      </c>
      <c r="P96" s="161">
        <v>0</v>
      </c>
      <c r="Q96" s="161">
        <v>0</v>
      </c>
      <c r="R96" s="161">
        <v>0</v>
      </c>
      <c r="S96" s="161">
        <v>0</v>
      </c>
      <c r="T96" s="165">
        <v>38.5</v>
      </c>
      <c r="U96" s="165">
        <v>9.7</v>
      </c>
      <c r="V96" s="161">
        <v>20</v>
      </c>
      <c r="W96" s="166">
        <v>424.29</v>
      </c>
      <c r="X96" s="161">
        <v>1948</v>
      </c>
      <c r="Y96" s="161">
        <v>95</v>
      </c>
      <c r="Z96" s="165">
        <v>2</v>
      </c>
      <c r="AA96" s="165">
        <v>1</v>
      </c>
      <c r="AB96" s="165">
        <v>1</v>
      </c>
      <c r="AC96" s="165">
        <v>0</v>
      </c>
      <c r="AD96" s="165">
        <v>3</v>
      </c>
      <c r="AE96" s="165">
        <v>2</v>
      </c>
      <c r="AF96" s="165">
        <v>9</v>
      </c>
      <c r="AG96" s="165">
        <v>9.5</v>
      </c>
      <c r="AH96" s="165">
        <v>2</v>
      </c>
      <c r="AI96" s="165">
        <v>3</v>
      </c>
      <c r="AJ96" s="165">
        <v>0</v>
      </c>
      <c r="AK96" s="165">
        <v>14.5</v>
      </c>
      <c r="AL96" s="165">
        <v>5.5</v>
      </c>
      <c r="AM96" s="165">
        <v>34.5</v>
      </c>
      <c r="AN96" s="167">
        <f>tbl_operations[[#This Row],[Interview Styling Registrations]]+tbl_operations[[#This Row],[Confidence Styling Registrations]]</f>
        <v>3</v>
      </c>
      <c r="AO96" s="167">
        <f>tbl_operations[[#This Row],[Interview Styling Completed]]+tbl_operations[[#This Row],[Confidence Styling Completed]]</f>
        <v>2</v>
      </c>
      <c r="AP96" s="167">
        <f>tbl_operations[[#This Row],[Interview Styling Male]]+tbl_operations[[#This Row],[Confidence Styling Male]]</f>
        <v>0</v>
      </c>
      <c r="AQ96" s="167">
        <f>tbl_operations[[#This Row],[Interview Styling Female]]+tbl_operations[[#This Row],[Confidence Styling Female]]</f>
        <v>2</v>
      </c>
      <c r="AR96" s="167">
        <f>tbl_operations[[#This Row],[Interview Styling Non-Binary]]+tbl_operations[[#This Row],[Confidence Styling Non-Binary]]</f>
        <v>0</v>
      </c>
    </row>
    <row r="97" spans="1:44">
      <c r="A97" s="161" t="s">
        <v>24</v>
      </c>
      <c r="B97" s="162" t="s">
        <v>101</v>
      </c>
      <c r="C97" s="161" t="s">
        <v>98</v>
      </c>
      <c r="D97" s="163">
        <v>46156</v>
      </c>
      <c r="E97" s="164" t="str">
        <f t="shared" si="1"/>
        <v>Thursday</v>
      </c>
      <c r="F97" s="161">
        <v>2</v>
      </c>
      <c r="G97" s="161">
        <v>2</v>
      </c>
      <c r="H97" s="161">
        <v>1</v>
      </c>
      <c r="I97" s="161">
        <v>1</v>
      </c>
      <c r="J97" s="161">
        <v>0</v>
      </c>
      <c r="K97" s="161">
        <v>1</v>
      </c>
      <c r="L97" s="161">
        <v>1</v>
      </c>
      <c r="M97" s="161">
        <v>1</v>
      </c>
      <c r="N97" s="161">
        <v>0</v>
      </c>
      <c r="O97" s="161">
        <v>0</v>
      </c>
      <c r="P97" s="161">
        <v>0</v>
      </c>
      <c r="Q97" s="161">
        <v>1</v>
      </c>
      <c r="R97" s="161">
        <v>0</v>
      </c>
      <c r="S97" s="161">
        <v>1</v>
      </c>
      <c r="T97" s="165">
        <v>20</v>
      </c>
      <c r="U97" s="165">
        <v>0</v>
      </c>
      <c r="V97" s="161">
        <v>14</v>
      </c>
      <c r="W97" s="166">
        <v>203.17</v>
      </c>
      <c r="X97" s="161">
        <v>1445</v>
      </c>
      <c r="Y97" s="161">
        <v>151</v>
      </c>
      <c r="Z97" s="165">
        <v>3</v>
      </c>
      <c r="AA97" s="165">
        <v>1</v>
      </c>
      <c r="AB97" s="165">
        <v>1</v>
      </c>
      <c r="AC97" s="165">
        <v>2</v>
      </c>
      <c r="AD97" s="165">
        <v>2</v>
      </c>
      <c r="AE97" s="165">
        <v>2</v>
      </c>
      <c r="AF97" s="165">
        <v>11</v>
      </c>
      <c r="AG97" s="165">
        <v>15</v>
      </c>
      <c r="AH97" s="165">
        <v>3</v>
      </c>
      <c r="AI97" s="165">
        <v>5</v>
      </c>
      <c r="AJ97" s="165">
        <v>11</v>
      </c>
      <c r="AK97" s="165">
        <v>5</v>
      </c>
      <c r="AL97" s="165">
        <v>9</v>
      </c>
      <c r="AM97" s="165">
        <v>48</v>
      </c>
      <c r="AN97" s="167">
        <f>tbl_operations[[#This Row],[Interview Styling Registrations]]+tbl_operations[[#This Row],[Confidence Styling Registrations]]</f>
        <v>3</v>
      </c>
      <c r="AO97" s="167">
        <f>tbl_operations[[#This Row],[Interview Styling Completed]]+tbl_operations[[#This Row],[Confidence Styling Completed]]</f>
        <v>3</v>
      </c>
      <c r="AP97" s="167">
        <f>tbl_operations[[#This Row],[Interview Styling Male]]+tbl_operations[[#This Row],[Confidence Styling Male]]</f>
        <v>2</v>
      </c>
      <c r="AQ97" s="167">
        <f>tbl_operations[[#This Row],[Interview Styling Female]]+tbl_operations[[#This Row],[Confidence Styling Female]]</f>
        <v>1</v>
      </c>
      <c r="AR97" s="167">
        <f>tbl_operations[[#This Row],[Interview Styling Non-Binary]]+tbl_operations[[#This Row],[Confidence Styling Non-Binary]]</f>
        <v>0</v>
      </c>
    </row>
    <row r="98" spans="1:44">
      <c r="A98" s="161" t="s">
        <v>24</v>
      </c>
      <c r="B98" s="162" t="s">
        <v>101</v>
      </c>
      <c r="C98" s="161" t="s">
        <v>98</v>
      </c>
      <c r="D98" s="163">
        <v>46157</v>
      </c>
      <c r="E98" s="164" t="str">
        <f t="shared" si="1"/>
        <v>Friday</v>
      </c>
      <c r="F98" s="161">
        <v>2</v>
      </c>
      <c r="G98" s="161">
        <v>1</v>
      </c>
      <c r="H98" s="161">
        <v>1</v>
      </c>
      <c r="I98" s="161">
        <v>0</v>
      </c>
      <c r="J98" s="161">
        <v>0</v>
      </c>
      <c r="K98" s="161">
        <v>0</v>
      </c>
      <c r="L98" s="161">
        <v>0</v>
      </c>
      <c r="M98" s="161">
        <v>0</v>
      </c>
      <c r="N98" s="161">
        <v>0</v>
      </c>
      <c r="O98" s="161">
        <v>0</v>
      </c>
      <c r="P98" s="161">
        <v>0</v>
      </c>
      <c r="Q98" s="161">
        <v>0</v>
      </c>
      <c r="R98" s="161">
        <v>0</v>
      </c>
      <c r="S98" s="161">
        <v>0</v>
      </c>
      <c r="T98" s="165">
        <v>35.7</v>
      </c>
      <c r="U98" s="165">
        <v>0</v>
      </c>
      <c r="V98" s="161">
        <v>13</v>
      </c>
      <c r="W98" s="166">
        <v>398.09</v>
      </c>
      <c r="X98" s="161">
        <v>782</v>
      </c>
      <c r="Y98" s="161">
        <v>73</v>
      </c>
      <c r="Z98" s="165">
        <v>2</v>
      </c>
      <c r="AA98" s="165">
        <v>2</v>
      </c>
      <c r="AB98" s="165">
        <v>1</v>
      </c>
      <c r="AC98" s="165">
        <v>0</v>
      </c>
      <c r="AD98" s="165">
        <v>4</v>
      </c>
      <c r="AE98" s="165">
        <v>3</v>
      </c>
      <c r="AF98" s="165">
        <v>12</v>
      </c>
      <c r="AG98" s="165">
        <v>5.5</v>
      </c>
      <c r="AH98" s="165">
        <v>9.5</v>
      </c>
      <c r="AI98" s="165">
        <v>3</v>
      </c>
      <c r="AJ98" s="165">
        <v>0</v>
      </c>
      <c r="AK98" s="165">
        <v>21.5</v>
      </c>
      <c r="AL98" s="165">
        <v>9</v>
      </c>
      <c r="AM98" s="165">
        <v>48.5</v>
      </c>
      <c r="AN98" s="167">
        <f>tbl_operations[[#This Row],[Interview Styling Registrations]]+tbl_operations[[#This Row],[Confidence Styling Registrations]]</f>
        <v>2</v>
      </c>
      <c r="AO98" s="167">
        <f>tbl_operations[[#This Row],[Interview Styling Completed]]+tbl_operations[[#This Row],[Confidence Styling Completed]]</f>
        <v>1</v>
      </c>
      <c r="AP98" s="167">
        <f>tbl_operations[[#This Row],[Interview Styling Male]]+tbl_operations[[#This Row],[Confidence Styling Male]]</f>
        <v>1</v>
      </c>
      <c r="AQ98" s="167">
        <f>tbl_operations[[#This Row],[Interview Styling Female]]+tbl_operations[[#This Row],[Confidence Styling Female]]</f>
        <v>0</v>
      </c>
      <c r="AR98" s="167">
        <f>tbl_operations[[#This Row],[Interview Styling Non-Binary]]+tbl_operations[[#This Row],[Confidence Styling Non-Binary]]</f>
        <v>0</v>
      </c>
    </row>
    <row r="99" spans="1:44">
      <c r="A99" s="161" t="s">
        <v>24</v>
      </c>
      <c r="B99" s="162" t="s">
        <v>101</v>
      </c>
      <c r="C99" s="161" t="s">
        <v>99</v>
      </c>
      <c r="D99" s="163">
        <v>46160</v>
      </c>
      <c r="E99" s="164" t="str">
        <f t="shared" si="1"/>
        <v>Monday</v>
      </c>
      <c r="F99" s="161">
        <v>0</v>
      </c>
      <c r="G99" s="161">
        <v>0</v>
      </c>
      <c r="H99" s="161">
        <v>0</v>
      </c>
      <c r="I99" s="161">
        <v>0</v>
      </c>
      <c r="J99" s="161">
        <v>0</v>
      </c>
      <c r="K99" s="161">
        <v>1</v>
      </c>
      <c r="L99" s="161">
        <v>1</v>
      </c>
      <c r="M99" s="161">
        <v>1</v>
      </c>
      <c r="N99" s="161">
        <v>0</v>
      </c>
      <c r="O99" s="161">
        <v>0</v>
      </c>
      <c r="P99" s="161">
        <v>1</v>
      </c>
      <c r="Q99" s="161">
        <v>0</v>
      </c>
      <c r="R99" s="161">
        <v>1</v>
      </c>
      <c r="S99" s="161">
        <v>0</v>
      </c>
      <c r="T99" s="165">
        <v>52.4</v>
      </c>
      <c r="U99" s="165">
        <v>0</v>
      </c>
      <c r="V99" s="161">
        <v>5</v>
      </c>
      <c r="W99" s="166">
        <v>178.61</v>
      </c>
      <c r="X99" s="161">
        <v>1935</v>
      </c>
      <c r="Y99" s="161">
        <v>140</v>
      </c>
      <c r="Z99" s="165">
        <v>1</v>
      </c>
      <c r="AA99" s="165">
        <v>1</v>
      </c>
      <c r="AB99" s="165">
        <v>0</v>
      </c>
      <c r="AC99" s="165">
        <v>0</v>
      </c>
      <c r="AD99" s="165">
        <v>2</v>
      </c>
      <c r="AE99" s="165">
        <v>3</v>
      </c>
      <c r="AF99" s="165">
        <v>7</v>
      </c>
      <c r="AG99" s="165">
        <v>2</v>
      </c>
      <c r="AH99" s="165">
        <v>4</v>
      </c>
      <c r="AI99" s="165">
        <v>0</v>
      </c>
      <c r="AJ99" s="165">
        <v>0</v>
      </c>
      <c r="AK99" s="165">
        <v>6</v>
      </c>
      <c r="AL99" s="165">
        <v>12</v>
      </c>
      <c r="AM99" s="165">
        <v>24</v>
      </c>
      <c r="AN99" s="167">
        <f>tbl_operations[[#This Row],[Interview Styling Registrations]]+tbl_operations[[#This Row],[Confidence Styling Registrations]]</f>
        <v>1</v>
      </c>
      <c r="AO99" s="167">
        <f>tbl_operations[[#This Row],[Interview Styling Completed]]+tbl_operations[[#This Row],[Confidence Styling Completed]]</f>
        <v>1</v>
      </c>
      <c r="AP99" s="167">
        <f>tbl_operations[[#This Row],[Interview Styling Male]]+tbl_operations[[#This Row],[Confidence Styling Male]]</f>
        <v>1</v>
      </c>
      <c r="AQ99" s="167">
        <f>tbl_operations[[#This Row],[Interview Styling Female]]+tbl_operations[[#This Row],[Confidence Styling Female]]</f>
        <v>0</v>
      </c>
      <c r="AR99" s="167">
        <f>tbl_operations[[#This Row],[Interview Styling Non-Binary]]+tbl_operations[[#This Row],[Confidence Styling Non-Binary]]</f>
        <v>0</v>
      </c>
    </row>
    <row r="100" spans="1:44">
      <c r="A100" s="161" t="s">
        <v>24</v>
      </c>
      <c r="B100" s="162" t="s">
        <v>101</v>
      </c>
      <c r="C100" s="161" t="s">
        <v>99</v>
      </c>
      <c r="D100" s="163">
        <v>46161</v>
      </c>
      <c r="E100" s="164" t="str">
        <f t="shared" si="1"/>
        <v>Tuesday</v>
      </c>
      <c r="F100" s="161">
        <v>1</v>
      </c>
      <c r="G100" s="161">
        <v>1</v>
      </c>
      <c r="H100" s="161">
        <v>1</v>
      </c>
      <c r="I100" s="161">
        <v>0</v>
      </c>
      <c r="J100" s="161">
        <v>0</v>
      </c>
      <c r="K100" s="161">
        <v>2</v>
      </c>
      <c r="L100" s="161">
        <v>2</v>
      </c>
      <c r="M100" s="161">
        <v>0</v>
      </c>
      <c r="N100" s="161">
        <v>2</v>
      </c>
      <c r="O100" s="161">
        <v>0</v>
      </c>
      <c r="P100" s="161">
        <v>0</v>
      </c>
      <c r="Q100" s="161">
        <v>0</v>
      </c>
      <c r="R100" s="161">
        <v>1</v>
      </c>
      <c r="S100" s="161">
        <v>0</v>
      </c>
      <c r="T100" s="165">
        <v>51.5</v>
      </c>
      <c r="U100" s="165">
        <v>0</v>
      </c>
      <c r="V100" s="161">
        <v>14</v>
      </c>
      <c r="W100" s="166">
        <v>284.29</v>
      </c>
      <c r="X100" s="161">
        <v>1981</v>
      </c>
      <c r="Y100" s="161">
        <v>265</v>
      </c>
      <c r="Z100" s="165">
        <v>4</v>
      </c>
      <c r="AA100" s="165">
        <v>1</v>
      </c>
      <c r="AB100" s="165">
        <v>0</v>
      </c>
      <c r="AC100" s="165">
        <v>1</v>
      </c>
      <c r="AD100" s="165">
        <v>3</v>
      </c>
      <c r="AE100" s="165">
        <v>2</v>
      </c>
      <c r="AF100" s="165">
        <v>11</v>
      </c>
      <c r="AG100" s="165">
        <v>16</v>
      </c>
      <c r="AH100" s="165">
        <v>5</v>
      </c>
      <c r="AI100" s="165">
        <v>0</v>
      </c>
      <c r="AJ100" s="165">
        <v>5.5</v>
      </c>
      <c r="AK100" s="165">
        <v>10.5</v>
      </c>
      <c r="AL100" s="165">
        <v>10</v>
      </c>
      <c r="AM100" s="165">
        <v>47</v>
      </c>
      <c r="AN100" s="167">
        <f>tbl_operations[[#This Row],[Interview Styling Registrations]]+tbl_operations[[#This Row],[Confidence Styling Registrations]]</f>
        <v>3</v>
      </c>
      <c r="AO100" s="167">
        <f>tbl_operations[[#This Row],[Interview Styling Completed]]+tbl_operations[[#This Row],[Confidence Styling Completed]]</f>
        <v>3</v>
      </c>
      <c r="AP100" s="167">
        <f>tbl_operations[[#This Row],[Interview Styling Male]]+tbl_operations[[#This Row],[Confidence Styling Male]]</f>
        <v>1</v>
      </c>
      <c r="AQ100" s="167">
        <f>tbl_operations[[#This Row],[Interview Styling Female]]+tbl_operations[[#This Row],[Confidence Styling Female]]</f>
        <v>2</v>
      </c>
      <c r="AR100" s="167">
        <f>tbl_operations[[#This Row],[Interview Styling Non-Binary]]+tbl_operations[[#This Row],[Confidence Styling Non-Binary]]</f>
        <v>0</v>
      </c>
    </row>
    <row r="101" spans="1:44">
      <c r="A101" s="161" t="s">
        <v>24</v>
      </c>
      <c r="B101" s="162" t="s">
        <v>101</v>
      </c>
      <c r="C101" s="161" t="s">
        <v>99</v>
      </c>
      <c r="D101" s="163">
        <v>46162</v>
      </c>
      <c r="E101" s="164" t="str">
        <f t="shared" si="1"/>
        <v>Wednesday</v>
      </c>
      <c r="F101" s="161">
        <v>1</v>
      </c>
      <c r="G101" s="161">
        <v>0</v>
      </c>
      <c r="H101" s="161">
        <v>0</v>
      </c>
      <c r="I101" s="161">
        <v>0</v>
      </c>
      <c r="J101" s="161">
        <v>0</v>
      </c>
      <c r="K101" s="161">
        <v>1</v>
      </c>
      <c r="L101" s="161">
        <v>1</v>
      </c>
      <c r="M101" s="161">
        <v>0</v>
      </c>
      <c r="N101" s="161">
        <v>1</v>
      </c>
      <c r="O101" s="161">
        <v>0</v>
      </c>
      <c r="P101" s="161">
        <v>2</v>
      </c>
      <c r="Q101" s="161">
        <v>0</v>
      </c>
      <c r="R101" s="161">
        <v>0</v>
      </c>
      <c r="S101" s="161">
        <v>1</v>
      </c>
      <c r="T101" s="165">
        <v>40.6</v>
      </c>
      <c r="U101" s="165">
        <v>0</v>
      </c>
      <c r="V101" s="161">
        <v>16</v>
      </c>
      <c r="W101" s="166">
        <v>214.1</v>
      </c>
      <c r="X101" s="161">
        <v>1766</v>
      </c>
      <c r="Y101" s="161">
        <v>82</v>
      </c>
      <c r="Z101" s="165">
        <v>4</v>
      </c>
      <c r="AA101" s="165">
        <v>0</v>
      </c>
      <c r="AB101" s="165">
        <v>0</v>
      </c>
      <c r="AC101" s="165">
        <v>0</v>
      </c>
      <c r="AD101" s="165">
        <v>2</v>
      </c>
      <c r="AE101" s="165">
        <v>2</v>
      </c>
      <c r="AF101" s="165">
        <v>8</v>
      </c>
      <c r="AG101" s="165">
        <v>12</v>
      </c>
      <c r="AH101" s="165">
        <v>0</v>
      </c>
      <c r="AI101" s="165">
        <v>0</v>
      </c>
      <c r="AJ101" s="165">
        <v>0</v>
      </c>
      <c r="AK101" s="165">
        <v>4.5</v>
      </c>
      <c r="AL101" s="165">
        <v>8.5</v>
      </c>
      <c r="AM101" s="165">
        <v>25</v>
      </c>
      <c r="AN101" s="167">
        <f>tbl_operations[[#This Row],[Interview Styling Registrations]]+tbl_operations[[#This Row],[Confidence Styling Registrations]]</f>
        <v>2</v>
      </c>
      <c r="AO101" s="167">
        <f>tbl_operations[[#This Row],[Interview Styling Completed]]+tbl_operations[[#This Row],[Confidence Styling Completed]]</f>
        <v>1</v>
      </c>
      <c r="AP101" s="167">
        <f>tbl_operations[[#This Row],[Interview Styling Male]]+tbl_operations[[#This Row],[Confidence Styling Male]]</f>
        <v>0</v>
      </c>
      <c r="AQ101" s="167">
        <f>tbl_operations[[#This Row],[Interview Styling Female]]+tbl_operations[[#This Row],[Confidence Styling Female]]</f>
        <v>1</v>
      </c>
      <c r="AR101" s="167">
        <f>tbl_operations[[#This Row],[Interview Styling Non-Binary]]+tbl_operations[[#This Row],[Confidence Styling Non-Binary]]</f>
        <v>0</v>
      </c>
    </row>
    <row r="102" spans="1:44">
      <c r="A102" s="161" t="s">
        <v>24</v>
      </c>
      <c r="B102" s="162" t="s">
        <v>101</v>
      </c>
      <c r="C102" s="161" t="s">
        <v>99</v>
      </c>
      <c r="D102" s="163">
        <v>46163</v>
      </c>
      <c r="E102" s="164" t="str">
        <f t="shared" si="1"/>
        <v>Thursday</v>
      </c>
      <c r="F102" s="161">
        <v>3</v>
      </c>
      <c r="G102" s="161">
        <v>2</v>
      </c>
      <c r="H102" s="161">
        <v>0</v>
      </c>
      <c r="I102" s="161">
        <v>2</v>
      </c>
      <c r="J102" s="161">
        <v>0</v>
      </c>
      <c r="K102" s="161">
        <v>3</v>
      </c>
      <c r="L102" s="161">
        <v>2</v>
      </c>
      <c r="M102" s="161">
        <v>0</v>
      </c>
      <c r="N102" s="161">
        <v>2</v>
      </c>
      <c r="O102" s="161">
        <v>0</v>
      </c>
      <c r="P102" s="161">
        <v>1</v>
      </c>
      <c r="Q102" s="161">
        <v>0</v>
      </c>
      <c r="R102" s="161">
        <v>0</v>
      </c>
      <c r="S102" s="161">
        <v>1</v>
      </c>
      <c r="T102" s="165">
        <v>16.5</v>
      </c>
      <c r="U102" s="165">
        <v>0</v>
      </c>
      <c r="V102" s="161">
        <v>21</v>
      </c>
      <c r="W102" s="166">
        <v>271.82</v>
      </c>
      <c r="X102" s="161">
        <v>825</v>
      </c>
      <c r="Y102" s="161">
        <v>22</v>
      </c>
      <c r="Z102" s="165">
        <v>4</v>
      </c>
      <c r="AA102" s="165">
        <v>0</v>
      </c>
      <c r="AB102" s="165">
        <v>1</v>
      </c>
      <c r="AC102" s="165">
        <v>0</v>
      </c>
      <c r="AD102" s="165">
        <v>3</v>
      </c>
      <c r="AE102" s="165">
        <v>3</v>
      </c>
      <c r="AF102" s="165">
        <v>11</v>
      </c>
      <c r="AG102" s="165">
        <v>13.5</v>
      </c>
      <c r="AH102" s="165">
        <v>0</v>
      </c>
      <c r="AI102" s="165">
        <v>2</v>
      </c>
      <c r="AJ102" s="165">
        <v>0</v>
      </c>
      <c r="AK102" s="165">
        <v>7.5</v>
      </c>
      <c r="AL102" s="165">
        <v>13.5</v>
      </c>
      <c r="AM102" s="165">
        <v>36.5</v>
      </c>
      <c r="AN102" s="167">
        <f>tbl_operations[[#This Row],[Interview Styling Registrations]]+tbl_operations[[#This Row],[Confidence Styling Registrations]]</f>
        <v>6</v>
      </c>
      <c r="AO102" s="167">
        <f>tbl_operations[[#This Row],[Interview Styling Completed]]+tbl_operations[[#This Row],[Confidence Styling Completed]]</f>
        <v>4</v>
      </c>
      <c r="AP102" s="167">
        <f>tbl_operations[[#This Row],[Interview Styling Male]]+tbl_operations[[#This Row],[Confidence Styling Male]]</f>
        <v>0</v>
      </c>
      <c r="AQ102" s="167">
        <f>tbl_operations[[#This Row],[Interview Styling Female]]+tbl_operations[[#This Row],[Confidence Styling Female]]</f>
        <v>4</v>
      </c>
      <c r="AR102" s="167">
        <f>tbl_operations[[#This Row],[Interview Styling Non-Binary]]+tbl_operations[[#This Row],[Confidence Styling Non-Binary]]</f>
        <v>0</v>
      </c>
    </row>
    <row r="103" spans="1:44">
      <c r="A103" s="161" t="s">
        <v>24</v>
      </c>
      <c r="B103" s="162" t="s">
        <v>101</v>
      </c>
      <c r="C103" s="161" t="s">
        <v>99</v>
      </c>
      <c r="D103" s="163">
        <v>46164</v>
      </c>
      <c r="E103" s="164" t="str">
        <f t="shared" si="1"/>
        <v>Friday</v>
      </c>
      <c r="F103" s="161">
        <v>0</v>
      </c>
      <c r="G103" s="161">
        <v>0</v>
      </c>
      <c r="H103" s="161">
        <v>0</v>
      </c>
      <c r="I103" s="161">
        <v>0</v>
      </c>
      <c r="J103" s="161">
        <v>0</v>
      </c>
      <c r="K103" s="161">
        <v>3</v>
      </c>
      <c r="L103" s="161">
        <v>2</v>
      </c>
      <c r="M103" s="161">
        <v>1</v>
      </c>
      <c r="N103" s="161">
        <v>1</v>
      </c>
      <c r="O103" s="161">
        <v>0</v>
      </c>
      <c r="P103" s="161">
        <v>2</v>
      </c>
      <c r="Q103" s="161">
        <v>0</v>
      </c>
      <c r="R103" s="161">
        <v>1</v>
      </c>
      <c r="S103" s="161">
        <v>0</v>
      </c>
      <c r="T103" s="165">
        <v>60</v>
      </c>
      <c r="U103" s="165">
        <v>0</v>
      </c>
      <c r="V103" s="161">
        <v>15</v>
      </c>
      <c r="W103" s="166">
        <v>187.86</v>
      </c>
      <c r="X103" s="161">
        <v>767</v>
      </c>
      <c r="Y103" s="161">
        <v>37</v>
      </c>
      <c r="Z103" s="165">
        <v>4</v>
      </c>
      <c r="AA103" s="165">
        <v>0</v>
      </c>
      <c r="AB103" s="165">
        <v>2</v>
      </c>
      <c r="AC103" s="165">
        <v>2</v>
      </c>
      <c r="AD103" s="165">
        <v>2</v>
      </c>
      <c r="AE103" s="165">
        <v>3</v>
      </c>
      <c r="AF103" s="165">
        <v>13</v>
      </c>
      <c r="AG103" s="165">
        <v>9</v>
      </c>
      <c r="AH103" s="165">
        <v>0</v>
      </c>
      <c r="AI103" s="165">
        <v>9.5</v>
      </c>
      <c r="AJ103" s="165">
        <v>6</v>
      </c>
      <c r="AK103" s="165">
        <v>9.5</v>
      </c>
      <c r="AL103" s="165">
        <v>9</v>
      </c>
      <c r="AM103" s="165">
        <v>43</v>
      </c>
      <c r="AN103" s="167">
        <f>tbl_operations[[#This Row],[Interview Styling Registrations]]+tbl_operations[[#This Row],[Confidence Styling Registrations]]</f>
        <v>3</v>
      </c>
      <c r="AO103" s="167">
        <f>tbl_operations[[#This Row],[Interview Styling Completed]]+tbl_operations[[#This Row],[Confidence Styling Completed]]</f>
        <v>2</v>
      </c>
      <c r="AP103" s="167">
        <f>tbl_operations[[#This Row],[Interview Styling Male]]+tbl_operations[[#This Row],[Confidence Styling Male]]</f>
        <v>1</v>
      </c>
      <c r="AQ103" s="167">
        <f>tbl_operations[[#This Row],[Interview Styling Female]]+tbl_operations[[#This Row],[Confidence Styling Female]]</f>
        <v>1</v>
      </c>
      <c r="AR103" s="167">
        <f>tbl_operations[[#This Row],[Interview Styling Non-Binary]]+tbl_operations[[#This Row],[Confidence Styling Non-Binary]]</f>
        <v>0</v>
      </c>
    </row>
    <row r="104" spans="1:44">
      <c r="A104" s="161" t="s">
        <v>24</v>
      </c>
      <c r="B104" s="162" t="s">
        <v>101</v>
      </c>
      <c r="C104" s="161" t="s">
        <v>100</v>
      </c>
      <c r="D104" s="163">
        <v>46167</v>
      </c>
      <c r="E104" s="164" t="str">
        <f t="shared" si="1"/>
        <v>Monday</v>
      </c>
      <c r="F104" s="161">
        <v>0</v>
      </c>
      <c r="G104" s="161">
        <v>0</v>
      </c>
      <c r="H104" s="161">
        <v>0</v>
      </c>
      <c r="I104" s="161">
        <v>0</v>
      </c>
      <c r="J104" s="161">
        <v>0</v>
      </c>
      <c r="K104" s="161">
        <v>0</v>
      </c>
      <c r="L104" s="161">
        <v>0</v>
      </c>
      <c r="M104" s="161">
        <v>0</v>
      </c>
      <c r="N104" s="161">
        <v>0</v>
      </c>
      <c r="O104" s="161">
        <v>0</v>
      </c>
      <c r="P104" s="161">
        <v>1</v>
      </c>
      <c r="Q104" s="161">
        <v>0</v>
      </c>
      <c r="R104" s="161">
        <v>0</v>
      </c>
      <c r="S104" s="161">
        <v>0</v>
      </c>
      <c r="T104" s="165">
        <v>22.4</v>
      </c>
      <c r="U104" s="165">
        <v>0</v>
      </c>
      <c r="V104" s="161">
        <v>15</v>
      </c>
      <c r="W104" s="166">
        <v>377.56</v>
      </c>
      <c r="X104" s="161">
        <v>412</v>
      </c>
      <c r="Y104" s="161">
        <v>19</v>
      </c>
      <c r="Z104" s="165">
        <v>1</v>
      </c>
      <c r="AA104" s="165">
        <v>0</v>
      </c>
      <c r="AB104" s="165">
        <v>1</v>
      </c>
      <c r="AC104" s="165">
        <v>0</v>
      </c>
      <c r="AD104" s="165">
        <v>4</v>
      </c>
      <c r="AE104" s="165">
        <v>1</v>
      </c>
      <c r="AF104" s="165">
        <v>7</v>
      </c>
      <c r="AG104" s="165">
        <v>2.5</v>
      </c>
      <c r="AH104" s="165">
        <v>0</v>
      </c>
      <c r="AI104" s="165">
        <v>4.5</v>
      </c>
      <c r="AJ104" s="165">
        <v>0</v>
      </c>
      <c r="AK104" s="165">
        <v>18.5</v>
      </c>
      <c r="AL104" s="165">
        <v>5.5</v>
      </c>
      <c r="AM104" s="165">
        <v>31</v>
      </c>
      <c r="AN104" s="167">
        <f>tbl_operations[[#This Row],[Interview Styling Registrations]]+tbl_operations[[#This Row],[Confidence Styling Registrations]]</f>
        <v>0</v>
      </c>
      <c r="AO104" s="167">
        <f>tbl_operations[[#This Row],[Interview Styling Completed]]+tbl_operations[[#This Row],[Confidence Styling Completed]]</f>
        <v>0</v>
      </c>
      <c r="AP104" s="167">
        <f>tbl_operations[[#This Row],[Interview Styling Male]]+tbl_operations[[#This Row],[Confidence Styling Male]]</f>
        <v>0</v>
      </c>
      <c r="AQ104" s="167">
        <f>tbl_operations[[#This Row],[Interview Styling Female]]+tbl_operations[[#This Row],[Confidence Styling Female]]</f>
        <v>0</v>
      </c>
      <c r="AR104" s="167">
        <f>tbl_operations[[#This Row],[Interview Styling Non-Binary]]+tbl_operations[[#This Row],[Confidence Styling Non-Binary]]</f>
        <v>0</v>
      </c>
    </row>
    <row r="105" spans="1:44">
      <c r="A105" s="161" t="s">
        <v>24</v>
      </c>
      <c r="B105" s="162" t="s">
        <v>101</v>
      </c>
      <c r="C105" s="161" t="s">
        <v>100</v>
      </c>
      <c r="D105" s="163">
        <v>46168</v>
      </c>
      <c r="E105" s="164" t="str">
        <f t="shared" si="1"/>
        <v>Tuesday</v>
      </c>
      <c r="F105" s="161">
        <v>2</v>
      </c>
      <c r="G105" s="161">
        <v>2</v>
      </c>
      <c r="H105" s="161">
        <v>0</v>
      </c>
      <c r="I105" s="161">
        <v>2</v>
      </c>
      <c r="J105" s="161">
        <v>0</v>
      </c>
      <c r="K105" s="161">
        <v>1</v>
      </c>
      <c r="L105" s="161">
        <v>1</v>
      </c>
      <c r="M105" s="161">
        <v>0</v>
      </c>
      <c r="N105" s="161">
        <v>1</v>
      </c>
      <c r="O105" s="161">
        <v>0</v>
      </c>
      <c r="P105" s="161">
        <v>0</v>
      </c>
      <c r="Q105" s="161">
        <v>0</v>
      </c>
      <c r="R105" s="161">
        <v>0</v>
      </c>
      <c r="S105" s="161">
        <v>0</v>
      </c>
      <c r="T105" s="165">
        <v>11.9</v>
      </c>
      <c r="U105" s="165">
        <v>20.8</v>
      </c>
      <c r="V105" s="161">
        <v>11</v>
      </c>
      <c r="W105" s="166">
        <v>188.54</v>
      </c>
      <c r="X105" s="161">
        <v>775</v>
      </c>
      <c r="Y105" s="161">
        <v>110</v>
      </c>
      <c r="Z105" s="165">
        <v>3</v>
      </c>
      <c r="AA105" s="165">
        <v>0</v>
      </c>
      <c r="AB105" s="165">
        <v>0</v>
      </c>
      <c r="AC105" s="165">
        <v>1</v>
      </c>
      <c r="AD105" s="165">
        <v>4</v>
      </c>
      <c r="AE105" s="165">
        <v>3</v>
      </c>
      <c r="AF105" s="165">
        <v>11</v>
      </c>
      <c r="AG105" s="165">
        <v>14.5</v>
      </c>
      <c r="AH105" s="165">
        <v>0</v>
      </c>
      <c r="AI105" s="165">
        <v>0</v>
      </c>
      <c r="AJ105" s="165">
        <v>5</v>
      </c>
      <c r="AK105" s="165">
        <v>18</v>
      </c>
      <c r="AL105" s="165">
        <v>12.5</v>
      </c>
      <c r="AM105" s="165">
        <v>50</v>
      </c>
      <c r="AN105" s="167">
        <f>tbl_operations[[#This Row],[Interview Styling Registrations]]+tbl_operations[[#This Row],[Confidence Styling Registrations]]</f>
        <v>3</v>
      </c>
      <c r="AO105" s="167">
        <f>tbl_operations[[#This Row],[Interview Styling Completed]]+tbl_operations[[#This Row],[Confidence Styling Completed]]</f>
        <v>3</v>
      </c>
      <c r="AP105" s="167">
        <f>tbl_operations[[#This Row],[Interview Styling Male]]+tbl_operations[[#This Row],[Confidence Styling Male]]</f>
        <v>0</v>
      </c>
      <c r="AQ105" s="167">
        <f>tbl_operations[[#This Row],[Interview Styling Female]]+tbl_operations[[#This Row],[Confidence Styling Female]]</f>
        <v>3</v>
      </c>
      <c r="AR105" s="167">
        <f>tbl_operations[[#This Row],[Interview Styling Non-Binary]]+tbl_operations[[#This Row],[Confidence Styling Non-Binary]]</f>
        <v>0</v>
      </c>
    </row>
    <row r="106" spans="1:44">
      <c r="A106" s="161" t="s">
        <v>24</v>
      </c>
      <c r="B106" s="162" t="s">
        <v>101</v>
      </c>
      <c r="C106" s="161" t="s">
        <v>100</v>
      </c>
      <c r="D106" s="163">
        <v>46169</v>
      </c>
      <c r="E106" s="164" t="str">
        <f t="shared" si="1"/>
        <v>Wednesday</v>
      </c>
      <c r="F106" s="161">
        <v>0</v>
      </c>
      <c r="G106" s="161">
        <v>0</v>
      </c>
      <c r="H106" s="161">
        <v>0</v>
      </c>
      <c r="I106" s="161">
        <v>0</v>
      </c>
      <c r="J106" s="161">
        <v>0</v>
      </c>
      <c r="K106" s="161">
        <v>1</v>
      </c>
      <c r="L106" s="161">
        <v>0</v>
      </c>
      <c r="M106" s="161">
        <v>0</v>
      </c>
      <c r="N106" s="161">
        <v>0</v>
      </c>
      <c r="O106" s="161">
        <v>0</v>
      </c>
      <c r="P106" s="161">
        <v>0</v>
      </c>
      <c r="Q106" s="161">
        <v>1</v>
      </c>
      <c r="R106" s="161">
        <v>0</v>
      </c>
      <c r="S106" s="161">
        <v>0</v>
      </c>
      <c r="T106" s="165">
        <v>59.7</v>
      </c>
      <c r="U106" s="165">
        <v>13.8</v>
      </c>
      <c r="V106" s="161">
        <v>12</v>
      </c>
      <c r="W106" s="166">
        <v>198.27</v>
      </c>
      <c r="X106" s="161">
        <v>218</v>
      </c>
      <c r="Y106" s="161">
        <v>25</v>
      </c>
      <c r="Z106" s="165">
        <v>1</v>
      </c>
      <c r="AA106" s="165">
        <v>2</v>
      </c>
      <c r="AB106" s="165">
        <v>0</v>
      </c>
      <c r="AC106" s="165">
        <v>0</v>
      </c>
      <c r="AD106" s="165">
        <v>5</v>
      </c>
      <c r="AE106" s="165">
        <v>4</v>
      </c>
      <c r="AF106" s="165">
        <v>12</v>
      </c>
      <c r="AG106" s="165">
        <v>2.5</v>
      </c>
      <c r="AH106" s="165">
        <v>10</v>
      </c>
      <c r="AI106" s="165">
        <v>0</v>
      </c>
      <c r="AJ106" s="165">
        <v>0</v>
      </c>
      <c r="AK106" s="165">
        <v>19</v>
      </c>
      <c r="AL106" s="165">
        <v>12</v>
      </c>
      <c r="AM106" s="165">
        <v>43.5</v>
      </c>
      <c r="AN106" s="167">
        <f>tbl_operations[[#This Row],[Interview Styling Registrations]]+tbl_operations[[#This Row],[Confidence Styling Registrations]]</f>
        <v>1</v>
      </c>
      <c r="AO106" s="167">
        <f>tbl_operations[[#This Row],[Interview Styling Completed]]+tbl_operations[[#This Row],[Confidence Styling Completed]]</f>
        <v>0</v>
      </c>
      <c r="AP106" s="167">
        <f>tbl_operations[[#This Row],[Interview Styling Male]]+tbl_operations[[#This Row],[Confidence Styling Male]]</f>
        <v>0</v>
      </c>
      <c r="AQ106" s="167">
        <f>tbl_operations[[#This Row],[Interview Styling Female]]+tbl_operations[[#This Row],[Confidence Styling Female]]</f>
        <v>0</v>
      </c>
      <c r="AR106" s="167">
        <f>tbl_operations[[#This Row],[Interview Styling Non-Binary]]+tbl_operations[[#This Row],[Confidence Styling Non-Binary]]</f>
        <v>0</v>
      </c>
    </row>
    <row r="107" spans="1:44">
      <c r="A107" s="161" t="s">
        <v>24</v>
      </c>
      <c r="B107" s="162" t="s">
        <v>101</v>
      </c>
      <c r="C107" s="161" t="s">
        <v>100</v>
      </c>
      <c r="D107" s="163">
        <v>46170</v>
      </c>
      <c r="E107" s="164" t="str">
        <f t="shared" si="1"/>
        <v>Thursday</v>
      </c>
      <c r="F107" s="161">
        <v>2</v>
      </c>
      <c r="G107" s="161">
        <v>2</v>
      </c>
      <c r="H107" s="161">
        <v>1</v>
      </c>
      <c r="I107" s="161">
        <v>1</v>
      </c>
      <c r="J107" s="161">
        <v>0</v>
      </c>
      <c r="K107" s="161">
        <v>2</v>
      </c>
      <c r="L107" s="161">
        <v>2</v>
      </c>
      <c r="M107" s="161">
        <v>1</v>
      </c>
      <c r="N107" s="161">
        <v>1</v>
      </c>
      <c r="O107" s="161">
        <v>0</v>
      </c>
      <c r="P107" s="161">
        <v>0</v>
      </c>
      <c r="Q107" s="161">
        <v>1</v>
      </c>
      <c r="R107" s="161">
        <v>0</v>
      </c>
      <c r="S107" s="161">
        <v>0</v>
      </c>
      <c r="T107" s="165">
        <v>35.7</v>
      </c>
      <c r="U107" s="165">
        <v>0</v>
      </c>
      <c r="V107" s="161">
        <v>22</v>
      </c>
      <c r="W107" s="166">
        <v>325.5</v>
      </c>
      <c r="X107" s="161">
        <v>1283</v>
      </c>
      <c r="Y107" s="161">
        <v>116</v>
      </c>
      <c r="Z107" s="165">
        <v>3</v>
      </c>
      <c r="AA107" s="165">
        <v>1</v>
      </c>
      <c r="AB107" s="165">
        <v>2</v>
      </c>
      <c r="AC107" s="165">
        <v>0</v>
      </c>
      <c r="AD107" s="165">
        <v>3</v>
      </c>
      <c r="AE107" s="165">
        <v>3</v>
      </c>
      <c r="AF107" s="165">
        <v>12</v>
      </c>
      <c r="AG107" s="165">
        <v>15.5</v>
      </c>
      <c r="AH107" s="165">
        <v>2</v>
      </c>
      <c r="AI107" s="165">
        <v>10.5</v>
      </c>
      <c r="AJ107" s="165">
        <v>0</v>
      </c>
      <c r="AK107" s="165">
        <v>15</v>
      </c>
      <c r="AL107" s="165">
        <v>8.5</v>
      </c>
      <c r="AM107" s="165">
        <v>51.5</v>
      </c>
      <c r="AN107" s="167">
        <f>tbl_operations[[#This Row],[Interview Styling Registrations]]+tbl_operations[[#This Row],[Confidence Styling Registrations]]</f>
        <v>4</v>
      </c>
      <c r="AO107" s="167">
        <f>tbl_operations[[#This Row],[Interview Styling Completed]]+tbl_operations[[#This Row],[Confidence Styling Completed]]</f>
        <v>4</v>
      </c>
      <c r="AP107" s="167">
        <f>tbl_operations[[#This Row],[Interview Styling Male]]+tbl_operations[[#This Row],[Confidence Styling Male]]</f>
        <v>2</v>
      </c>
      <c r="AQ107" s="167">
        <f>tbl_operations[[#This Row],[Interview Styling Female]]+tbl_operations[[#This Row],[Confidence Styling Female]]</f>
        <v>2</v>
      </c>
      <c r="AR107" s="167">
        <f>tbl_operations[[#This Row],[Interview Styling Non-Binary]]+tbl_operations[[#This Row],[Confidence Styling Non-Binary]]</f>
        <v>0</v>
      </c>
    </row>
    <row r="108" spans="1:44">
      <c r="A108" s="161" t="s">
        <v>24</v>
      </c>
      <c r="B108" s="162" t="s">
        <v>101</v>
      </c>
      <c r="C108" s="161" t="s">
        <v>100</v>
      </c>
      <c r="D108" s="163">
        <v>46171</v>
      </c>
      <c r="E108" s="164" t="str">
        <f t="shared" si="1"/>
        <v>Friday</v>
      </c>
      <c r="F108" s="161">
        <v>1</v>
      </c>
      <c r="G108" s="161">
        <v>1</v>
      </c>
      <c r="H108" s="161">
        <v>1</v>
      </c>
      <c r="I108" s="161">
        <v>0</v>
      </c>
      <c r="J108" s="161">
        <v>0</v>
      </c>
      <c r="K108" s="161">
        <v>2</v>
      </c>
      <c r="L108" s="161">
        <v>2</v>
      </c>
      <c r="M108" s="161">
        <v>1</v>
      </c>
      <c r="N108" s="161">
        <v>1</v>
      </c>
      <c r="O108" s="161">
        <v>0</v>
      </c>
      <c r="P108" s="161">
        <v>1</v>
      </c>
      <c r="Q108" s="161">
        <v>0</v>
      </c>
      <c r="R108" s="161">
        <v>0</v>
      </c>
      <c r="S108" s="161">
        <v>0</v>
      </c>
      <c r="T108" s="165">
        <v>12.1</v>
      </c>
      <c r="U108" s="165">
        <v>0</v>
      </c>
      <c r="V108" s="161">
        <v>4</v>
      </c>
      <c r="W108" s="166">
        <v>118.32</v>
      </c>
      <c r="X108" s="161">
        <v>736</v>
      </c>
      <c r="Y108" s="161">
        <v>67</v>
      </c>
      <c r="Z108" s="165">
        <v>1</v>
      </c>
      <c r="AA108" s="165">
        <v>0</v>
      </c>
      <c r="AB108" s="165">
        <v>2</v>
      </c>
      <c r="AC108" s="165">
        <v>1</v>
      </c>
      <c r="AD108" s="165">
        <v>3</v>
      </c>
      <c r="AE108" s="165">
        <v>1</v>
      </c>
      <c r="AF108" s="165">
        <v>8</v>
      </c>
      <c r="AG108" s="165">
        <v>5</v>
      </c>
      <c r="AH108" s="165">
        <v>0</v>
      </c>
      <c r="AI108" s="165">
        <v>6</v>
      </c>
      <c r="AJ108" s="165">
        <v>3</v>
      </c>
      <c r="AK108" s="165">
        <v>12.5</v>
      </c>
      <c r="AL108" s="165">
        <v>5.5</v>
      </c>
      <c r="AM108" s="165">
        <v>32</v>
      </c>
      <c r="AN108" s="167">
        <f>tbl_operations[[#This Row],[Interview Styling Registrations]]+tbl_operations[[#This Row],[Confidence Styling Registrations]]</f>
        <v>3</v>
      </c>
      <c r="AO108" s="167">
        <f>tbl_operations[[#This Row],[Interview Styling Completed]]+tbl_operations[[#This Row],[Confidence Styling Completed]]</f>
        <v>3</v>
      </c>
      <c r="AP108" s="167">
        <f>tbl_operations[[#This Row],[Interview Styling Male]]+tbl_operations[[#This Row],[Confidence Styling Male]]</f>
        <v>2</v>
      </c>
      <c r="AQ108" s="167">
        <f>tbl_operations[[#This Row],[Interview Styling Female]]+tbl_operations[[#This Row],[Confidence Styling Female]]</f>
        <v>1</v>
      </c>
      <c r="AR108" s="167">
        <f>tbl_operations[[#This Row],[Interview Styling Non-Binary]]+tbl_operations[[#This Row],[Confidence Styling Non-Binary]]</f>
        <v>0</v>
      </c>
    </row>
    <row r="109" spans="1:44">
      <c r="A109" s="161" t="s">
        <v>25</v>
      </c>
      <c r="B109" s="162" t="s">
        <v>101</v>
      </c>
      <c r="C109" s="161" t="s">
        <v>96</v>
      </c>
      <c r="D109" s="163">
        <v>46174</v>
      </c>
      <c r="E109" s="164" t="str">
        <f t="shared" si="1"/>
        <v>Monday</v>
      </c>
      <c r="F109" s="161">
        <v>0</v>
      </c>
      <c r="G109" s="161">
        <v>0</v>
      </c>
      <c r="H109" s="161">
        <v>0</v>
      </c>
      <c r="I109" s="161">
        <v>0</v>
      </c>
      <c r="J109" s="161">
        <v>0</v>
      </c>
      <c r="K109" s="161">
        <v>1</v>
      </c>
      <c r="L109" s="161">
        <v>1</v>
      </c>
      <c r="M109" s="161">
        <v>1</v>
      </c>
      <c r="N109" s="161">
        <v>0</v>
      </c>
      <c r="O109" s="161">
        <v>0</v>
      </c>
      <c r="P109" s="161">
        <v>0</v>
      </c>
      <c r="Q109" s="161">
        <v>0</v>
      </c>
      <c r="R109" s="161">
        <v>0</v>
      </c>
      <c r="S109" s="161">
        <v>0</v>
      </c>
      <c r="T109" s="165">
        <v>24.9</v>
      </c>
      <c r="U109" s="165">
        <v>0</v>
      </c>
      <c r="V109" s="161">
        <v>20</v>
      </c>
      <c r="W109" s="166">
        <v>453.04</v>
      </c>
      <c r="X109" s="161">
        <v>1737</v>
      </c>
      <c r="Y109" s="161">
        <v>237</v>
      </c>
      <c r="Z109" s="165">
        <v>2</v>
      </c>
      <c r="AA109" s="165">
        <v>1</v>
      </c>
      <c r="AB109" s="165">
        <v>1</v>
      </c>
      <c r="AC109" s="165">
        <v>2</v>
      </c>
      <c r="AD109" s="165">
        <v>1</v>
      </c>
      <c r="AE109" s="165">
        <v>3</v>
      </c>
      <c r="AF109" s="165">
        <v>10</v>
      </c>
      <c r="AG109" s="165">
        <v>5.5</v>
      </c>
      <c r="AH109" s="165">
        <v>4</v>
      </c>
      <c r="AI109" s="165">
        <v>4</v>
      </c>
      <c r="AJ109" s="165">
        <v>8</v>
      </c>
      <c r="AK109" s="165">
        <v>2.5</v>
      </c>
      <c r="AL109" s="165">
        <v>7.5</v>
      </c>
      <c r="AM109" s="165">
        <v>31.5</v>
      </c>
      <c r="AN109" s="167">
        <f>tbl_operations[[#This Row],[Interview Styling Registrations]]+tbl_operations[[#This Row],[Confidence Styling Registrations]]</f>
        <v>1</v>
      </c>
      <c r="AO109" s="167">
        <f>tbl_operations[[#This Row],[Interview Styling Completed]]+tbl_operations[[#This Row],[Confidence Styling Completed]]</f>
        <v>1</v>
      </c>
      <c r="AP109" s="167">
        <f>tbl_operations[[#This Row],[Interview Styling Male]]+tbl_operations[[#This Row],[Confidence Styling Male]]</f>
        <v>1</v>
      </c>
      <c r="AQ109" s="167">
        <f>tbl_operations[[#This Row],[Interview Styling Female]]+tbl_operations[[#This Row],[Confidence Styling Female]]</f>
        <v>0</v>
      </c>
      <c r="AR109" s="167">
        <f>tbl_operations[[#This Row],[Interview Styling Non-Binary]]+tbl_operations[[#This Row],[Confidence Styling Non-Binary]]</f>
        <v>0</v>
      </c>
    </row>
    <row r="110" spans="1:44">
      <c r="A110" s="161" t="s">
        <v>25</v>
      </c>
      <c r="B110" s="162" t="s">
        <v>101</v>
      </c>
      <c r="C110" s="161" t="s">
        <v>96</v>
      </c>
      <c r="D110" s="163">
        <v>46175</v>
      </c>
      <c r="E110" s="164" t="str">
        <f t="shared" si="1"/>
        <v>Tuesday</v>
      </c>
      <c r="F110" s="161">
        <v>2</v>
      </c>
      <c r="G110" s="161">
        <v>2</v>
      </c>
      <c r="H110" s="161">
        <v>1</v>
      </c>
      <c r="I110" s="161">
        <v>1</v>
      </c>
      <c r="J110" s="161">
        <v>0</v>
      </c>
      <c r="K110" s="161">
        <v>1</v>
      </c>
      <c r="L110" s="161">
        <v>1</v>
      </c>
      <c r="M110" s="161">
        <v>0</v>
      </c>
      <c r="N110" s="161">
        <v>1</v>
      </c>
      <c r="O110" s="161">
        <v>0</v>
      </c>
      <c r="P110" s="161">
        <v>0</v>
      </c>
      <c r="Q110" s="161">
        <v>0</v>
      </c>
      <c r="R110" s="161">
        <v>1</v>
      </c>
      <c r="S110" s="161">
        <v>0</v>
      </c>
      <c r="T110" s="165">
        <v>15.3</v>
      </c>
      <c r="U110" s="165">
        <v>0</v>
      </c>
      <c r="V110" s="161">
        <v>19</v>
      </c>
      <c r="W110" s="166">
        <v>564.72</v>
      </c>
      <c r="X110" s="161">
        <v>560</v>
      </c>
      <c r="Y110" s="161">
        <v>67</v>
      </c>
      <c r="Z110" s="165">
        <v>2</v>
      </c>
      <c r="AA110" s="165">
        <v>1</v>
      </c>
      <c r="AB110" s="165">
        <v>1</v>
      </c>
      <c r="AC110" s="165">
        <v>0</v>
      </c>
      <c r="AD110" s="165">
        <v>4</v>
      </c>
      <c r="AE110" s="165">
        <v>4</v>
      </c>
      <c r="AF110" s="165">
        <v>12</v>
      </c>
      <c r="AG110" s="165">
        <v>5.5</v>
      </c>
      <c r="AH110" s="165">
        <v>4</v>
      </c>
      <c r="AI110" s="165">
        <v>2.5</v>
      </c>
      <c r="AJ110" s="165">
        <v>0</v>
      </c>
      <c r="AK110" s="165">
        <v>8.5</v>
      </c>
      <c r="AL110" s="165">
        <v>9.5</v>
      </c>
      <c r="AM110" s="165">
        <v>30</v>
      </c>
      <c r="AN110" s="167">
        <f>tbl_operations[[#This Row],[Interview Styling Registrations]]+tbl_operations[[#This Row],[Confidence Styling Registrations]]</f>
        <v>3</v>
      </c>
      <c r="AO110" s="167">
        <f>tbl_operations[[#This Row],[Interview Styling Completed]]+tbl_operations[[#This Row],[Confidence Styling Completed]]</f>
        <v>3</v>
      </c>
      <c r="AP110" s="167">
        <f>tbl_operations[[#This Row],[Interview Styling Male]]+tbl_operations[[#This Row],[Confidence Styling Male]]</f>
        <v>1</v>
      </c>
      <c r="AQ110" s="167">
        <f>tbl_operations[[#This Row],[Interview Styling Female]]+tbl_operations[[#This Row],[Confidence Styling Female]]</f>
        <v>2</v>
      </c>
      <c r="AR110" s="167">
        <f>tbl_operations[[#This Row],[Interview Styling Non-Binary]]+tbl_operations[[#This Row],[Confidence Styling Non-Binary]]</f>
        <v>0</v>
      </c>
    </row>
    <row r="111" spans="1:44">
      <c r="A111" s="161" t="s">
        <v>25</v>
      </c>
      <c r="B111" s="162" t="s">
        <v>101</v>
      </c>
      <c r="C111" s="161" t="s">
        <v>96</v>
      </c>
      <c r="D111" s="163">
        <v>46176</v>
      </c>
      <c r="E111" s="164" t="str">
        <f t="shared" si="1"/>
        <v>Wednesday</v>
      </c>
      <c r="F111" s="161">
        <v>4</v>
      </c>
      <c r="G111" s="161">
        <v>4</v>
      </c>
      <c r="H111" s="161">
        <v>1</v>
      </c>
      <c r="I111" s="161">
        <v>2</v>
      </c>
      <c r="J111" s="161">
        <v>1</v>
      </c>
      <c r="K111" s="161">
        <v>3</v>
      </c>
      <c r="L111" s="161">
        <v>3</v>
      </c>
      <c r="M111" s="161">
        <v>1</v>
      </c>
      <c r="N111" s="161">
        <v>2</v>
      </c>
      <c r="O111" s="161">
        <v>0</v>
      </c>
      <c r="P111" s="161">
        <v>0</v>
      </c>
      <c r="Q111" s="161">
        <v>1</v>
      </c>
      <c r="R111" s="161">
        <v>0</v>
      </c>
      <c r="S111" s="161">
        <v>0</v>
      </c>
      <c r="T111" s="165">
        <v>34.8</v>
      </c>
      <c r="U111" s="165">
        <v>0</v>
      </c>
      <c r="V111" s="161">
        <v>16</v>
      </c>
      <c r="W111" s="166">
        <v>263.59</v>
      </c>
      <c r="X111" s="161">
        <v>1245</v>
      </c>
      <c r="Y111" s="161">
        <v>54</v>
      </c>
      <c r="Z111" s="165">
        <v>1</v>
      </c>
      <c r="AA111" s="165">
        <v>0</v>
      </c>
      <c r="AB111" s="165">
        <v>2</v>
      </c>
      <c r="AC111" s="165">
        <v>1</v>
      </c>
      <c r="AD111" s="165">
        <v>5</v>
      </c>
      <c r="AE111" s="165">
        <v>3</v>
      </c>
      <c r="AF111" s="165">
        <v>12</v>
      </c>
      <c r="AG111" s="165">
        <v>5</v>
      </c>
      <c r="AH111" s="165">
        <v>0</v>
      </c>
      <c r="AI111" s="165">
        <v>10.5</v>
      </c>
      <c r="AJ111" s="165">
        <v>5</v>
      </c>
      <c r="AK111" s="165">
        <v>16.5</v>
      </c>
      <c r="AL111" s="165">
        <v>14</v>
      </c>
      <c r="AM111" s="165">
        <v>51</v>
      </c>
      <c r="AN111" s="167">
        <f>tbl_operations[[#This Row],[Interview Styling Registrations]]+tbl_operations[[#This Row],[Confidence Styling Registrations]]</f>
        <v>7</v>
      </c>
      <c r="AO111" s="167">
        <f>tbl_operations[[#This Row],[Interview Styling Completed]]+tbl_operations[[#This Row],[Confidence Styling Completed]]</f>
        <v>7</v>
      </c>
      <c r="AP111" s="167">
        <f>tbl_operations[[#This Row],[Interview Styling Male]]+tbl_operations[[#This Row],[Confidence Styling Male]]</f>
        <v>2</v>
      </c>
      <c r="AQ111" s="167">
        <f>tbl_operations[[#This Row],[Interview Styling Female]]+tbl_operations[[#This Row],[Confidence Styling Female]]</f>
        <v>4</v>
      </c>
      <c r="AR111" s="167">
        <f>tbl_operations[[#This Row],[Interview Styling Non-Binary]]+tbl_operations[[#This Row],[Confidence Styling Non-Binary]]</f>
        <v>1</v>
      </c>
    </row>
    <row r="112" spans="1:44">
      <c r="A112" s="161" t="s">
        <v>25</v>
      </c>
      <c r="B112" s="162" t="s">
        <v>101</v>
      </c>
      <c r="C112" s="161" t="s">
        <v>96</v>
      </c>
      <c r="D112" s="163">
        <v>46177</v>
      </c>
      <c r="E112" s="164" t="str">
        <f t="shared" si="1"/>
        <v>Thursday</v>
      </c>
      <c r="F112" s="161">
        <v>1</v>
      </c>
      <c r="G112" s="161">
        <v>1</v>
      </c>
      <c r="H112" s="161">
        <v>1</v>
      </c>
      <c r="I112" s="161">
        <v>0</v>
      </c>
      <c r="J112" s="161">
        <v>0</v>
      </c>
      <c r="K112" s="161">
        <v>3</v>
      </c>
      <c r="L112" s="161">
        <v>2</v>
      </c>
      <c r="M112" s="161">
        <v>1</v>
      </c>
      <c r="N112" s="161">
        <v>1</v>
      </c>
      <c r="O112" s="161">
        <v>0</v>
      </c>
      <c r="P112" s="161">
        <v>1</v>
      </c>
      <c r="Q112" s="161">
        <v>0</v>
      </c>
      <c r="R112" s="161">
        <v>0</v>
      </c>
      <c r="S112" s="161">
        <v>0</v>
      </c>
      <c r="T112" s="165">
        <v>0</v>
      </c>
      <c r="U112" s="165">
        <v>0</v>
      </c>
      <c r="V112" s="161">
        <v>15</v>
      </c>
      <c r="W112" s="166">
        <v>288.98</v>
      </c>
      <c r="X112" s="161">
        <v>1591</v>
      </c>
      <c r="Y112" s="161">
        <v>163</v>
      </c>
      <c r="Z112" s="165">
        <v>2</v>
      </c>
      <c r="AA112" s="165">
        <v>1</v>
      </c>
      <c r="AB112" s="165">
        <v>2</v>
      </c>
      <c r="AC112" s="165">
        <v>0</v>
      </c>
      <c r="AD112" s="165">
        <v>5</v>
      </c>
      <c r="AE112" s="165">
        <v>4</v>
      </c>
      <c r="AF112" s="165">
        <v>14</v>
      </c>
      <c r="AG112" s="165">
        <v>6</v>
      </c>
      <c r="AH112" s="165">
        <v>3.5</v>
      </c>
      <c r="AI112" s="165">
        <v>7.5</v>
      </c>
      <c r="AJ112" s="165">
        <v>0</v>
      </c>
      <c r="AK112" s="165">
        <v>23</v>
      </c>
      <c r="AL112" s="165">
        <v>22</v>
      </c>
      <c r="AM112" s="165">
        <v>62</v>
      </c>
      <c r="AN112" s="167">
        <f>tbl_operations[[#This Row],[Interview Styling Registrations]]+tbl_operations[[#This Row],[Confidence Styling Registrations]]</f>
        <v>4</v>
      </c>
      <c r="AO112" s="167">
        <f>tbl_operations[[#This Row],[Interview Styling Completed]]+tbl_operations[[#This Row],[Confidence Styling Completed]]</f>
        <v>3</v>
      </c>
      <c r="AP112" s="167">
        <f>tbl_operations[[#This Row],[Interview Styling Male]]+tbl_operations[[#This Row],[Confidence Styling Male]]</f>
        <v>2</v>
      </c>
      <c r="AQ112" s="167">
        <f>tbl_operations[[#This Row],[Interview Styling Female]]+tbl_operations[[#This Row],[Confidence Styling Female]]</f>
        <v>1</v>
      </c>
      <c r="AR112" s="167">
        <f>tbl_operations[[#This Row],[Interview Styling Non-Binary]]+tbl_operations[[#This Row],[Confidence Styling Non-Binary]]</f>
        <v>0</v>
      </c>
    </row>
    <row r="113" spans="1:44">
      <c r="A113" s="161" t="s">
        <v>25</v>
      </c>
      <c r="B113" s="162" t="s">
        <v>101</v>
      </c>
      <c r="C113" s="161" t="s">
        <v>96</v>
      </c>
      <c r="D113" s="163">
        <v>46178</v>
      </c>
      <c r="E113" s="164" t="str">
        <f t="shared" si="1"/>
        <v>Friday</v>
      </c>
      <c r="F113" s="161">
        <v>1</v>
      </c>
      <c r="G113" s="161">
        <v>0</v>
      </c>
      <c r="H113" s="161">
        <v>0</v>
      </c>
      <c r="I113" s="161">
        <v>0</v>
      </c>
      <c r="J113" s="161">
        <v>0</v>
      </c>
      <c r="K113" s="161">
        <v>1</v>
      </c>
      <c r="L113" s="161">
        <v>0</v>
      </c>
      <c r="M113" s="161">
        <v>0</v>
      </c>
      <c r="N113" s="161">
        <v>0</v>
      </c>
      <c r="O113" s="161">
        <v>0</v>
      </c>
      <c r="P113" s="161">
        <v>0</v>
      </c>
      <c r="Q113" s="161">
        <v>0</v>
      </c>
      <c r="R113" s="161">
        <v>0</v>
      </c>
      <c r="S113" s="161">
        <v>0</v>
      </c>
      <c r="T113" s="165">
        <v>32.5</v>
      </c>
      <c r="U113" s="165">
        <v>0</v>
      </c>
      <c r="V113" s="161">
        <v>8</v>
      </c>
      <c r="W113" s="166">
        <v>223.49</v>
      </c>
      <c r="X113" s="161">
        <v>191</v>
      </c>
      <c r="Y113" s="161">
        <v>6</v>
      </c>
      <c r="Z113" s="165">
        <v>3</v>
      </c>
      <c r="AA113" s="165">
        <v>0</v>
      </c>
      <c r="AB113" s="165">
        <v>0</v>
      </c>
      <c r="AC113" s="165">
        <v>0</v>
      </c>
      <c r="AD113" s="165">
        <v>1</v>
      </c>
      <c r="AE113" s="165">
        <v>4</v>
      </c>
      <c r="AF113" s="165">
        <v>8</v>
      </c>
      <c r="AG113" s="165">
        <v>12</v>
      </c>
      <c r="AH113" s="165">
        <v>0</v>
      </c>
      <c r="AI113" s="165">
        <v>0</v>
      </c>
      <c r="AJ113" s="165">
        <v>0</v>
      </c>
      <c r="AK113" s="165">
        <v>4</v>
      </c>
      <c r="AL113" s="165">
        <v>18.5</v>
      </c>
      <c r="AM113" s="165">
        <v>34.5</v>
      </c>
      <c r="AN113" s="167">
        <f>tbl_operations[[#This Row],[Interview Styling Registrations]]+tbl_operations[[#This Row],[Confidence Styling Registrations]]</f>
        <v>2</v>
      </c>
      <c r="AO113" s="167">
        <f>tbl_operations[[#This Row],[Interview Styling Completed]]+tbl_operations[[#This Row],[Confidence Styling Completed]]</f>
        <v>0</v>
      </c>
      <c r="AP113" s="167">
        <f>tbl_operations[[#This Row],[Interview Styling Male]]+tbl_operations[[#This Row],[Confidence Styling Male]]</f>
        <v>0</v>
      </c>
      <c r="AQ113" s="167">
        <f>tbl_operations[[#This Row],[Interview Styling Female]]+tbl_operations[[#This Row],[Confidence Styling Female]]</f>
        <v>0</v>
      </c>
      <c r="AR113" s="167">
        <f>tbl_operations[[#This Row],[Interview Styling Non-Binary]]+tbl_operations[[#This Row],[Confidence Styling Non-Binary]]</f>
        <v>0</v>
      </c>
    </row>
    <row r="114" spans="1:44">
      <c r="A114" s="161" t="s">
        <v>25</v>
      </c>
      <c r="B114" s="162" t="s">
        <v>101</v>
      </c>
      <c r="C114" s="161" t="s">
        <v>97</v>
      </c>
      <c r="D114" s="163">
        <v>46181</v>
      </c>
      <c r="E114" s="164" t="str">
        <f t="shared" si="1"/>
        <v>Monday</v>
      </c>
      <c r="F114" s="161">
        <v>2</v>
      </c>
      <c r="G114" s="161">
        <v>1</v>
      </c>
      <c r="H114" s="161">
        <v>1</v>
      </c>
      <c r="I114" s="161">
        <v>0</v>
      </c>
      <c r="J114" s="161">
        <v>0</v>
      </c>
      <c r="K114" s="161">
        <v>2</v>
      </c>
      <c r="L114" s="161">
        <v>2</v>
      </c>
      <c r="M114" s="161">
        <v>1</v>
      </c>
      <c r="N114" s="161">
        <v>1</v>
      </c>
      <c r="O114" s="161">
        <v>0</v>
      </c>
      <c r="P114" s="161">
        <v>0</v>
      </c>
      <c r="Q114" s="161">
        <v>0</v>
      </c>
      <c r="R114" s="161">
        <v>0</v>
      </c>
      <c r="S114" s="161">
        <v>1</v>
      </c>
      <c r="T114" s="165">
        <v>20</v>
      </c>
      <c r="U114" s="165">
        <v>8.7</v>
      </c>
      <c r="V114" s="161">
        <v>21</v>
      </c>
      <c r="W114" s="166">
        <v>462.4</v>
      </c>
      <c r="X114" s="161">
        <v>884</v>
      </c>
      <c r="Y114" s="161">
        <v>97</v>
      </c>
      <c r="Z114" s="165">
        <v>3</v>
      </c>
      <c r="AA114" s="165">
        <v>0</v>
      </c>
      <c r="AB114" s="165">
        <v>1</v>
      </c>
      <c r="AC114" s="165">
        <v>0</v>
      </c>
      <c r="AD114" s="165">
        <v>4</v>
      </c>
      <c r="AE114" s="165">
        <v>1</v>
      </c>
      <c r="AF114" s="165">
        <v>9</v>
      </c>
      <c r="AG114" s="165">
        <v>16</v>
      </c>
      <c r="AH114" s="165">
        <v>0</v>
      </c>
      <c r="AI114" s="165">
        <v>4</v>
      </c>
      <c r="AJ114" s="165">
        <v>0</v>
      </c>
      <c r="AK114" s="165">
        <v>14.5</v>
      </c>
      <c r="AL114" s="165">
        <v>5.5</v>
      </c>
      <c r="AM114" s="165">
        <v>40</v>
      </c>
      <c r="AN114" s="167">
        <f>tbl_operations[[#This Row],[Interview Styling Registrations]]+tbl_operations[[#This Row],[Confidence Styling Registrations]]</f>
        <v>4</v>
      </c>
      <c r="AO114" s="167">
        <f>tbl_operations[[#This Row],[Interview Styling Completed]]+tbl_operations[[#This Row],[Confidence Styling Completed]]</f>
        <v>3</v>
      </c>
      <c r="AP114" s="167">
        <f>tbl_operations[[#This Row],[Interview Styling Male]]+tbl_operations[[#This Row],[Confidence Styling Male]]</f>
        <v>2</v>
      </c>
      <c r="AQ114" s="167">
        <f>tbl_operations[[#This Row],[Interview Styling Female]]+tbl_operations[[#This Row],[Confidence Styling Female]]</f>
        <v>1</v>
      </c>
      <c r="AR114" s="167">
        <f>tbl_operations[[#This Row],[Interview Styling Non-Binary]]+tbl_operations[[#This Row],[Confidence Styling Non-Binary]]</f>
        <v>0</v>
      </c>
    </row>
    <row r="115" spans="1:44">
      <c r="A115" s="161" t="s">
        <v>25</v>
      </c>
      <c r="B115" s="162" t="s">
        <v>101</v>
      </c>
      <c r="C115" s="161" t="s">
        <v>97</v>
      </c>
      <c r="D115" s="163">
        <v>46182</v>
      </c>
      <c r="E115" s="164" t="str">
        <f t="shared" si="1"/>
        <v>Tuesday</v>
      </c>
      <c r="F115" s="161">
        <v>0</v>
      </c>
      <c r="G115" s="161">
        <v>0</v>
      </c>
      <c r="H115" s="161">
        <v>0</v>
      </c>
      <c r="I115" s="161">
        <v>0</v>
      </c>
      <c r="J115" s="161">
        <v>0</v>
      </c>
      <c r="K115" s="161">
        <v>3</v>
      </c>
      <c r="L115" s="161">
        <v>3</v>
      </c>
      <c r="M115" s="161">
        <v>1</v>
      </c>
      <c r="N115" s="161">
        <v>2</v>
      </c>
      <c r="O115" s="161">
        <v>0</v>
      </c>
      <c r="P115" s="161">
        <v>1</v>
      </c>
      <c r="Q115" s="161">
        <v>0</v>
      </c>
      <c r="R115" s="161">
        <v>1</v>
      </c>
      <c r="S115" s="161">
        <v>0</v>
      </c>
      <c r="T115" s="165">
        <v>16.9</v>
      </c>
      <c r="U115" s="165">
        <v>0</v>
      </c>
      <c r="V115" s="161">
        <v>15</v>
      </c>
      <c r="W115" s="166">
        <v>306.75</v>
      </c>
      <c r="X115" s="161">
        <v>183</v>
      </c>
      <c r="Y115" s="161">
        <v>19</v>
      </c>
      <c r="Z115" s="165">
        <v>3</v>
      </c>
      <c r="AA115" s="165">
        <v>2</v>
      </c>
      <c r="AB115" s="165">
        <v>2</v>
      </c>
      <c r="AC115" s="165">
        <v>1</v>
      </c>
      <c r="AD115" s="165">
        <v>3</v>
      </c>
      <c r="AE115" s="165">
        <v>3</v>
      </c>
      <c r="AF115" s="165">
        <v>14</v>
      </c>
      <c r="AG115" s="165">
        <v>14</v>
      </c>
      <c r="AH115" s="165">
        <v>10.5</v>
      </c>
      <c r="AI115" s="165">
        <v>6</v>
      </c>
      <c r="AJ115" s="165">
        <v>2</v>
      </c>
      <c r="AK115" s="165">
        <v>7</v>
      </c>
      <c r="AL115" s="165">
        <v>9</v>
      </c>
      <c r="AM115" s="165">
        <v>48.5</v>
      </c>
      <c r="AN115" s="167">
        <f>tbl_operations[[#This Row],[Interview Styling Registrations]]+tbl_operations[[#This Row],[Confidence Styling Registrations]]</f>
        <v>3</v>
      </c>
      <c r="AO115" s="167">
        <f>tbl_operations[[#This Row],[Interview Styling Completed]]+tbl_operations[[#This Row],[Confidence Styling Completed]]</f>
        <v>3</v>
      </c>
      <c r="AP115" s="167">
        <f>tbl_operations[[#This Row],[Interview Styling Male]]+tbl_operations[[#This Row],[Confidence Styling Male]]</f>
        <v>1</v>
      </c>
      <c r="AQ115" s="167">
        <f>tbl_operations[[#This Row],[Interview Styling Female]]+tbl_operations[[#This Row],[Confidence Styling Female]]</f>
        <v>2</v>
      </c>
      <c r="AR115" s="167">
        <f>tbl_operations[[#This Row],[Interview Styling Non-Binary]]+tbl_operations[[#This Row],[Confidence Styling Non-Binary]]</f>
        <v>0</v>
      </c>
    </row>
    <row r="116" spans="1:44">
      <c r="A116" s="161" t="s">
        <v>25</v>
      </c>
      <c r="B116" s="162" t="s">
        <v>101</v>
      </c>
      <c r="C116" s="161" t="s">
        <v>97</v>
      </c>
      <c r="D116" s="163">
        <v>46183</v>
      </c>
      <c r="E116" s="164" t="str">
        <f t="shared" si="1"/>
        <v>Wednesday</v>
      </c>
      <c r="F116" s="161">
        <v>2</v>
      </c>
      <c r="G116" s="161">
        <v>2</v>
      </c>
      <c r="H116" s="161">
        <v>1</v>
      </c>
      <c r="I116" s="161">
        <v>1</v>
      </c>
      <c r="J116" s="161">
        <v>0</v>
      </c>
      <c r="K116" s="161">
        <v>3</v>
      </c>
      <c r="L116" s="161">
        <v>3</v>
      </c>
      <c r="M116" s="161">
        <v>0</v>
      </c>
      <c r="N116" s="161">
        <v>2</v>
      </c>
      <c r="O116" s="161">
        <v>1</v>
      </c>
      <c r="P116" s="161">
        <v>0</v>
      </c>
      <c r="Q116" s="161">
        <v>1</v>
      </c>
      <c r="R116" s="161">
        <v>0</v>
      </c>
      <c r="S116" s="161">
        <v>0</v>
      </c>
      <c r="T116" s="165">
        <v>0</v>
      </c>
      <c r="U116" s="165">
        <v>0</v>
      </c>
      <c r="V116" s="161">
        <v>12</v>
      </c>
      <c r="W116" s="166">
        <v>298.5</v>
      </c>
      <c r="X116" s="161">
        <v>541</v>
      </c>
      <c r="Y116" s="161">
        <v>46</v>
      </c>
      <c r="Z116" s="165">
        <v>2</v>
      </c>
      <c r="AA116" s="165">
        <v>1</v>
      </c>
      <c r="AB116" s="165">
        <v>0</v>
      </c>
      <c r="AC116" s="165">
        <v>0</v>
      </c>
      <c r="AD116" s="165">
        <v>2</v>
      </c>
      <c r="AE116" s="165">
        <v>4</v>
      </c>
      <c r="AF116" s="165">
        <v>9</v>
      </c>
      <c r="AG116" s="165">
        <v>6.5</v>
      </c>
      <c r="AH116" s="165">
        <v>3</v>
      </c>
      <c r="AI116" s="165">
        <v>0</v>
      </c>
      <c r="AJ116" s="165">
        <v>0</v>
      </c>
      <c r="AK116" s="165">
        <v>7.5</v>
      </c>
      <c r="AL116" s="165">
        <v>14.5</v>
      </c>
      <c r="AM116" s="165">
        <v>31.5</v>
      </c>
      <c r="AN116" s="167">
        <f>tbl_operations[[#This Row],[Interview Styling Registrations]]+tbl_operations[[#This Row],[Confidence Styling Registrations]]</f>
        <v>5</v>
      </c>
      <c r="AO116" s="167">
        <f>tbl_operations[[#This Row],[Interview Styling Completed]]+tbl_operations[[#This Row],[Confidence Styling Completed]]</f>
        <v>5</v>
      </c>
      <c r="AP116" s="167">
        <f>tbl_operations[[#This Row],[Interview Styling Male]]+tbl_operations[[#This Row],[Confidence Styling Male]]</f>
        <v>1</v>
      </c>
      <c r="AQ116" s="167">
        <f>tbl_operations[[#This Row],[Interview Styling Female]]+tbl_operations[[#This Row],[Confidence Styling Female]]</f>
        <v>3</v>
      </c>
      <c r="AR116" s="167">
        <f>tbl_operations[[#This Row],[Interview Styling Non-Binary]]+tbl_operations[[#This Row],[Confidence Styling Non-Binary]]</f>
        <v>1</v>
      </c>
    </row>
    <row r="117" spans="1:44">
      <c r="A117" s="161" t="s">
        <v>25</v>
      </c>
      <c r="B117" s="162" t="s">
        <v>101</v>
      </c>
      <c r="C117" s="161" t="s">
        <v>97</v>
      </c>
      <c r="D117" s="163">
        <v>46184</v>
      </c>
      <c r="E117" s="164" t="str">
        <f t="shared" si="1"/>
        <v>Thursday</v>
      </c>
      <c r="F117" s="161">
        <v>2</v>
      </c>
      <c r="G117" s="161">
        <v>2</v>
      </c>
      <c r="H117" s="161">
        <v>0</v>
      </c>
      <c r="I117" s="161">
        <v>2</v>
      </c>
      <c r="J117" s="161">
        <v>0</v>
      </c>
      <c r="K117" s="161">
        <v>1</v>
      </c>
      <c r="L117" s="161">
        <v>0</v>
      </c>
      <c r="M117" s="161">
        <v>0</v>
      </c>
      <c r="N117" s="161">
        <v>0</v>
      </c>
      <c r="O117" s="161">
        <v>0</v>
      </c>
      <c r="P117" s="161">
        <v>1</v>
      </c>
      <c r="Q117" s="161">
        <v>0</v>
      </c>
      <c r="R117" s="161">
        <v>1</v>
      </c>
      <c r="S117" s="161">
        <v>0</v>
      </c>
      <c r="T117" s="165">
        <v>26.2</v>
      </c>
      <c r="U117" s="165">
        <v>8.9</v>
      </c>
      <c r="V117" s="161">
        <v>4</v>
      </c>
      <c r="W117" s="166">
        <v>126.93</v>
      </c>
      <c r="X117" s="161">
        <v>432</v>
      </c>
      <c r="Y117" s="161">
        <v>16</v>
      </c>
      <c r="Z117" s="165">
        <v>4</v>
      </c>
      <c r="AA117" s="165">
        <v>0</v>
      </c>
      <c r="AB117" s="165">
        <v>2</v>
      </c>
      <c r="AC117" s="165">
        <v>0</v>
      </c>
      <c r="AD117" s="165">
        <v>1</v>
      </c>
      <c r="AE117" s="165">
        <v>3</v>
      </c>
      <c r="AF117" s="165">
        <v>10</v>
      </c>
      <c r="AG117" s="165">
        <v>14</v>
      </c>
      <c r="AH117" s="165">
        <v>0</v>
      </c>
      <c r="AI117" s="165">
        <v>10</v>
      </c>
      <c r="AJ117" s="165">
        <v>0</v>
      </c>
      <c r="AK117" s="165">
        <v>4.5</v>
      </c>
      <c r="AL117" s="165">
        <v>8</v>
      </c>
      <c r="AM117" s="165">
        <v>36.5</v>
      </c>
      <c r="AN117" s="167">
        <f>tbl_operations[[#This Row],[Interview Styling Registrations]]+tbl_operations[[#This Row],[Confidence Styling Registrations]]</f>
        <v>3</v>
      </c>
      <c r="AO117" s="167">
        <f>tbl_operations[[#This Row],[Interview Styling Completed]]+tbl_operations[[#This Row],[Confidence Styling Completed]]</f>
        <v>2</v>
      </c>
      <c r="AP117" s="167">
        <f>tbl_operations[[#This Row],[Interview Styling Male]]+tbl_operations[[#This Row],[Confidence Styling Male]]</f>
        <v>0</v>
      </c>
      <c r="AQ117" s="167">
        <f>tbl_operations[[#This Row],[Interview Styling Female]]+tbl_operations[[#This Row],[Confidence Styling Female]]</f>
        <v>2</v>
      </c>
      <c r="AR117" s="167">
        <f>tbl_operations[[#This Row],[Interview Styling Non-Binary]]+tbl_operations[[#This Row],[Confidence Styling Non-Binary]]</f>
        <v>0</v>
      </c>
    </row>
    <row r="118" spans="1:44">
      <c r="A118" s="161" t="s">
        <v>25</v>
      </c>
      <c r="B118" s="162" t="s">
        <v>101</v>
      </c>
      <c r="C118" s="161" t="s">
        <v>97</v>
      </c>
      <c r="D118" s="163">
        <v>46185</v>
      </c>
      <c r="E118" s="164" t="str">
        <f t="shared" si="1"/>
        <v>Friday</v>
      </c>
      <c r="F118" s="161">
        <v>2</v>
      </c>
      <c r="G118" s="161">
        <v>2</v>
      </c>
      <c r="H118" s="161">
        <v>1</v>
      </c>
      <c r="I118" s="161">
        <v>1</v>
      </c>
      <c r="J118" s="161">
        <v>0</v>
      </c>
      <c r="K118" s="161">
        <v>0</v>
      </c>
      <c r="L118" s="161">
        <v>0</v>
      </c>
      <c r="M118" s="161">
        <v>0</v>
      </c>
      <c r="N118" s="161">
        <v>0</v>
      </c>
      <c r="O118" s="161">
        <v>0</v>
      </c>
      <c r="P118" s="161">
        <v>1</v>
      </c>
      <c r="Q118" s="161">
        <v>1</v>
      </c>
      <c r="R118" s="161">
        <v>0</v>
      </c>
      <c r="S118" s="161">
        <v>1</v>
      </c>
      <c r="T118" s="165">
        <v>27.6</v>
      </c>
      <c r="U118" s="165">
        <v>2.2</v>
      </c>
      <c r="V118" s="161">
        <v>21</v>
      </c>
      <c r="W118" s="166">
        <v>595.16</v>
      </c>
      <c r="X118" s="161">
        <v>610</v>
      </c>
      <c r="Y118" s="161">
        <v>20</v>
      </c>
      <c r="Z118" s="165">
        <v>4</v>
      </c>
      <c r="AA118" s="165">
        <v>2</v>
      </c>
      <c r="AB118" s="165">
        <v>2</v>
      </c>
      <c r="AC118" s="165">
        <v>0</v>
      </c>
      <c r="AD118" s="165">
        <v>2</v>
      </c>
      <c r="AE118" s="165">
        <v>1</v>
      </c>
      <c r="AF118" s="165">
        <v>11</v>
      </c>
      <c r="AG118" s="165">
        <v>8.5</v>
      </c>
      <c r="AH118" s="165">
        <v>10</v>
      </c>
      <c r="AI118" s="165">
        <v>7.5</v>
      </c>
      <c r="AJ118" s="165">
        <v>0</v>
      </c>
      <c r="AK118" s="165">
        <v>5</v>
      </c>
      <c r="AL118" s="165">
        <v>3</v>
      </c>
      <c r="AM118" s="165">
        <v>34</v>
      </c>
      <c r="AN118" s="167">
        <f>tbl_operations[[#This Row],[Interview Styling Registrations]]+tbl_operations[[#This Row],[Confidence Styling Registrations]]</f>
        <v>2</v>
      </c>
      <c r="AO118" s="167">
        <f>tbl_operations[[#This Row],[Interview Styling Completed]]+tbl_operations[[#This Row],[Confidence Styling Completed]]</f>
        <v>2</v>
      </c>
      <c r="AP118" s="167">
        <f>tbl_operations[[#This Row],[Interview Styling Male]]+tbl_operations[[#This Row],[Confidence Styling Male]]</f>
        <v>1</v>
      </c>
      <c r="AQ118" s="167">
        <f>tbl_operations[[#This Row],[Interview Styling Female]]+tbl_operations[[#This Row],[Confidence Styling Female]]</f>
        <v>1</v>
      </c>
      <c r="AR118" s="167">
        <f>tbl_operations[[#This Row],[Interview Styling Non-Binary]]+tbl_operations[[#This Row],[Confidence Styling Non-Binary]]</f>
        <v>0</v>
      </c>
    </row>
    <row r="119" spans="1:44">
      <c r="A119" s="161" t="s">
        <v>25</v>
      </c>
      <c r="B119" s="162" t="s">
        <v>101</v>
      </c>
      <c r="C119" s="161" t="s">
        <v>98</v>
      </c>
      <c r="D119" s="163">
        <v>46188</v>
      </c>
      <c r="E119" s="164" t="str">
        <f t="shared" si="1"/>
        <v>Monday</v>
      </c>
      <c r="F119" s="161">
        <v>0</v>
      </c>
      <c r="G119" s="161">
        <v>0</v>
      </c>
      <c r="H119" s="161">
        <v>0</v>
      </c>
      <c r="I119" s="161">
        <v>0</v>
      </c>
      <c r="J119" s="161">
        <v>0</v>
      </c>
      <c r="K119" s="161">
        <v>1</v>
      </c>
      <c r="L119" s="161">
        <v>1</v>
      </c>
      <c r="M119" s="161">
        <v>0</v>
      </c>
      <c r="N119" s="161">
        <v>1</v>
      </c>
      <c r="O119" s="161">
        <v>0</v>
      </c>
      <c r="P119" s="161">
        <v>0</v>
      </c>
      <c r="Q119" s="161">
        <v>0</v>
      </c>
      <c r="R119" s="161">
        <v>0</v>
      </c>
      <c r="S119" s="161">
        <v>0</v>
      </c>
      <c r="T119" s="165">
        <v>0</v>
      </c>
      <c r="U119" s="165">
        <v>0</v>
      </c>
      <c r="V119" s="161">
        <v>15</v>
      </c>
      <c r="W119" s="166">
        <v>387.52</v>
      </c>
      <c r="X119" s="161">
        <v>1602</v>
      </c>
      <c r="Y119" s="161">
        <v>187</v>
      </c>
      <c r="Z119" s="165">
        <v>2</v>
      </c>
      <c r="AA119" s="165">
        <v>1</v>
      </c>
      <c r="AB119" s="165">
        <v>2</v>
      </c>
      <c r="AC119" s="165">
        <v>1</v>
      </c>
      <c r="AD119" s="165">
        <v>1</v>
      </c>
      <c r="AE119" s="165">
        <v>3</v>
      </c>
      <c r="AF119" s="165">
        <v>10</v>
      </c>
      <c r="AG119" s="165">
        <v>6.5</v>
      </c>
      <c r="AH119" s="165">
        <v>2</v>
      </c>
      <c r="AI119" s="165">
        <v>4</v>
      </c>
      <c r="AJ119" s="165">
        <v>4</v>
      </c>
      <c r="AK119" s="165">
        <v>2</v>
      </c>
      <c r="AL119" s="165">
        <v>14.5</v>
      </c>
      <c r="AM119" s="165">
        <v>33</v>
      </c>
      <c r="AN119" s="167">
        <f>tbl_operations[[#This Row],[Interview Styling Registrations]]+tbl_operations[[#This Row],[Confidence Styling Registrations]]</f>
        <v>1</v>
      </c>
      <c r="AO119" s="167">
        <f>tbl_operations[[#This Row],[Interview Styling Completed]]+tbl_operations[[#This Row],[Confidence Styling Completed]]</f>
        <v>1</v>
      </c>
      <c r="AP119" s="167">
        <f>tbl_operations[[#This Row],[Interview Styling Male]]+tbl_operations[[#This Row],[Confidence Styling Male]]</f>
        <v>0</v>
      </c>
      <c r="AQ119" s="167">
        <f>tbl_operations[[#This Row],[Interview Styling Female]]+tbl_operations[[#This Row],[Confidence Styling Female]]</f>
        <v>1</v>
      </c>
      <c r="AR119" s="167">
        <f>tbl_operations[[#This Row],[Interview Styling Non-Binary]]+tbl_operations[[#This Row],[Confidence Styling Non-Binary]]</f>
        <v>0</v>
      </c>
    </row>
    <row r="120" spans="1:44">
      <c r="A120" s="161" t="s">
        <v>25</v>
      </c>
      <c r="B120" s="162" t="s">
        <v>101</v>
      </c>
      <c r="C120" s="161" t="s">
        <v>98</v>
      </c>
      <c r="D120" s="163">
        <v>46189</v>
      </c>
      <c r="E120" s="164" t="str">
        <f t="shared" si="1"/>
        <v>Tuesday</v>
      </c>
      <c r="F120" s="161">
        <v>3</v>
      </c>
      <c r="G120" s="161">
        <v>3</v>
      </c>
      <c r="H120" s="161">
        <v>0</v>
      </c>
      <c r="I120" s="161">
        <v>3</v>
      </c>
      <c r="J120" s="161">
        <v>0</v>
      </c>
      <c r="K120" s="161">
        <v>2</v>
      </c>
      <c r="L120" s="161">
        <v>2</v>
      </c>
      <c r="M120" s="161">
        <v>1</v>
      </c>
      <c r="N120" s="161">
        <v>1</v>
      </c>
      <c r="O120" s="161">
        <v>0</v>
      </c>
      <c r="P120" s="161">
        <v>2</v>
      </c>
      <c r="Q120" s="161">
        <v>1</v>
      </c>
      <c r="R120" s="161">
        <v>1</v>
      </c>
      <c r="S120" s="161">
        <v>0</v>
      </c>
      <c r="T120" s="165">
        <v>0</v>
      </c>
      <c r="U120" s="165">
        <v>22</v>
      </c>
      <c r="V120" s="161">
        <v>10</v>
      </c>
      <c r="W120" s="166">
        <v>195.34</v>
      </c>
      <c r="X120" s="161">
        <v>1850</v>
      </c>
      <c r="Y120" s="161">
        <v>280</v>
      </c>
      <c r="Z120" s="165">
        <v>1</v>
      </c>
      <c r="AA120" s="165">
        <v>1</v>
      </c>
      <c r="AB120" s="165">
        <v>2</v>
      </c>
      <c r="AC120" s="165">
        <v>1</v>
      </c>
      <c r="AD120" s="165">
        <v>2</v>
      </c>
      <c r="AE120" s="165">
        <v>1</v>
      </c>
      <c r="AF120" s="165">
        <v>8</v>
      </c>
      <c r="AG120" s="165">
        <v>5</v>
      </c>
      <c r="AH120" s="165">
        <v>4</v>
      </c>
      <c r="AI120" s="165">
        <v>5.5</v>
      </c>
      <c r="AJ120" s="165">
        <v>3</v>
      </c>
      <c r="AK120" s="165">
        <v>6</v>
      </c>
      <c r="AL120" s="165">
        <v>2</v>
      </c>
      <c r="AM120" s="165">
        <v>25.5</v>
      </c>
      <c r="AN120" s="167">
        <f>tbl_operations[[#This Row],[Interview Styling Registrations]]+tbl_operations[[#This Row],[Confidence Styling Registrations]]</f>
        <v>5</v>
      </c>
      <c r="AO120" s="167">
        <f>tbl_operations[[#This Row],[Interview Styling Completed]]+tbl_operations[[#This Row],[Confidence Styling Completed]]</f>
        <v>5</v>
      </c>
      <c r="AP120" s="167">
        <f>tbl_operations[[#This Row],[Interview Styling Male]]+tbl_operations[[#This Row],[Confidence Styling Male]]</f>
        <v>1</v>
      </c>
      <c r="AQ120" s="167">
        <f>tbl_operations[[#This Row],[Interview Styling Female]]+tbl_operations[[#This Row],[Confidence Styling Female]]</f>
        <v>4</v>
      </c>
      <c r="AR120" s="167">
        <f>tbl_operations[[#This Row],[Interview Styling Non-Binary]]+tbl_operations[[#This Row],[Confidence Styling Non-Binary]]</f>
        <v>0</v>
      </c>
    </row>
    <row r="121" spans="1:44">
      <c r="A121" s="161" t="s">
        <v>25</v>
      </c>
      <c r="B121" s="162" t="s">
        <v>101</v>
      </c>
      <c r="C121" s="161" t="s">
        <v>98</v>
      </c>
      <c r="D121" s="163">
        <v>46190</v>
      </c>
      <c r="E121" s="164" t="str">
        <f t="shared" si="1"/>
        <v>Wednesday</v>
      </c>
      <c r="F121" s="161">
        <v>0</v>
      </c>
      <c r="G121" s="161">
        <v>0</v>
      </c>
      <c r="H121" s="161">
        <v>0</v>
      </c>
      <c r="I121" s="161">
        <v>0</v>
      </c>
      <c r="J121" s="161">
        <v>0</v>
      </c>
      <c r="K121" s="161">
        <v>0</v>
      </c>
      <c r="L121" s="161">
        <v>0</v>
      </c>
      <c r="M121" s="161">
        <v>0</v>
      </c>
      <c r="N121" s="161">
        <v>0</v>
      </c>
      <c r="O121" s="161">
        <v>0</v>
      </c>
      <c r="P121" s="161">
        <v>0</v>
      </c>
      <c r="Q121" s="161">
        <v>0</v>
      </c>
      <c r="R121" s="161">
        <v>0</v>
      </c>
      <c r="S121" s="161">
        <v>0</v>
      </c>
      <c r="T121" s="165">
        <v>0</v>
      </c>
      <c r="U121" s="165">
        <v>6.9</v>
      </c>
      <c r="V121" s="161">
        <v>10</v>
      </c>
      <c r="W121" s="166">
        <v>159.72</v>
      </c>
      <c r="X121" s="161">
        <v>1615</v>
      </c>
      <c r="Y121" s="161">
        <v>124</v>
      </c>
      <c r="Z121" s="165">
        <v>3</v>
      </c>
      <c r="AA121" s="165">
        <v>0</v>
      </c>
      <c r="AB121" s="165">
        <v>2</v>
      </c>
      <c r="AC121" s="165">
        <v>1</v>
      </c>
      <c r="AD121" s="165">
        <v>3</v>
      </c>
      <c r="AE121" s="165">
        <v>3</v>
      </c>
      <c r="AF121" s="165">
        <v>12</v>
      </c>
      <c r="AG121" s="165">
        <v>6.5</v>
      </c>
      <c r="AH121" s="165">
        <v>0</v>
      </c>
      <c r="AI121" s="165">
        <v>7.5</v>
      </c>
      <c r="AJ121" s="165">
        <v>4</v>
      </c>
      <c r="AK121" s="165">
        <v>15</v>
      </c>
      <c r="AL121" s="165">
        <v>6</v>
      </c>
      <c r="AM121" s="165">
        <v>39</v>
      </c>
      <c r="AN121" s="167">
        <f>tbl_operations[[#This Row],[Interview Styling Registrations]]+tbl_operations[[#This Row],[Confidence Styling Registrations]]</f>
        <v>0</v>
      </c>
      <c r="AO121" s="167">
        <f>tbl_operations[[#This Row],[Interview Styling Completed]]+tbl_operations[[#This Row],[Confidence Styling Completed]]</f>
        <v>0</v>
      </c>
      <c r="AP121" s="167">
        <f>tbl_operations[[#This Row],[Interview Styling Male]]+tbl_operations[[#This Row],[Confidence Styling Male]]</f>
        <v>0</v>
      </c>
      <c r="AQ121" s="167">
        <f>tbl_operations[[#This Row],[Interview Styling Female]]+tbl_operations[[#This Row],[Confidence Styling Female]]</f>
        <v>0</v>
      </c>
      <c r="AR121" s="167">
        <f>tbl_operations[[#This Row],[Interview Styling Non-Binary]]+tbl_operations[[#This Row],[Confidence Styling Non-Binary]]</f>
        <v>0</v>
      </c>
    </row>
    <row r="122" spans="1:44">
      <c r="A122" s="161" t="s">
        <v>25</v>
      </c>
      <c r="B122" s="162" t="s">
        <v>101</v>
      </c>
      <c r="C122" s="161" t="s">
        <v>98</v>
      </c>
      <c r="D122" s="163">
        <v>46191</v>
      </c>
      <c r="E122" s="164" t="str">
        <f t="shared" si="1"/>
        <v>Thursday</v>
      </c>
      <c r="F122" s="161">
        <v>3</v>
      </c>
      <c r="G122" s="161">
        <v>3</v>
      </c>
      <c r="H122" s="161">
        <v>0</v>
      </c>
      <c r="I122" s="161">
        <v>3</v>
      </c>
      <c r="J122" s="161">
        <v>0</v>
      </c>
      <c r="K122" s="161">
        <v>1</v>
      </c>
      <c r="L122" s="161">
        <v>0</v>
      </c>
      <c r="M122" s="161">
        <v>0</v>
      </c>
      <c r="N122" s="161">
        <v>0</v>
      </c>
      <c r="O122" s="161">
        <v>0</v>
      </c>
      <c r="P122" s="161">
        <v>0</v>
      </c>
      <c r="Q122" s="161">
        <v>0</v>
      </c>
      <c r="R122" s="161">
        <v>1</v>
      </c>
      <c r="S122" s="161">
        <v>0</v>
      </c>
      <c r="T122" s="165">
        <v>10</v>
      </c>
      <c r="U122" s="165">
        <v>0</v>
      </c>
      <c r="V122" s="161">
        <v>9</v>
      </c>
      <c r="W122" s="166">
        <v>148.87</v>
      </c>
      <c r="X122" s="161">
        <v>428</v>
      </c>
      <c r="Y122" s="161">
        <v>56</v>
      </c>
      <c r="Z122" s="165">
        <v>2</v>
      </c>
      <c r="AA122" s="165">
        <v>2</v>
      </c>
      <c r="AB122" s="165">
        <v>1</v>
      </c>
      <c r="AC122" s="165">
        <v>0</v>
      </c>
      <c r="AD122" s="165">
        <v>2</v>
      </c>
      <c r="AE122" s="165">
        <v>3</v>
      </c>
      <c r="AF122" s="165">
        <v>10</v>
      </c>
      <c r="AG122" s="165">
        <v>11</v>
      </c>
      <c r="AH122" s="165">
        <v>9.5</v>
      </c>
      <c r="AI122" s="165">
        <v>4.5</v>
      </c>
      <c r="AJ122" s="165">
        <v>0</v>
      </c>
      <c r="AK122" s="165">
        <v>9.5</v>
      </c>
      <c r="AL122" s="165">
        <v>13</v>
      </c>
      <c r="AM122" s="165">
        <v>47.5</v>
      </c>
      <c r="AN122" s="167">
        <f>tbl_operations[[#This Row],[Interview Styling Registrations]]+tbl_operations[[#This Row],[Confidence Styling Registrations]]</f>
        <v>4</v>
      </c>
      <c r="AO122" s="167">
        <f>tbl_operations[[#This Row],[Interview Styling Completed]]+tbl_operations[[#This Row],[Confidence Styling Completed]]</f>
        <v>3</v>
      </c>
      <c r="AP122" s="167">
        <f>tbl_operations[[#This Row],[Interview Styling Male]]+tbl_operations[[#This Row],[Confidence Styling Male]]</f>
        <v>0</v>
      </c>
      <c r="AQ122" s="167">
        <f>tbl_operations[[#This Row],[Interview Styling Female]]+tbl_operations[[#This Row],[Confidence Styling Female]]</f>
        <v>3</v>
      </c>
      <c r="AR122" s="167">
        <f>tbl_operations[[#This Row],[Interview Styling Non-Binary]]+tbl_operations[[#This Row],[Confidence Styling Non-Binary]]</f>
        <v>0</v>
      </c>
    </row>
    <row r="123" spans="1:44">
      <c r="A123" s="161" t="s">
        <v>25</v>
      </c>
      <c r="B123" s="162" t="s">
        <v>101</v>
      </c>
      <c r="C123" s="161" t="s">
        <v>98</v>
      </c>
      <c r="D123" s="163">
        <v>46192</v>
      </c>
      <c r="E123" s="164" t="str">
        <f t="shared" si="1"/>
        <v>Friday</v>
      </c>
      <c r="F123" s="161">
        <v>3</v>
      </c>
      <c r="G123" s="161">
        <v>2</v>
      </c>
      <c r="H123" s="161">
        <v>1</v>
      </c>
      <c r="I123" s="161">
        <v>1</v>
      </c>
      <c r="J123" s="161">
        <v>0</v>
      </c>
      <c r="K123" s="161">
        <v>1</v>
      </c>
      <c r="L123" s="161">
        <v>1</v>
      </c>
      <c r="M123" s="161">
        <v>1</v>
      </c>
      <c r="N123" s="161">
        <v>0</v>
      </c>
      <c r="O123" s="161">
        <v>0</v>
      </c>
      <c r="P123" s="161">
        <v>1</v>
      </c>
      <c r="Q123" s="161">
        <v>1</v>
      </c>
      <c r="R123" s="161">
        <v>1</v>
      </c>
      <c r="S123" s="161">
        <v>0</v>
      </c>
      <c r="T123" s="165">
        <v>43.5</v>
      </c>
      <c r="U123" s="165">
        <v>13.8</v>
      </c>
      <c r="V123" s="161">
        <v>5</v>
      </c>
      <c r="W123" s="166">
        <v>131.5</v>
      </c>
      <c r="X123" s="161">
        <v>1960</v>
      </c>
      <c r="Y123" s="161">
        <v>129</v>
      </c>
      <c r="Z123" s="165">
        <v>2</v>
      </c>
      <c r="AA123" s="165">
        <v>1</v>
      </c>
      <c r="AB123" s="165">
        <v>1</v>
      </c>
      <c r="AC123" s="165">
        <v>1</v>
      </c>
      <c r="AD123" s="165">
        <v>1</v>
      </c>
      <c r="AE123" s="165">
        <v>3</v>
      </c>
      <c r="AF123" s="165">
        <v>9</v>
      </c>
      <c r="AG123" s="165">
        <v>6.5</v>
      </c>
      <c r="AH123" s="165">
        <v>2.5</v>
      </c>
      <c r="AI123" s="165">
        <v>4</v>
      </c>
      <c r="AJ123" s="165">
        <v>2.5</v>
      </c>
      <c r="AK123" s="165">
        <v>2.5</v>
      </c>
      <c r="AL123" s="165">
        <v>8.5</v>
      </c>
      <c r="AM123" s="165">
        <v>26.5</v>
      </c>
      <c r="AN123" s="167">
        <f>tbl_operations[[#This Row],[Interview Styling Registrations]]+tbl_operations[[#This Row],[Confidence Styling Registrations]]</f>
        <v>4</v>
      </c>
      <c r="AO123" s="167">
        <f>tbl_operations[[#This Row],[Interview Styling Completed]]+tbl_operations[[#This Row],[Confidence Styling Completed]]</f>
        <v>3</v>
      </c>
      <c r="AP123" s="167">
        <f>tbl_operations[[#This Row],[Interview Styling Male]]+tbl_operations[[#This Row],[Confidence Styling Male]]</f>
        <v>2</v>
      </c>
      <c r="AQ123" s="167">
        <f>tbl_operations[[#This Row],[Interview Styling Female]]+tbl_operations[[#This Row],[Confidence Styling Female]]</f>
        <v>1</v>
      </c>
      <c r="AR123" s="167">
        <f>tbl_operations[[#This Row],[Interview Styling Non-Binary]]+tbl_operations[[#This Row],[Confidence Styling Non-Binary]]</f>
        <v>0</v>
      </c>
    </row>
    <row r="124" spans="1:44">
      <c r="A124" s="161" t="s">
        <v>25</v>
      </c>
      <c r="B124" s="162" t="s">
        <v>101</v>
      </c>
      <c r="C124" s="161" t="s">
        <v>99</v>
      </c>
      <c r="D124" s="163">
        <v>46195</v>
      </c>
      <c r="E124" s="164" t="str">
        <f t="shared" si="1"/>
        <v>Monday</v>
      </c>
      <c r="F124" s="161">
        <v>1</v>
      </c>
      <c r="G124" s="161">
        <v>1</v>
      </c>
      <c r="H124" s="161">
        <v>1</v>
      </c>
      <c r="I124" s="161">
        <v>0</v>
      </c>
      <c r="J124" s="161">
        <v>0</v>
      </c>
      <c r="K124" s="161">
        <v>2</v>
      </c>
      <c r="L124" s="161">
        <v>2</v>
      </c>
      <c r="M124" s="161">
        <v>0</v>
      </c>
      <c r="N124" s="161">
        <v>2</v>
      </c>
      <c r="O124" s="161">
        <v>0</v>
      </c>
      <c r="P124" s="161">
        <v>0</v>
      </c>
      <c r="Q124" s="161">
        <v>0</v>
      </c>
      <c r="R124" s="161">
        <v>0</v>
      </c>
      <c r="S124" s="161">
        <v>0</v>
      </c>
      <c r="T124" s="165">
        <v>31.8</v>
      </c>
      <c r="U124" s="165">
        <v>0</v>
      </c>
      <c r="V124" s="161">
        <v>21</v>
      </c>
      <c r="W124" s="166">
        <v>487.61</v>
      </c>
      <c r="X124" s="161">
        <v>721</v>
      </c>
      <c r="Y124" s="161">
        <v>70</v>
      </c>
      <c r="Z124" s="165">
        <v>3</v>
      </c>
      <c r="AA124" s="165">
        <v>1</v>
      </c>
      <c r="AB124" s="165">
        <v>1</v>
      </c>
      <c r="AC124" s="165">
        <v>1</v>
      </c>
      <c r="AD124" s="165">
        <v>5</v>
      </c>
      <c r="AE124" s="165">
        <v>3</v>
      </c>
      <c r="AF124" s="165">
        <v>14</v>
      </c>
      <c r="AG124" s="165">
        <v>11.5</v>
      </c>
      <c r="AH124" s="165">
        <v>2.5</v>
      </c>
      <c r="AI124" s="165">
        <v>5.5</v>
      </c>
      <c r="AJ124" s="165">
        <v>2.5</v>
      </c>
      <c r="AK124" s="165">
        <v>19</v>
      </c>
      <c r="AL124" s="165">
        <v>13.5</v>
      </c>
      <c r="AM124" s="165">
        <v>54.5</v>
      </c>
      <c r="AN124" s="167">
        <f>tbl_operations[[#This Row],[Interview Styling Registrations]]+tbl_operations[[#This Row],[Confidence Styling Registrations]]</f>
        <v>3</v>
      </c>
      <c r="AO124" s="167">
        <f>tbl_operations[[#This Row],[Interview Styling Completed]]+tbl_operations[[#This Row],[Confidence Styling Completed]]</f>
        <v>3</v>
      </c>
      <c r="AP124" s="167">
        <f>tbl_operations[[#This Row],[Interview Styling Male]]+tbl_operations[[#This Row],[Confidence Styling Male]]</f>
        <v>1</v>
      </c>
      <c r="AQ124" s="167">
        <f>tbl_operations[[#This Row],[Interview Styling Female]]+tbl_operations[[#This Row],[Confidence Styling Female]]</f>
        <v>2</v>
      </c>
      <c r="AR124" s="167">
        <f>tbl_operations[[#This Row],[Interview Styling Non-Binary]]+tbl_operations[[#This Row],[Confidence Styling Non-Binary]]</f>
        <v>0</v>
      </c>
    </row>
    <row r="125" spans="1:44">
      <c r="A125" s="161" t="s">
        <v>25</v>
      </c>
      <c r="B125" s="162" t="s">
        <v>101</v>
      </c>
      <c r="C125" s="161" t="s">
        <v>99</v>
      </c>
      <c r="D125" s="163">
        <v>46196</v>
      </c>
      <c r="E125" s="164" t="str">
        <f t="shared" si="1"/>
        <v>Tuesday</v>
      </c>
      <c r="F125" s="161">
        <v>1</v>
      </c>
      <c r="G125" s="161">
        <v>1</v>
      </c>
      <c r="H125" s="161">
        <v>0</v>
      </c>
      <c r="I125" s="161">
        <v>1</v>
      </c>
      <c r="J125" s="161">
        <v>0</v>
      </c>
      <c r="K125" s="161">
        <v>0</v>
      </c>
      <c r="L125" s="161">
        <v>0</v>
      </c>
      <c r="M125" s="161">
        <v>0</v>
      </c>
      <c r="N125" s="161">
        <v>0</v>
      </c>
      <c r="O125" s="161">
        <v>0</v>
      </c>
      <c r="P125" s="161">
        <v>0</v>
      </c>
      <c r="Q125" s="161">
        <v>0</v>
      </c>
      <c r="R125" s="161">
        <v>1</v>
      </c>
      <c r="S125" s="161">
        <v>0</v>
      </c>
      <c r="T125" s="165">
        <v>0</v>
      </c>
      <c r="U125" s="165">
        <v>15.3</v>
      </c>
      <c r="V125" s="161">
        <v>8</v>
      </c>
      <c r="W125" s="166">
        <v>127.46</v>
      </c>
      <c r="X125" s="161">
        <v>1476</v>
      </c>
      <c r="Y125" s="161">
        <v>191</v>
      </c>
      <c r="Z125" s="165">
        <v>2</v>
      </c>
      <c r="AA125" s="165">
        <v>1</v>
      </c>
      <c r="AB125" s="165">
        <v>2</v>
      </c>
      <c r="AC125" s="165">
        <v>0</v>
      </c>
      <c r="AD125" s="165">
        <v>5</v>
      </c>
      <c r="AE125" s="165">
        <v>4</v>
      </c>
      <c r="AF125" s="165">
        <v>14</v>
      </c>
      <c r="AG125" s="165">
        <v>8</v>
      </c>
      <c r="AH125" s="165">
        <v>3</v>
      </c>
      <c r="AI125" s="165">
        <v>9.5</v>
      </c>
      <c r="AJ125" s="165">
        <v>0</v>
      </c>
      <c r="AK125" s="165">
        <v>12</v>
      </c>
      <c r="AL125" s="165">
        <v>10.5</v>
      </c>
      <c r="AM125" s="165">
        <v>43</v>
      </c>
      <c r="AN125" s="167">
        <f>tbl_operations[[#This Row],[Interview Styling Registrations]]+tbl_operations[[#This Row],[Confidence Styling Registrations]]</f>
        <v>1</v>
      </c>
      <c r="AO125" s="167">
        <f>tbl_operations[[#This Row],[Interview Styling Completed]]+tbl_operations[[#This Row],[Confidence Styling Completed]]</f>
        <v>1</v>
      </c>
      <c r="AP125" s="167">
        <f>tbl_operations[[#This Row],[Interview Styling Male]]+tbl_operations[[#This Row],[Confidence Styling Male]]</f>
        <v>0</v>
      </c>
      <c r="AQ125" s="167">
        <f>tbl_operations[[#This Row],[Interview Styling Female]]+tbl_operations[[#This Row],[Confidence Styling Female]]</f>
        <v>1</v>
      </c>
      <c r="AR125" s="167">
        <f>tbl_operations[[#This Row],[Interview Styling Non-Binary]]+tbl_operations[[#This Row],[Confidence Styling Non-Binary]]</f>
        <v>0</v>
      </c>
    </row>
    <row r="126" spans="1:44">
      <c r="A126" s="161" t="s">
        <v>25</v>
      </c>
      <c r="B126" s="162" t="s">
        <v>101</v>
      </c>
      <c r="C126" s="161" t="s">
        <v>99</v>
      </c>
      <c r="D126" s="163">
        <v>46197</v>
      </c>
      <c r="E126" s="164" t="str">
        <f t="shared" si="1"/>
        <v>Wednesday</v>
      </c>
      <c r="F126" s="161">
        <v>4</v>
      </c>
      <c r="G126" s="161">
        <v>4</v>
      </c>
      <c r="H126" s="161">
        <v>0</v>
      </c>
      <c r="I126" s="161">
        <v>4</v>
      </c>
      <c r="J126" s="161">
        <v>0</v>
      </c>
      <c r="K126" s="161">
        <v>3</v>
      </c>
      <c r="L126" s="161">
        <v>3</v>
      </c>
      <c r="M126" s="161">
        <v>1</v>
      </c>
      <c r="N126" s="161">
        <v>2</v>
      </c>
      <c r="O126" s="161">
        <v>0</v>
      </c>
      <c r="P126" s="161">
        <v>0</v>
      </c>
      <c r="Q126" s="161">
        <v>0</v>
      </c>
      <c r="R126" s="161">
        <v>0</v>
      </c>
      <c r="S126" s="161">
        <v>0</v>
      </c>
      <c r="T126" s="165">
        <v>17.5</v>
      </c>
      <c r="U126" s="165">
        <v>20.2</v>
      </c>
      <c r="V126" s="161">
        <v>15</v>
      </c>
      <c r="W126" s="166">
        <v>276.49</v>
      </c>
      <c r="X126" s="161">
        <v>2060</v>
      </c>
      <c r="Y126" s="161">
        <v>317</v>
      </c>
      <c r="Z126" s="165">
        <v>3</v>
      </c>
      <c r="AA126" s="165">
        <v>2</v>
      </c>
      <c r="AB126" s="165">
        <v>1</v>
      </c>
      <c r="AC126" s="165">
        <v>2</v>
      </c>
      <c r="AD126" s="165">
        <v>4</v>
      </c>
      <c r="AE126" s="165">
        <v>4</v>
      </c>
      <c r="AF126" s="165">
        <v>16</v>
      </c>
      <c r="AG126" s="165">
        <v>6</v>
      </c>
      <c r="AH126" s="165">
        <v>7.5</v>
      </c>
      <c r="AI126" s="165">
        <v>4.5</v>
      </c>
      <c r="AJ126" s="165">
        <v>6.5</v>
      </c>
      <c r="AK126" s="165">
        <v>18.5</v>
      </c>
      <c r="AL126" s="165">
        <v>20.5</v>
      </c>
      <c r="AM126" s="165">
        <v>63.5</v>
      </c>
      <c r="AN126" s="167">
        <f>tbl_operations[[#This Row],[Interview Styling Registrations]]+tbl_operations[[#This Row],[Confidence Styling Registrations]]</f>
        <v>7</v>
      </c>
      <c r="AO126" s="167">
        <f>tbl_operations[[#This Row],[Interview Styling Completed]]+tbl_operations[[#This Row],[Confidence Styling Completed]]</f>
        <v>7</v>
      </c>
      <c r="AP126" s="167">
        <f>tbl_operations[[#This Row],[Interview Styling Male]]+tbl_operations[[#This Row],[Confidence Styling Male]]</f>
        <v>1</v>
      </c>
      <c r="AQ126" s="167">
        <f>tbl_operations[[#This Row],[Interview Styling Female]]+tbl_operations[[#This Row],[Confidence Styling Female]]</f>
        <v>6</v>
      </c>
      <c r="AR126" s="167">
        <f>tbl_operations[[#This Row],[Interview Styling Non-Binary]]+tbl_operations[[#This Row],[Confidence Styling Non-Binary]]</f>
        <v>0</v>
      </c>
    </row>
    <row r="127" spans="1:44">
      <c r="A127" s="161" t="s">
        <v>25</v>
      </c>
      <c r="B127" s="162" t="s">
        <v>101</v>
      </c>
      <c r="C127" s="161" t="s">
        <v>99</v>
      </c>
      <c r="D127" s="163">
        <v>46198</v>
      </c>
      <c r="E127" s="164" t="str">
        <f t="shared" si="1"/>
        <v>Thursday</v>
      </c>
      <c r="F127" s="161">
        <v>2</v>
      </c>
      <c r="G127" s="161">
        <v>1</v>
      </c>
      <c r="H127" s="161">
        <v>0</v>
      </c>
      <c r="I127" s="161">
        <v>1</v>
      </c>
      <c r="J127" s="161">
        <v>0</v>
      </c>
      <c r="K127" s="161">
        <v>1</v>
      </c>
      <c r="L127" s="161">
        <v>1</v>
      </c>
      <c r="M127" s="161">
        <v>0</v>
      </c>
      <c r="N127" s="161">
        <v>1</v>
      </c>
      <c r="O127" s="161">
        <v>0</v>
      </c>
      <c r="P127" s="161">
        <v>1</v>
      </c>
      <c r="Q127" s="161">
        <v>1</v>
      </c>
      <c r="R127" s="161">
        <v>0</v>
      </c>
      <c r="S127" s="161">
        <v>0</v>
      </c>
      <c r="T127" s="165">
        <v>10.6</v>
      </c>
      <c r="U127" s="165">
        <v>0</v>
      </c>
      <c r="V127" s="161">
        <v>12</v>
      </c>
      <c r="W127" s="166">
        <v>192.64</v>
      </c>
      <c r="X127" s="161">
        <v>366</v>
      </c>
      <c r="Y127" s="161">
        <v>33</v>
      </c>
      <c r="Z127" s="165">
        <v>2</v>
      </c>
      <c r="AA127" s="165">
        <v>1</v>
      </c>
      <c r="AB127" s="165">
        <v>0</v>
      </c>
      <c r="AC127" s="165">
        <v>1</v>
      </c>
      <c r="AD127" s="165">
        <v>3</v>
      </c>
      <c r="AE127" s="165">
        <v>3</v>
      </c>
      <c r="AF127" s="165">
        <v>10</v>
      </c>
      <c r="AG127" s="165">
        <v>5.5</v>
      </c>
      <c r="AH127" s="165">
        <v>2</v>
      </c>
      <c r="AI127" s="165">
        <v>0</v>
      </c>
      <c r="AJ127" s="165">
        <v>3</v>
      </c>
      <c r="AK127" s="165">
        <v>12</v>
      </c>
      <c r="AL127" s="165">
        <v>12.5</v>
      </c>
      <c r="AM127" s="165">
        <v>35</v>
      </c>
      <c r="AN127" s="167">
        <f>tbl_operations[[#This Row],[Interview Styling Registrations]]+tbl_operations[[#This Row],[Confidence Styling Registrations]]</f>
        <v>3</v>
      </c>
      <c r="AO127" s="167">
        <f>tbl_operations[[#This Row],[Interview Styling Completed]]+tbl_operations[[#This Row],[Confidence Styling Completed]]</f>
        <v>2</v>
      </c>
      <c r="AP127" s="167">
        <f>tbl_operations[[#This Row],[Interview Styling Male]]+tbl_operations[[#This Row],[Confidence Styling Male]]</f>
        <v>0</v>
      </c>
      <c r="AQ127" s="167">
        <f>tbl_operations[[#This Row],[Interview Styling Female]]+tbl_operations[[#This Row],[Confidence Styling Female]]</f>
        <v>2</v>
      </c>
      <c r="AR127" s="167">
        <f>tbl_operations[[#This Row],[Interview Styling Non-Binary]]+tbl_operations[[#This Row],[Confidence Styling Non-Binary]]</f>
        <v>0</v>
      </c>
    </row>
    <row r="128" spans="1:44">
      <c r="A128" s="161" t="s">
        <v>25</v>
      </c>
      <c r="B128" s="162" t="s">
        <v>101</v>
      </c>
      <c r="C128" s="161" t="s">
        <v>99</v>
      </c>
      <c r="D128" s="163">
        <v>46199</v>
      </c>
      <c r="E128" s="164" t="str">
        <f t="shared" si="1"/>
        <v>Friday</v>
      </c>
      <c r="F128" s="161">
        <v>3</v>
      </c>
      <c r="G128" s="161">
        <v>3</v>
      </c>
      <c r="H128" s="161">
        <v>1</v>
      </c>
      <c r="I128" s="161">
        <v>2</v>
      </c>
      <c r="J128" s="161">
        <v>0</v>
      </c>
      <c r="K128" s="161">
        <v>0</v>
      </c>
      <c r="L128" s="161">
        <v>0</v>
      </c>
      <c r="M128" s="161">
        <v>0</v>
      </c>
      <c r="N128" s="161">
        <v>0</v>
      </c>
      <c r="O128" s="161">
        <v>0</v>
      </c>
      <c r="P128" s="161">
        <v>0</v>
      </c>
      <c r="Q128" s="161">
        <v>1</v>
      </c>
      <c r="R128" s="161">
        <v>1</v>
      </c>
      <c r="S128" s="161">
        <v>0</v>
      </c>
      <c r="T128" s="165">
        <v>63.3</v>
      </c>
      <c r="U128" s="165">
        <v>0</v>
      </c>
      <c r="V128" s="161">
        <v>7</v>
      </c>
      <c r="W128" s="166">
        <v>227.14</v>
      </c>
      <c r="X128" s="161">
        <v>1555</v>
      </c>
      <c r="Y128" s="161">
        <v>181</v>
      </c>
      <c r="Z128" s="165">
        <v>4</v>
      </c>
      <c r="AA128" s="165">
        <v>1</v>
      </c>
      <c r="AB128" s="165">
        <v>0</v>
      </c>
      <c r="AC128" s="165">
        <v>1</v>
      </c>
      <c r="AD128" s="165">
        <v>3</v>
      </c>
      <c r="AE128" s="165">
        <v>3</v>
      </c>
      <c r="AF128" s="165">
        <v>12</v>
      </c>
      <c r="AG128" s="165">
        <v>12</v>
      </c>
      <c r="AH128" s="165">
        <v>4.5</v>
      </c>
      <c r="AI128" s="165">
        <v>0</v>
      </c>
      <c r="AJ128" s="165">
        <v>4</v>
      </c>
      <c r="AK128" s="165">
        <v>12.5</v>
      </c>
      <c r="AL128" s="165">
        <v>13</v>
      </c>
      <c r="AM128" s="165">
        <v>46</v>
      </c>
      <c r="AN128" s="167">
        <f>tbl_operations[[#This Row],[Interview Styling Registrations]]+tbl_operations[[#This Row],[Confidence Styling Registrations]]</f>
        <v>3</v>
      </c>
      <c r="AO128" s="167">
        <f>tbl_operations[[#This Row],[Interview Styling Completed]]+tbl_operations[[#This Row],[Confidence Styling Completed]]</f>
        <v>3</v>
      </c>
      <c r="AP128" s="167">
        <f>tbl_operations[[#This Row],[Interview Styling Male]]+tbl_operations[[#This Row],[Confidence Styling Male]]</f>
        <v>1</v>
      </c>
      <c r="AQ128" s="167">
        <f>tbl_operations[[#This Row],[Interview Styling Female]]+tbl_operations[[#This Row],[Confidence Styling Female]]</f>
        <v>2</v>
      </c>
      <c r="AR128" s="167">
        <f>tbl_operations[[#This Row],[Interview Styling Non-Binary]]+tbl_operations[[#This Row],[Confidence Styling Non-Binary]]</f>
        <v>0</v>
      </c>
    </row>
    <row r="129" spans="1:44">
      <c r="A129" s="161" t="s">
        <v>25</v>
      </c>
      <c r="B129" s="162" t="s">
        <v>101</v>
      </c>
      <c r="C129" s="161" t="s">
        <v>100</v>
      </c>
      <c r="D129" s="163">
        <v>46202</v>
      </c>
      <c r="E129" s="164" t="str">
        <f t="shared" si="1"/>
        <v>Monday</v>
      </c>
      <c r="F129" s="161">
        <v>0</v>
      </c>
      <c r="G129" s="161">
        <v>0</v>
      </c>
      <c r="H129" s="161">
        <v>0</v>
      </c>
      <c r="I129" s="161">
        <v>0</v>
      </c>
      <c r="J129" s="161">
        <v>0</v>
      </c>
      <c r="K129" s="161">
        <v>1</v>
      </c>
      <c r="L129" s="161">
        <v>1</v>
      </c>
      <c r="M129" s="161">
        <v>0</v>
      </c>
      <c r="N129" s="161">
        <v>1</v>
      </c>
      <c r="O129" s="161">
        <v>0</v>
      </c>
      <c r="P129" s="161">
        <v>2</v>
      </c>
      <c r="Q129" s="161">
        <v>1</v>
      </c>
      <c r="R129" s="161">
        <v>0</v>
      </c>
      <c r="S129" s="161">
        <v>0</v>
      </c>
      <c r="T129" s="165">
        <v>10.1</v>
      </c>
      <c r="U129" s="165">
        <v>0</v>
      </c>
      <c r="V129" s="161">
        <v>6</v>
      </c>
      <c r="W129" s="166">
        <v>97.34</v>
      </c>
      <c r="X129" s="161">
        <v>899</v>
      </c>
      <c r="Y129" s="161">
        <v>127</v>
      </c>
      <c r="Z129" s="165">
        <v>2</v>
      </c>
      <c r="AA129" s="165">
        <v>1</v>
      </c>
      <c r="AB129" s="165">
        <v>2</v>
      </c>
      <c r="AC129" s="165">
        <v>0</v>
      </c>
      <c r="AD129" s="165">
        <v>3</v>
      </c>
      <c r="AE129" s="165">
        <v>1</v>
      </c>
      <c r="AF129" s="165">
        <v>9</v>
      </c>
      <c r="AG129" s="165">
        <v>6.5</v>
      </c>
      <c r="AH129" s="165">
        <v>3.5</v>
      </c>
      <c r="AI129" s="165">
        <v>6.5</v>
      </c>
      <c r="AJ129" s="165">
        <v>0</v>
      </c>
      <c r="AK129" s="165">
        <v>11.5</v>
      </c>
      <c r="AL129" s="165">
        <v>2</v>
      </c>
      <c r="AM129" s="165">
        <v>30</v>
      </c>
      <c r="AN129" s="167">
        <f>tbl_operations[[#This Row],[Interview Styling Registrations]]+tbl_operations[[#This Row],[Confidence Styling Registrations]]</f>
        <v>1</v>
      </c>
      <c r="AO129" s="167">
        <f>tbl_operations[[#This Row],[Interview Styling Completed]]+tbl_operations[[#This Row],[Confidence Styling Completed]]</f>
        <v>1</v>
      </c>
      <c r="AP129" s="167">
        <f>tbl_operations[[#This Row],[Interview Styling Male]]+tbl_operations[[#This Row],[Confidence Styling Male]]</f>
        <v>0</v>
      </c>
      <c r="AQ129" s="167">
        <f>tbl_operations[[#This Row],[Interview Styling Female]]+tbl_operations[[#This Row],[Confidence Styling Female]]</f>
        <v>1</v>
      </c>
      <c r="AR129" s="167">
        <f>tbl_operations[[#This Row],[Interview Styling Non-Binary]]+tbl_operations[[#This Row],[Confidence Styling Non-Binary]]</f>
        <v>0</v>
      </c>
    </row>
    <row r="130" spans="1:44">
      <c r="A130" s="161" t="s">
        <v>25</v>
      </c>
      <c r="B130" s="162" t="s">
        <v>101</v>
      </c>
      <c r="C130" s="161" t="s">
        <v>100</v>
      </c>
      <c r="D130" s="163">
        <v>46203</v>
      </c>
      <c r="E130" s="164" t="str">
        <f t="shared" ref="E130:E193" si="2">TEXT(D130,"dddd")</f>
        <v>Tuesday</v>
      </c>
      <c r="F130" s="161">
        <v>3</v>
      </c>
      <c r="G130" s="161">
        <v>3</v>
      </c>
      <c r="H130" s="161">
        <v>1</v>
      </c>
      <c r="I130" s="161">
        <v>2</v>
      </c>
      <c r="J130" s="161">
        <v>0</v>
      </c>
      <c r="K130" s="161">
        <v>2</v>
      </c>
      <c r="L130" s="161">
        <v>1</v>
      </c>
      <c r="M130" s="161">
        <v>0</v>
      </c>
      <c r="N130" s="161">
        <v>1</v>
      </c>
      <c r="O130" s="161">
        <v>0</v>
      </c>
      <c r="P130" s="161">
        <v>1</v>
      </c>
      <c r="Q130" s="161">
        <v>1</v>
      </c>
      <c r="R130" s="161">
        <v>0</v>
      </c>
      <c r="S130" s="161">
        <v>1</v>
      </c>
      <c r="T130" s="165">
        <v>48</v>
      </c>
      <c r="U130" s="165">
        <v>0</v>
      </c>
      <c r="V130" s="161">
        <v>16</v>
      </c>
      <c r="W130" s="166">
        <v>483.81</v>
      </c>
      <c r="X130" s="161">
        <v>404</v>
      </c>
      <c r="Y130" s="161">
        <v>9</v>
      </c>
      <c r="Z130" s="165">
        <v>1</v>
      </c>
      <c r="AA130" s="165">
        <v>1</v>
      </c>
      <c r="AB130" s="165">
        <v>2</v>
      </c>
      <c r="AC130" s="165">
        <v>1</v>
      </c>
      <c r="AD130" s="165">
        <v>2</v>
      </c>
      <c r="AE130" s="165">
        <v>4</v>
      </c>
      <c r="AF130" s="165">
        <v>11</v>
      </c>
      <c r="AG130" s="165">
        <v>2.5</v>
      </c>
      <c r="AH130" s="165">
        <v>3.5</v>
      </c>
      <c r="AI130" s="165">
        <v>7</v>
      </c>
      <c r="AJ130" s="165">
        <v>3</v>
      </c>
      <c r="AK130" s="165">
        <v>10.5</v>
      </c>
      <c r="AL130" s="165">
        <v>9</v>
      </c>
      <c r="AM130" s="165">
        <v>35.5</v>
      </c>
      <c r="AN130" s="167">
        <f>tbl_operations[[#This Row],[Interview Styling Registrations]]+tbl_operations[[#This Row],[Confidence Styling Registrations]]</f>
        <v>5</v>
      </c>
      <c r="AO130" s="167">
        <f>tbl_operations[[#This Row],[Interview Styling Completed]]+tbl_operations[[#This Row],[Confidence Styling Completed]]</f>
        <v>4</v>
      </c>
      <c r="AP130" s="167">
        <f>tbl_operations[[#This Row],[Interview Styling Male]]+tbl_operations[[#This Row],[Confidence Styling Male]]</f>
        <v>1</v>
      </c>
      <c r="AQ130" s="167">
        <f>tbl_operations[[#This Row],[Interview Styling Female]]+tbl_operations[[#This Row],[Confidence Styling Female]]</f>
        <v>3</v>
      </c>
      <c r="AR130" s="167">
        <f>tbl_operations[[#This Row],[Interview Styling Non-Binary]]+tbl_operations[[#This Row],[Confidence Styling Non-Binary]]</f>
        <v>0</v>
      </c>
    </row>
    <row r="131" spans="1:44">
      <c r="A131" s="161" t="s">
        <v>26</v>
      </c>
      <c r="B131" s="162" t="s">
        <v>102</v>
      </c>
      <c r="C131" s="161" t="s">
        <v>96</v>
      </c>
      <c r="D131" s="163">
        <v>46204</v>
      </c>
      <c r="E131" s="164" t="str">
        <f t="shared" si="2"/>
        <v>Wednesday</v>
      </c>
      <c r="F131" s="161">
        <v>4</v>
      </c>
      <c r="G131" s="161">
        <v>4</v>
      </c>
      <c r="H131" s="161">
        <v>0</v>
      </c>
      <c r="I131" s="161">
        <v>4</v>
      </c>
      <c r="J131" s="161">
        <v>0</v>
      </c>
      <c r="K131" s="161">
        <v>2</v>
      </c>
      <c r="L131" s="161">
        <v>2</v>
      </c>
      <c r="M131" s="161">
        <v>0</v>
      </c>
      <c r="N131" s="161">
        <v>2</v>
      </c>
      <c r="O131" s="161">
        <v>0</v>
      </c>
      <c r="P131" s="161">
        <v>1</v>
      </c>
      <c r="Q131" s="161">
        <v>0</v>
      </c>
      <c r="R131" s="161">
        <v>0</v>
      </c>
      <c r="S131" s="161">
        <v>0</v>
      </c>
      <c r="T131" s="165">
        <v>8.8</v>
      </c>
      <c r="U131" s="165">
        <v>14.1</v>
      </c>
      <c r="V131" s="161">
        <v>11</v>
      </c>
      <c r="W131" s="166">
        <v>144.87</v>
      </c>
      <c r="X131" s="161">
        <v>1075</v>
      </c>
      <c r="Y131" s="161">
        <v>59</v>
      </c>
      <c r="Z131" s="165">
        <v>3</v>
      </c>
      <c r="AA131" s="165">
        <v>2</v>
      </c>
      <c r="AB131" s="165">
        <v>2</v>
      </c>
      <c r="AC131" s="165">
        <v>0</v>
      </c>
      <c r="AD131" s="165">
        <v>4</v>
      </c>
      <c r="AE131" s="165">
        <v>2</v>
      </c>
      <c r="AF131" s="165">
        <v>13</v>
      </c>
      <c r="AG131" s="165">
        <v>8.5</v>
      </c>
      <c r="AH131" s="165">
        <v>5.5</v>
      </c>
      <c r="AI131" s="165">
        <v>4.5</v>
      </c>
      <c r="AJ131" s="165">
        <v>0</v>
      </c>
      <c r="AK131" s="165">
        <v>10</v>
      </c>
      <c r="AL131" s="165">
        <v>7</v>
      </c>
      <c r="AM131" s="165">
        <v>35.5</v>
      </c>
      <c r="AN131" s="167">
        <f>tbl_operations[[#This Row],[Interview Styling Registrations]]+tbl_operations[[#This Row],[Confidence Styling Registrations]]</f>
        <v>6</v>
      </c>
      <c r="AO131" s="167">
        <f>tbl_operations[[#This Row],[Interview Styling Completed]]+tbl_operations[[#This Row],[Confidence Styling Completed]]</f>
        <v>6</v>
      </c>
      <c r="AP131" s="167">
        <f>tbl_operations[[#This Row],[Interview Styling Male]]+tbl_operations[[#This Row],[Confidence Styling Male]]</f>
        <v>0</v>
      </c>
      <c r="AQ131" s="167">
        <f>tbl_operations[[#This Row],[Interview Styling Female]]+tbl_operations[[#This Row],[Confidence Styling Female]]</f>
        <v>6</v>
      </c>
      <c r="AR131" s="167">
        <f>tbl_operations[[#This Row],[Interview Styling Non-Binary]]+tbl_operations[[#This Row],[Confidence Styling Non-Binary]]</f>
        <v>0</v>
      </c>
    </row>
    <row r="132" spans="1:44">
      <c r="A132" s="161" t="s">
        <v>26</v>
      </c>
      <c r="B132" s="162" t="s">
        <v>102</v>
      </c>
      <c r="C132" s="161" t="s">
        <v>96</v>
      </c>
      <c r="D132" s="163">
        <v>46205</v>
      </c>
      <c r="E132" s="164" t="str">
        <f t="shared" si="2"/>
        <v>Thursday</v>
      </c>
      <c r="F132" s="161">
        <v>0</v>
      </c>
      <c r="G132" s="161">
        <v>0</v>
      </c>
      <c r="H132" s="161">
        <v>0</v>
      </c>
      <c r="I132" s="161">
        <v>0</v>
      </c>
      <c r="J132" s="161">
        <v>0</v>
      </c>
      <c r="K132" s="161">
        <v>2</v>
      </c>
      <c r="L132" s="161">
        <v>2</v>
      </c>
      <c r="M132" s="161">
        <v>1</v>
      </c>
      <c r="N132" s="161">
        <v>1</v>
      </c>
      <c r="O132" s="161">
        <v>0</v>
      </c>
      <c r="P132" s="161">
        <v>0</v>
      </c>
      <c r="Q132" s="161">
        <v>1</v>
      </c>
      <c r="R132" s="161">
        <v>0</v>
      </c>
      <c r="S132" s="161">
        <v>0</v>
      </c>
      <c r="T132" s="165">
        <v>50.7</v>
      </c>
      <c r="U132" s="165">
        <v>0</v>
      </c>
      <c r="V132" s="161">
        <v>7</v>
      </c>
      <c r="W132" s="166">
        <v>141.59</v>
      </c>
      <c r="X132" s="161">
        <v>917</v>
      </c>
      <c r="Y132" s="161">
        <v>37</v>
      </c>
      <c r="Z132" s="165">
        <v>1</v>
      </c>
      <c r="AA132" s="165">
        <v>0</v>
      </c>
      <c r="AB132" s="165">
        <v>2</v>
      </c>
      <c r="AC132" s="165">
        <v>1</v>
      </c>
      <c r="AD132" s="165">
        <v>3</v>
      </c>
      <c r="AE132" s="165">
        <v>4</v>
      </c>
      <c r="AF132" s="165">
        <v>11</v>
      </c>
      <c r="AG132" s="165">
        <v>3.5</v>
      </c>
      <c r="AH132" s="165">
        <v>0</v>
      </c>
      <c r="AI132" s="165">
        <v>5</v>
      </c>
      <c r="AJ132" s="165">
        <v>3</v>
      </c>
      <c r="AK132" s="165">
        <v>15.5</v>
      </c>
      <c r="AL132" s="165">
        <v>10.5</v>
      </c>
      <c r="AM132" s="165">
        <v>37.5</v>
      </c>
      <c r="AN132" s="167">
        <f>tbl_operations[[#This Row],[Interview Styling Registrations]]+tbl_operations[[#This Row],[Confidence Styling Registrations]]</f>
        <v>2</v>
      </c>
      <c r="AO132" s="167">
        <f>tbl_operations[[#This Row],[Interview Styling Completed]]+tbl_operations[[#This Row],[Confidence Styling Completed]]</f>
        <v>2</v>
      </c>
      <c r="AP132" s="167">
        <f>tbl_operations[[#This Row],[Interview Styling Male]]+tbl_operations[[#This Row],[Confidence Styling Male]]</f>
        <v>1</v>
      </c>
      <c r="AQ132" s="167">
        <f>tbl_operations[[#This Row],[Interview Styling Female]]+tbl_operations[[#This Row],[Confidence Styling Female]]</f>
        <v>1</v>
      </c>
      <c r="AR132" s="167">
        <f>tbl_operations[[#This Row],[Interview Styling Non-Binary]]+tbl_operations[[#This Row],[Confidence Styling Non-Binary]]</f>
        <v>0</v>
      </c>
    </row>
    <row r="133" spans="1:44">
      <c r="A133" s="161" t="s">
        <v>26</v>
      </c>
      <c r="B133" s="162" t="s">
        <v>102</v>
      </c>
      <c r="C133" s="161" t="s">
        <v>96</v>
      </c>
      <c r="D133" s="163">
        <v>46206</v>
      </c>
      <c r="E133" s="164" t="str">
        <f t="shared" si="2"/>
        <v>Friday</v>
      </c>
      <c r="F133" s="161">
        <v>3</v>
      </c>
      <c r="G133" s="161">
        <v>3</v>
      </c>
      <c r="H133" s="161">
        <v>1</v>
      </c>
      <c r="I133" s="161">
        <v>1</v>
      </c>
      <c r="J133" s="161">
        <v>1</v>
      </c>
      <c r="K133" s="161">
        <v>1</v>
      </c>
      <c r="L133" s="161">
        <v>1</v>
      </c>
      <c r="M133" s="161">
        <v>0</v>
      </c>
      <c r="N133" s="161">
        <v>1</v>
      </c>
      <c r="O133" s="161">
        <v>0</v>
      </c>
      <c r="P133" s="161">
        <v>0</v>
      </c>
      <c r="Q133" s="161">
        <v>1</v>
      </c>
      <c r="R133" s="161">
        <v>0</v>
      </c>
      <c r="S133" s="161">
        <v>0</v>
      </c>
      <c r="T133" s="165">
        <v>45.8</v>
      </c>
      <c r="U133" s="165">
        <v>0</v>
      </c>
      <c r="V133" s="161">
        <v>5</v>
      </c>
      <c r="W133" s="166">
        <v>121.13</v>
      </c>
      <c r="X133" s="161">
        <v>1130</v>
      </c>
      <c r="Y133" s="161">
        <v>137</v>
      </c>
      <c r="Z133" s="165">
        <v>4</v>
      </c>
      <c r="AA133" s="165">
        <v>1</v>
      </c>
      <c r="AB133" s="165">
        <v>0</v>
      </c>
      <c r="AC133" s="165">
        <v>0</v>
      </c>
      <c r="AD133" s="165">
        <v>4</v>
      </c>
      <c r="AE133" s="165">
        <v>4</v>
      </c>
      <c r="AF133" s="165">
        <v>13</v>
      </c>
      <c r="AG133" s="165">
        <v>15.5</v>
      </c>
      <c r="AH133" s="165">
        <v>4.5</v>
      </c>
      <c r="AI133" s="165">
        <v>0</v>
      </c>
      <c r="AJ133" s="165">
        <v>0</v>
      </c>
      <c r="AK133" s="165">
        <v>11</v>
      </c>
      <c r="AL133" s="165">
        <v>15</v>
      </c>
      <c r="AM133" s="165">
        <v>46</v>
      </c>
      <c r="AN133" s="167">
        <f>tbl_operations[[#This Row],[Interview Styling Registrations]]+tbl_operations[[#This Row],[Confidence Styling Registrations]]</f>
        <v>4</v>
      </c>
      <c r="AO133" s="167">
        <f>tbl_operations[[#This Row],[Interview Styling Completed]]+tbl_operations[[#This Row],[Confidence Styling Completed]]</f>
        <v>4</v>
      </c>
      <c r="AP133" s="167">
        <f>tbl_operations[[#This Row],[Interview Styling Male]]+tbl_operations[[#This Row],[Confidence Styling Male]]</f>
        <v>1</v>
      </c>
      <c r="AQ133" s="167">
        <f>tbl_operations[[#This Row],[Interview Styling Female]]+tbl_operations[[#This Row],[Confidence Styling Female]]</f>
        <v>2</v>
      </c>
      <c r="AR133" s="167">
        <f>tbl_operations[[#This Row],[Interview Styling Non-Binary]]+tbl_operations[[#This Row],[Confidence Styling Non-Binary]]</f>
        <v>1</v>
      </c>
    </row>
    <row r="134" spans="1:44">
      <c r="A134" s="161" t="s">
        <v>26</v>
      </c>
      <c r="B134" s="162" t="s">
        <v>102</v>
      </c>
      <c r="C134" s="161" t="s">
        <v>97</v>
      </c>
      <c r="D134" s="163">
        <v>46209</v>
      </c>
      <c r="E134" s="164" t="str">
        <f t="shared" si="2"/>
        <v>Monday</v>
      </c>
      <c r="F134" s="161">
        <v>1</v>
      </c>
      <c r="G134" s="161">
        <v>1</v>
      </c>
      <c r="H134" s="161">
        <v>1</v>
      </c>
      <c r="I134" s="161">
        <v>0</v>
      </c>
      <c r="J134" s="161">
        <v>0</v>
      </c>
      <c r="K134" s="161">
        <v>0</v>
      </c>
      <c r="L134" s="161">
        <v>0</v>
      </c>
      <c r="M134" s="161">
        <v>0</v>
      </c>
      <c r="N134" s="161">
        <v>0</v>
      </c>
      <c r="O134" s="161">
        <v>0</v>
      </c>
      <c r="P134" s="161">
        <v>0</v>
      </c>
      <c r="Q134" s="161">
        <v>0</v>
      </c>
      <c r="R134" s="161">
        <v>0</v>
      </c>
      <c r="S134" s="161">
        <v>0</v>
      </c>
      <c r="T134" s="165">
        <v>0</v>
      </c>
      <c r="U134" s="165">
        <v>0</v>
      </c>
      <c r="V134" s="161">
        <v>13</v>
      </c>
      <c r="W134" s="166">
        <v>328.45</v>
      </c>
      <c r="X134" s="161">
        <v>817</v>
      </c>
      <c r="Y134" s="161">
        <v>51</v>
      </c>
      <c r="Z134" s="165">
        <v>3</v>
      </c>
      <c r="AA134" s="165">
        <v>2</v>
      </c>
      <c r="AB134" s="165">
        <v>2</v>
      </c>
      <c r="AC134" s="165">
        <v>0</v>
      </c>
      <c r="AD134" s="165">
        <v>5</v>
      </c>
      <c r="AE134" s="165">
        <v>2</v>
      </c>
      <c r="AF134" s="165">
        <v>14</v>
      </c>
      <c r="AG134" s="165">
        <v>14.5</v>
      </c>
      <c r="AH134" s="165">
        <v>7.5</v>
      </c>
      <c r="AI134" s="165">
        <v>11</v>
      </c>
      <c r="AJ134" s="165">
        <v>0</v>
      </c>
      <c r="AK134" s="165">
        <v>12</v>
      </c>
      <c r="AL134" s="165">
        <v>10.5</v>
      </c>
      <c r="AM134" s="165">
        <v>55.5</v>
      </c>
      <c r="AN134" s="167">
        <f>tbl_operations[[#This Row],[Interview Styling Registrations]]+tbl_operations[[#This Row],[Confidence Styling Registrations]]</f>
        <v>1</v>
      </c>
      <c r="AO134" s="167">
        <f>tbl_operations[[#This Row],[Interview Styling Completed]]+tbl_operations[[#This Row],[Confidence Styling Completed]]</f>
        <v>1</v>
      </c>
      <c r="AP134" s="167">
        <f>tbl_operations[[#This Row],[Interview Styling Male]]+tbl_operations[[#This Row],[Confidence Styling Male]]</f>
        <v>1</v>
      </c>
      <c r="AQ134" s="167">
        <f>tbl_operations[[#This Row],[Interview Styling Female]]+tbl_operations[[#This Row],[Confidence Styling Female]]</f>
        <v>0</v>
      </c>
      <c r="AR134" s="167">
        <f>tbl_operations[[#This Row],[Interview Styling Non-Binary]]+tbl_operations[[#This Row],[Confidence Styling Non-Binary]]</f>
        <v>0</v>
      </c>
    </row>
    <row r="135" spans="1:44">
      <c r="A135" s="161" t="s">
        <v>26</v>
      </c>
      <c r="B135" s="162" t="s">
        <v>102</v>
      </c>
      <c r="C135" s="161" t="s">
        <v>97</v>
      </c>
      <c r="D135" s="163">
        <v>46210</v>
      </c>
      <c r="E135" s="164" t="str">
        <f t="shared" si="2"/>
        <v>Tuesday</v>
      </c>
      <c r="F135" s="161">
        <v>2</v>
      </c>
      <c r="G135" s="161">
        <v>2</v>
      </c>
      <c r="H135" s="161">
        <v>0</v>
      </c>
      <c r="I135" s="161">
        <v>2</v>
      </c>
      <c r="J135" s="161">
        <v>0</v>
      </c>
      <c r="K135" s="161">
        <v>1</v>
      </c>
      <c r="L135" s="161">
        <v>1</v>
      </c>
      <c r="M135" s="161">
        <v>1</v>
      </c>
      <c r="N135" s="161">
        <v>0</v>
      </c>
      <c r="O135" s="161">
        <v>0</v>
      </c>
      <c r="P135" s="161">
        <v>1</v>
      </c>
      <c r="Q135" s="161">
        <v>0</v>
      </c>
      <c r="R135" s="161">
        <v>0</v>
      </c>
      <c r="S135" s="161">
        <v>0</v>
      </c>
      <c r="T135" s="165">
        <v>53</v>
      </c>
      <c r="U135" s="165">
        <v>0</v>
      </c>
      <c r="V135" s="161">
        <v>22</v>
      </c>
      <c r="W135" s="166">
        <v>368.39</v>
      </c>
      <c r="X135" s="161">
        <v>1278</v>
      </c>
      <c r="Y135" s="161">
        <v>79</v>
      </c>
      <c r="Z135" s="165">
        <v>2</v>
      </c>
      <c r="AA135" s="165">
        <v>1</v>
      </c>
      <c r="AB135" s="165">
        <v>1</v>
      </c>
      <c r="AC135" s="165">
        <v>0</v>
      </c>
      <c r="AD135" s="165">
        <v>2</v>
      </c>
      <c r="AE135" s="165">
        <v>3</v>
      </c>
      <c r="AF135" s="165">
        <v>9</v>
      </c>
      <c r="AG135" s="165">
        <v>5.5</v>
      </c>
      <c r="AH135" s="165">
        <v>5</v>
      </c>
      <c r="AI135" s="165">
        <v>2.5</v>
      </c>
      <c r="AJ135" s="165">
        <v>0</v>
      </c>
      <c r="AK135" s="165">
        <v>9</v>
      </c>
      <c r="AL135" s="165">
        <v>11</v>
      </c>
      <c r="AM135" s="165">
        <v>33</v>
      </c>
      <c r="AN135" s="167">
        <f>tbl_operations[[#This Row],[Interview Styling Registrations]]+tbl_operations[[#This Row],[Confidence Styling Registrations]]</f>
        <v>3</v>
      </c>
      <c r="AO135" s="167">
        <f>tbl_operations[[#This Row],[Interview Styling Completed]]+tbl_operations[[#This Row],[Confidence Styling Completed]]</f>
        <v>3</v>
      </c>
      <c r="AP135" s="167">
        <f>tbl_operations[[#This Row],[Interview Styling Male]]+tbl_operations[[#This Row],[Confidence Styling Male]]</f>
        <v>1</v>
      </c>
      <c r="AQ135" s="167">
        <f>tbl_operations[[#This Row],[Interview Styling Female]]+tbl_operations[[#This Row],[Confidence Styling Female]]</f>
        <v>2</v>
      </c>
      <c r="AR135" s="167">
        <f>tbl_operations[[#This Row],[Interview Styling Non-Binary]]+tbl_operations[[#This Row],[Confidence Styling Non-Binary]]</f>
        <v>0</v>
      </c>
    </row>
    <row r="136" spans="1:44">
      <c r="A136" s="161" t="s">
        <v>26</v>
      </c>
      <c r="B136" s="162" t="s">
        <v>102</v>
      </c>
      <c r="C136" s="161" t="s">
        <v>97</v>
      </c>
      <c r="D136" s="163">
        <v>46211</v>
      </c>
      <c r="E136" s="164" t="str">
        <f t="shared" si="2"/>
        <v>Wednesday</v>
      </c>
      <c r="F136" s="161">
        <v>0</v>
      </c>
      <c r="G136" s="161">
        <v>0</v>
      </c>
      <c r="H136" s="161">
        <v>0</v>
      </c>
      <c r="I136" s="161">
        <v>0</v>
      </c>
      <c r="J136" s="161">
        <v>0</v>
      </c>
      <c r="K136" s="161">
        <v>0</v>
      </c>
      <c r="L136" s="161">
        <v>0</v>
      </c>
      <c r="M136" s="161">
        <v>0</v>
      </c>
      <c r="N136" s="161">
        <v>0</v>
      </c>
      <c r="O136" s="161">
        <v>0</v>
      </c>
      <c r="P136" s="161">
        <v>1</v>
      </c>
      <c r="Q136" s="161">
        <v>0</v>
      </c>
      <c r="R136" s="161">
        <v>0</v>
      </c>
      <c r="S136" s="161">
        <v>0</v>
      </c>
      <c r="T136" s="165">
        <v>45.4</v>
      </c>
      <c r="U136" s="165">
        <v>0</v>
      </c>
      <c r="V136" s="161">
        <v>10</v>
      </c>
      <c r="W136" s="166">
        <v>222.34</v>
      </c>
      <c r="X136" s="161">
        <v>805</v>
      </c>
      <c r="Y136" s="161">
        <v>113</v>
      </c>
      <c r="Z136" s="165">
        <v>4</v>
      </c>
      <c r="AA136" s="165">
        <v>1</v>
      </c>
      <c r="AB136" s="165">
        <v>1</v>
      </c>
      <c r="AC136" s="165">
        <v>0</v>
      </c>
      <c r="AD136" s="165">
        <v>4</v>
      </c>
      <c r="AE136" s="165">
        <v>3</v>
      </c>
      <c r="AF136" s="165">
        <v>13</v>
      </c>
      <c r="AG136" s="165">
        <v>10.5</v>
      </c>
      <c r="AH136" s="165">
        <v>5.5</v>
      </c>
      <c r="AI136" s="165">
        <v>3.5</v>
      </c>
      <c r="AJ136" s="165">
        <v>0</v>
      </c>
      <c r="AK136" s="165">
        <v>9.5</v>
      </c>
      <c r="AL136" s="165">
        <v>13.5</v>
      </c>
      <c r="AM136" s="165">
        <v>42.5</v>
      </c>
      <c r="AN136" s="167">
        <f>tbl_operations[[#This Row],[Interview Styling Registrations]]+tbl_operations[[#This Row],[Confidence Styling Registrations]]</f>
        <v>0</v>
      </c>
      <c r="AO136" s="167">
        <f>tbl_operations[[#This Row],[Interview Styling Completed]]+tbl_operations[[#This Row],[Confidence Styling Completed]]</f>
        <v>0</v>
      </c>
      <c r="AP136" s="167">
        <f>tbl_operations[[#This Row],[Interview Styling Male]]+tbl_operations[[#This Row],[Confidence Styling Male]]</f>
        <v>0</v>
      </c>
      <c r="AQ136" s="167">
        <f>tbl_operations[[#This Row],[Interview Styling Female]]+tbl_operations[[#This Row],[Confidence Styling Female]]</f>
        <v>0</v>
      </c>
      <c r="AR136" s="167">
        <f>tbl_operations[[#This Row],[Interview Styling Non-Binary]]+tbl_operations[[#This Row],[Confidence Styling Non-Binary]]</f>
        <v>0</v>
      </c>
    </row>
    <row r="137" spans="1:44">
      <c r="A137" s="161" t="s">
        <v>26</v>
      </c>
      <c r="B137" s="162" t="s">
        <v>102</v>
      </c>
      <c r="C137" s="161" t="s">
        <v>97</v>
      </c>
      <c r="D137" s="163">
        <v>46212</v>
      </c>
      <c r="E137" s="164" t="str">
        <f t="shared" si="2"/>
        <v>Thursday</v>
      </c>
      <c r="F137" s="161">
        <v>2</v>
      </c>
      <c r="G137" s="161">
        <v>2</v>
      </c>
      <c r="H137" s="161">
        <v>1</v>
      </c>
      <c r="I137" s="161">
        <v>1</v>
      </c>
      <c r="J137" s="161">
        <v>0</v>
      </c>
      <c r="K137" s="161">
        <v>2</v>
      </c>
      <c r="L137" s="161">
        <v>2</v>
      </c>
      <c r="M137" s="161">
        <v>1</v>
      </c>
      <c r="N137" s="161">
        <v>1</v>
      </c>
      <c r="O137" s="161">
        <v>0</v>
      </c>
      <c r="P137" s="161">
        <v>2</v>
      </c>
      <c r="Q137" s="161">
        <v>0</v>
      </c>
      <c r="R137" s="161">
        <v>1</v>
      </c>
      <c r="S137" s="161">
        <v>0</v>
      </c>
      <c r="T137" s="165">
        <v>44.6</v>
      </c>
      <c r="U137" s="165">
        <v>0</v>
      </c>
      <c r="V137" s="161">
        <v>5</v>
      </c>
      <c r="W137" s="166">
        <v>101.79</v>
      </c>
      <c r="X137" s="161">
        <v>1169</v>
      </c>
      <c r="Y137" s="161">
        <v>173</v>
      </c>
      <c r="Z137" s="165">
        <v>4</v>
      </c>
      <c r="AA137" s="165">
        <v>0</v>
      </c>
      <c r="AB137" s="165">
        <v>2</v>
      </c>
      <c r="AC137" s="165">
        <v>2</v>
      </c>
      <c r="AD137" s="165">
        <v>1</v>
      </c>
      <c r="AE137" s="165">
        <v>3</v>
      </c>
      <c r="AF137" s="165">
        <v>12</v>
      </c>
      <c r="AG137" s="165">
        <v>21</v>
      </c>
      <c r="AH137" s="165">
        <v>0</v>
      </c>
      <c r="AI137" s="165">
        <v>6.5</v>
      </c>
      <c r="AJ137" s="165">
        <v>5</v>
      </c>
      <c r="AK137" s="165">
        <v>4</v>
      </c>
      <c r="AL137" s="165">
        <v>8</v>
      </c>
      <c r="AM137" s="165">
        <v>44.5</v>
      </c>
      <c r="AN137" s="167">
        <f>tbl_operations[[#This Row],[Interview Styling Registrations]]+tbl_operations[[#This Row],[Confidence Styling Registrations]]</f>
        <v>4</v>
      </c>
      <c r="AO137" s="167">
        <f>tbl_operations[[#This Row],[Interview Styling Completed]]+tbl_operations[[#This Row],[Confidence Styling Completed]]</f>
        <v>4</v>
      </c>
      <c r="AP137" s="167">
        <f>tbl_operations[[#This Row],[Interview Styling Male]]+tbl_operations[[#This Row],[Confidence Styling Male]]</f>
        <v>2</v>
      </c>
      <c r="AQ137" s="167">
        <f>tbl_operations[[#This Row],[Interview Styling Female]]+tbl_operations[[#This Row],[Confidence Styling Female]]</f>
        <v>2</v>
      </c>
      <c r="AR137" s="167">
        <f>tbl_operations[[#This Row],[Interview Styling Non-Binary]]+tbl_operations[[#This Row],[Confidence Styling Non-Binary]]</f>
        <v>0</v>
      </c>
    </row>
    <row r="138" spans="1:44">
      <c r="A138" s="161" t="s">
        <v>26</v>
      </c>
      <c r="B138" s="162" t="s">
        <v>102</v>
      </c>
      <c r="C138" s="161" t="s">
        <v>97</v>
      </c>
      <c r="D138" s="163">
        <v>46213</v>
      </c>
      <c r="E138" s="164" t="str">
        <f t="shared" si="2"/>
        <v>Friday</v>
      </c>
      <c r="F138" s="161">
        <v>3</v>
      </c>
      <c r="G138" s="161">
        <v>3</v>
      </c>
      <c r="H138" s="161">
        <v>1</v>
      </c>
      <c r="I138" s="161">
        <v>2</v>
      </c>
      <c r="J138" s="161">
        <v>0</v>
      </c>
      <c r="K138" s="161">
        <v>1</v>
      </c>
      <c r="L138" s="161">
        <v>0</v>
      </c>
      <c r="M138" s="161">
        <v>0</v>
      </c>
      <c r="N138" s="161">
        <v>0</v>
      </c>
      <c r="O138" s="161">
        <v>0</v>
      </c>
      <c r="P138" s="161">
        <v>0</v>
      </c>
      <c r="Q138" s="161">
        <v>1</v>
      </c>
      <c r="R138" s="161">
        <v>0</v>
      </c>
      <c r="S138" s="161">
        <v>0</v>
      </c>
      <c r="T138" s="165">
        <v>8.7</v>
      </c>
      <c r="U138" s="165">
        <v>0</v>
      </c>
      <c r="V138" s="161">
        <v>18</v>
      </c>
      <c r="W138" s="166">
        <v>503.95</v>
      </c>
      <c r="X138" s="161">
        <v>1977</v>
      </c>
      <c r="Y138" s="161">
        <v>129</v>
      </c>
      <c r="Z138" s="165">
        <v>1</v>
      </c>
      <c r="AA138" s="165">
        <v>1</v>
      </c>
      <c r="AB138" s="165">
        <v>1</v>
      </c>
      <c r="AC138" s="165">
        <v>0</v>
      </c>
      <c r="AD138" s="165">
        <v>2</v>
      </c>
      <c r="AE138" s="165">
        <v>2</v>
      </c>
      <c r="AF138" s="165">
        <v>7</v>
      </c>
      <c r="AG138" s="165">
        <v>3</v>
      </c>
      <c r="AH138" s="165">
        <v>3</v>
      </c>
      <c r="AI138" s="165">
        <v>5.5</v>
      </c>
      <c r="AJ138" s="165">
        <v>0</v>
      </c>
      <c r="AK138" s="165">
        <v>7.5</v>
      </c>
      <c r="AL138" s="165">
        <v>6.5</v>
      </c>
      <c r="AM138" s="165">
        <v>25.5</v>
      </c>
      <c r="AN138" s="167">
        <f>tbl_operations[[#This Row],[Interview Styling Registrations]]+tbl_operations[[#This Row],[Confidence Styling Registrations]]</f>
        <v>4</v>
      </c>
      <c r="AO138" s="167">
        <f>tbl_operations[[#This Row],[Interview Styling Completed]]+tbl_operations[[#This Row],[Confidence Styling Completed]]</f>
        <v>3</v>
      </c>
      <c r="AP138" s="167">
        <f>tbl_operations[[#This Row],[Interview Styling Male]]+tbl_operations[[#This Row],[Confidence Styling Male]]</f>
        <v>1</v>
      </c>
      <c r="AQ138" s="167">
        <f>tbl_operations[[#This Row],[Interview Styling Female]]+tbl_operations[[#This Row],[Confidence Styling Female]]</f>
        <v>2</v>
      </c>
      <c r="AR138" s="167">
        <f>tbl_operations[[#This Row],[Interview Styling Non-Binary]]+tbl_operations[[#This Row],[Confidence Styling Non-Binary]]</f>
        <v>0</v>
      </c>
    </row>
    <row r="139" spans="1:44">
      <c r="A139" s="161" t="s">
        <v>26</v>
      </c>
      <c r="B139" s="162" t="s">
        <v>102</v>
      </c>
      <c r="C139" s="161" t="s">
        <v>98</v>
      </c>
      <c r="D139" s="163">
        <v>46216</v>
      </c>
      <c r="E139" s="164" t="str">
        <f t="shared" si="2"/>
        <v>Monday</v>
      </c>
      <c r="F139" s="161">
        <v>4</v>
      </c>
      <c r="G139" s="161">
        <v>3</v>
      </c>
      <c r="H139" s="161">
        <v>1</v>
      </c>
      <c r="I139" s="161">
        <v>2</v>
      </c>
      <c r="J139" s="161">
        <v>0</v>
      </c>
      <c r="K139" s="161">
        <v>1</v>
      </c>
      <c r="L139" s="161">
        <v>0</v>
      </c>
      <c r="M139" s="161">
        <v>0</v>
      </c>
      <c r="N139" s="161">
        <v>0</v>
      </c>
      <c r="O139" s="161">
        <v>0</v>
      </c>
      <c r="P139" s="161">
        <v>1</v>
      </c>
      <c r="Q139" s="161">
        <v>0</v>
      </c>
      <c r="R139" s="161">
        <v>1</v>
      </c>
      <c r="S139" s="161">
        <v>0</v>
      </c>
      <c r="T139" s="165">
        <v>51</v>
      </c>
      <c r="U139" s="165">
        <v>0</v>
      </c>
      <c r="V139" s="161">
        <v>16</v>
      </c>
      <c r="W139" s="166">
        <v>414.16</v>
      </c>
      <c r="X139" s="161">
        <v>639</v>
      </c>
      <c r="Y139" s="161">
        <v>81</v>
      </c>
      <c r="Z139" s="165">
        <v>4</v>
      </c>
      <c r="AA139" s="165">
        <v>0</v>
      </c>
      <c r="AB139" s="165">
        <v>2</v>
      </c>
      <c r="AC139" s="165">
        <v>0</v>
      </c>
      <c r="AD139" s="165">
        <v>4</v>
      </c>
      <c r="AE139" s="165">
        <v>1</v>
      </c>
      <c r="AF139" s="165">
        <v>11</v>
      </c>
      <c r="AG139" s="165">
        <v>19.5</v>
      </c>
      <c r="AH139" s="165">
        <v>0</v>
      </c>
      <c r="AI139" s="165">
        <v>4.5</v>
      </c>
      <c r="AJ139" s="165">
        <v>0</v>
      </c>
      <c r="AK139" s="165">
        <v>18</v>
      </c>
      <c r="AL139" s="165">
        <v>2.5</v>
      </c>
      <c r="AM139" s="165">
        <v>44.5</v>
      </c>
      <c r="AN139" s="167">
        <f>tbl_operations[[#This Row],[Interview Styling Registrations]]+tbl_operations[[#This Row],[Confidence Styling Registrations]]</f>
        <v>5</v>
      </c>
      <c r="AO139" s="167">
        <f>tbl_operations[[#This Row],[Interview Styling Completed]]+tbl_operations[[#This Row],[Confidence Styling Completed]]</f>
        <v>3</v>
      </c>
      <c r="AP139" s="167">
        <f>tbl_operations[[#This Row],[Interview Styling Male]]+tbl_operations[[#This Row],[Confidence Styling Male]]</f>
        <v>1</v>
      </c>
      <c r="AQ139" s="167">
        <f>tbl_operations[[#This Row],[Interview Styling Female]]+tbl_operations[[#This Row],[Confidence Styling Female]]</f>
        <v>2</v>
      </c>
      <c r="AR139" s="167">
        <f>tbl_operations[[#This Row],[Interview Styling Non-Binary]]+tbl_operations[[#This Row],[Confidence Styling Non-Binary]]</f>
        <v>0</v>
      </c>
    </row>
    <row r="140" spans="1:44">
      <c r="A140" s="161" t="s">
        <v>26</v>
      </c>
      <c r="B140" s="162" t="s">
        <v>102</v>
      </c>
      <c r="C140" s="161" t="s">
        <v>98</v>
      </c>
      <c r="D140" s="163">
        <v>46217</v>
      </c>
      <c r="E140" s="164" t="str">
        <f t="shared" si="2"/>
        <v>Tuesday</v>
      </c>
      <c r="F140" s="161">
        <v>1</v>
      </c>
      <c r="G140" s="161">
        <v>1</v>
      </c>
      <c r="H140" s="161">
        <v>0</v>
      </c>
      <c r="I140" s="161">
        <v>1</v>
      </c>
      <c r="J140" s="161">
        <v>0</v>
      </c>
      <c r="K140" s="161">
        <v>1</v>
      </c>
      <c r="L140" s="161">
        <v>1</v>
      </c>
      <c r="M140" s="161">
        <v>1</v>
      </c>
      <c r="N140" s="161">
        <v>0</v>
      </c>
      <c r="O140" s="161">
        <v>0</v>
      </c>
      <c r="P140" s="161">
        <v>0</v>
      </c>
      <c r="Q140" s="161">
        <v>0</v>
      </c>
      <c r="R140" s="161">
        <v>0</v>
      </c>
      <c r="S140" s="161">
        <v>0</v>
      </c>
      <c r="T140" s="165">
        <v>56.3</v>
      </c>
      <c r="U140" s="165">
        <v>0</v>
      </c>
      <c r="V140" s="161">
        <v>7</v>
      </c>
      <c r="W140" s="166">
        <v>136.54</v>
      </c>
      <c r="X140" s="161">
        <v>418</v>
      </c>
      <c r="Y140" s="161">
        <v>60</v>
      </c>
      <c r="Z140" s="165">
        <v>1</v>
      </c>
      <c r="AA140" s="165">
        <v>1</v>
      </c>
      <c r="AB140" s="165">
        <v>2</v>
      </c>
      <c r="AC140" s="165">
        <v>1</v>
      </c>
      <c r="AD140" s="165">
        <v>5</v>
      </c>
      <c r="AE140" s="165">
        <v>1</v>
      </c>
      <c r="AF140" s="165">
        <v>11</v>
      </c>
      <c r="AG140" s="165">
        <v>5</v>
      </c>
      <c r="AH140" s="165">
        <v>5</v>
      </c>
      <c r="AI140" s="165">
        <v>9</v>
      </c>
      <c r="AJ140" s="165">
        <v>2</v>
      </c>
      <c r="AK140" s="165">
        <v>17.5</v>
      </c>
      <c r="AL140" s="165">
        <v>3</v>
      </c>
      <c r="AM140" s="165">
        <v>41.5</v>
      </c>
      <c r="AN140" s="167">
        <f>tbl_operations[[#This Row],[Interview Styling Registrations]]+tbl_operations[[#This Row],[Confidence Styling Registrations]]</f>
        <v>2</v>
      </c>
      <c r="AO140" s="167">
        <f>tbl_operations[[#This Row],[Interview Styling Completed]]+tbl_operations[[#This Row],[Confidence Styling Completed]]</f>
        <v>2</v>
      </c>
      <c r="AP140" s="167">
        <f>tbl_operations[[#This Row],[Interview Styling Male]]+tbl_operations[[#This Row],[Confidence Styling Male]]</f>
        <v>1</v>
      </c>
      <c r="AQ140" s="167">
        <f>tbl_operations[[#This Row],[Interview Styling Female]]+tbl_operations[[#This Row],[Confidence Styling Female]]</f>
        <v>1</v>
      </c>
      <c r="AR140" s="167">
        <f>tbl_operations[[#This Row],[Interview Styling Non-Binary]]+tbl_operations[[#This Row],[Confidence Styling Non-Binary]]</f>
        <v>0</v>
      </c>
    </row>
    <row r="141" spans="1:44">
      <c r="A141" s="161" t="s">
        <v>26</v>
      </c>
      <c r="B141" s="162" t="s">
        <v>102</v>
      </c>
      <c r="C141" s="161" t="s">
        <v>98</v>
      </c>
      <c r="D141" s="163">
        <v>46218</v>
      </c>
      <c r="E141" s="164" t="str">
        <f t="shared" si="2"/>
        <v>Wednesday</v>
      </c>
      <c r="F141" s="161">
        <v>0</v>
      </c>
      <c r="G141" s="161">
        <v>0</v>
      </c>
      <c r="H141" s="161">
        <v>0</v>
      </c>
      <c r="I141" s="161">
        <v>0</v>
      </c>
      <c r="J141" s="161">
        <v>0</v>
      </c>
      <c r="K141" s="161">
        <v>2</v>
      </c>
      <c r="L141" s="161">
        <v>2</v>
      </c>
      <c r="M141" s="161">
        <v>0</v>
      </c>
      <c r="N141" s="161">
        <v>2</v>
      </c>
      <c r="O141" s="161">
        <v>0</v>
      </c>
      <c r="P141" s="161">
        <v>1</v>
      </c>
      <c r="Q141" s="161">
        <v>0</v>
      </c>
      <c r="R141" s="161">
        <v>0</v>
      </c>
      <c r="S141" s="161">
        <v>0</v>
      </c>
      <c r="T141" s="165">
        <v>56.4</v>
      </c>
      <c r="U141" s="165">
        <v>7.4</v>
      </c>
      <c r="V141" s="161">
        <v>8</v>
      </c>
      <c r="W141" s="166">
        <v>225.57</v>
      </c>
      <c r="X141" s="161">
        <v>626</v>
      </c>
      <c r="Y141" s="161">
        <v>73</v>
      </c>
      <c r="Z141" s="165">
        <v>4</v>
      </c>
      <c r="AA141" s="165">
        <v>0</v>
      </c>
      <c r="AB141" s="165">
        <v>2</v>
      </c>
      <c r="AC141" s="165">
        <v>0</v>
      </c>
      <c r="AD141" s="165">
        <v>1</v>
      </c>
      <c r="AE141" s="165">
        <v>1</v>
      </c>
      <c r="AF141" s="165">
        <v>8</v>
      </c>
      <c r="AG141" s="165">
        <v>14</v>
      </c>
      <c r="AH141" s="165">
        <v>0</v>
      </c>
      <c r="AI141" s="165">
        <v>8</v>
      </c>
      <c r="AJ141" s="165">
        <v>0</v>
      </c>
      <c r="AK141" s="165">
        <v>4.5</v>
      </c>
      <c r="AL141" s="165">
        <v>5.5</v>
      </c>
      <c r="AM141" s="165">
        <v>32</v>
      </c>
      <c r="AN141" s="167">
        <f>tbl_operations[[#This Row],[Interview Styling Registrations]]+tbl_operations[[#This Row],[Confidence Styling Registrations]]</f>
        <v>2</v>
      </c>
      <c r="AO141" s="167">
        <f>tbl_operations[[#This Row],[Interview Styling Completed]]+tbl_operations[[#This Row],[Confidence Styling Completed]]</f>
        <v>2</v>
      </c>
      <c r="AP141" s="167">
        <f>tbl_operations[[#This Row],[Interview Styling Male]]+tbl_operations[[#This Row],[Confidence Styling Male]]</f>
        <v>0</v>
      </c>
      <c r="AQ141" s="167">
        <f>tbl_operations[[#This Row],[Interview Styling Female]]+tbl_operations[[#This Row],[Confidence Styling Female]]</f>
        <v>2</v>
      </c>
      <c r="AR141" s="167">
        <f>tbl_operations[[#This Row],[Interview Styling Non-Binary]]+tbl_operations[[#This Row],[Confidence Styling Non-Binary]]</f>
        <v>0</v>
      </c>
    </row>
    <row r="142" spans="1:44">
      <c r="A142" s="161" t="s">
        <v>26</v>
      </c>
      <c r="B142" s="162" t="s">
        <v>102</v>
      </c>
      <c r="C142" s="161" t="s">
        <v>98</v>
      </c>
      <c r="D142" s="163">
        <v>46219</v>
      </c>
      <c r="E142" s="164" t="str">
        <f t="shared" si="2"/>
        <v>Thursday</v>
      </c>
      <c r="F142" s="161">
        <v>3</v>
      </c>
      <c r="G142" s="161">
        <v>3</v>
      </c>
      <c r="H142" s="161">
        <v>1</v>
      </c>
      <c r="I142" s="161">
        <v>2</v>
      </c>
      <c r="J142" s="161">
        <v>0</v>
      </c>
      <c r="K142" s="161">
        <v>1</v>
      </c>
      <c r="L142" s="161">
        <v>1</v>
      </c>
      <c r="M142" s="161">
        <v>1</v>
      </c>
      <c r="N142" s="161">
        <v>0</v>
      </c>
      <c r="O142" s="161">
        <v>0</v>
      </c>
      <c r="P142" s="161">
        <v>1</v>
      </c>
      <c r="Q142" s="161">
        <v>1</v>
      </c>
      <c r="R142" s="161">
        <v>0</v>
      </c>
      <c r="S142" s="161">
        <v>0</v>
      </c>
      <c r="T142" s="165">
        <v>56.7</v>
      </c>
      <c r="U142" s="165">
        <v>17.5</v>
      </c>
      <c r="V142" s="161">
        <v>4</v>
      </c>
      <c r="W142" s="166">
        <v>89.24</v>
      </c>
      <c r="X142" s="161">
        <v>923</v>
      </c>
      <c r="Y142" s="161">
        <v>103</v>
      </c>
      <c r="Z142" s="165">
        <v>1</v>
      </c>
      <c r="AA142" s="165">
        <v>0</v>
      </c>
      <c r="AB142" s="165">
        <v>1</v>
      </c>
      <c r="AC142" s="165">
        <v>2</v>
      </c>
      <c r="AD142" s="165">
        <v>3</v>
      </c>
      <c r="AE142" s="165">
        <v>2</v>
      </c>
      <c r="AF142" s="165">
        <v>9</v>
      </c>
      <c r="AG142" s="165">
        <v>3</v>
      </c>
      <c r="AH142" s="165">
        <v>0</v>
      </c>
      <c r="AI142" s="165">
        <v>2.5</v>
      </c>
      <c r="AJ142" s="165">
        <v>5.5</v>
      </c>
      <c r="AK142" s="165">
        <v>9</v>
      </c>
      <c r="AL142" s="165">
        <v>8</v>
      </c>
      <c r="AM142" s="165">
        <v>28</v>
      </c>
      <c r="AN142" s="167">
        <f>tbl_operations[[#This Row],[Interview Styling Registrations]]+tbl_operations[[#This Row],[Confidence Styling Registrations]]</f>
        <v>4</v>
      </c>
      <c r="AO142" s="167">
        <f>tbl_operations[[#This Row],[Interview Styling Completed]]+tbl_operations[[#This Row],[Confidence Styling Completed]]</f>
        <v>4</v>
      </c>
      <c r="AP142" s="167">
        <f>tbl_operations[[#This Row],[Interview Styling Male]]+tbl_operations[[#This Row],[Confidence Styling Male]]</f>
        <v>2</v>
      </c>
      <c r="AQ142" s="167">
        <f>tbl_operations[[#This Row],[Interview Styling Female]]+tbl_operations[[#This Row],[Confidence Styling Female]]</f>
        <v>2</v>
      </c>
      <c r="AR142" s="167">
        <f>tbl_operations[[#This Row],[Interview Styling Non-Binary]]+tbl_operations[[#This Row],[Confidence Styling Non-Binary]]</f>
        <v>0</v>
      </c>
    </row>
    <row r="143" spans="1:44">
      <c r="A143" s="161" t="s">
        <v>26</v>
      </c>
      <c r="B143" s="162" t="s">
        <v>102</v>
      </c>
      <c r="C143" s="161" t="s">
        <v>98</v>
      </c>
      <c r="D143" s="163">
        <v>46220</v>
      </c>
      <c r="E143" s="164" t="str">
        <f t="shared" si="2"/>
        <v>Friday</v>
      </c>
      <c r="F143" s="161">
        <v>4</v>
      </c>
      <c r="G143" s="161">
        <v>4</v>
      </c>
      <c r="H143" s="161">
        <v>0</v>
      </c>
      <c r="I143" s="161">
        <v>3</v>
      </c>
      <c r="J143" s="161">
        <v>1</v>
      </c>
      <c r="K143" s="161">
        <v>0</v>
      </c>
      <c r="L143" s="161">
        <v>0</v>
      </c>
      <c r="M143" s="161">
        <v>0</v>
      </c>
      <c r="N143" s="161">
        <v>0</v>
      </c>
      <c r="O143" s="161">
        <v>0</v>
      </c>
      <c r="P143" s="161">
        <v>2</v>
      </c>
      <c r="Q143" s="161">
        <v>0</v>
      </c>
      <c r="R143" s="161">
        <v>0</v>
      </c>
      <c r="S143" s="161">
        <v>0</v>
      </c>
      <c r="T143" s="165">
        <v>64.8</v>
      </c>
      <c r="U143" s="165">
        <v>0</v>
      </c>
      <c r="V143" s="161">
        <v>14</v>
      </c>
      <c r="W143" s="166">
        <v>308.29</v>
      </c>
      <c r="X143" s="161">
        <v>295</v>
      </c>
      <c r="Y143" s="161">
        <v>11</v>
      </c>
      <c r="Z143" s="165">
        <v>1</v>
      </c>
      <c r="AA143" s="165">
        <v>0</v>
      </c>
      <c r="AB143" s="165">
        <v>1</v>
      </c>
      <c r="AC143" s="165">
        <v>1</v>
      </c>
      <c r="AD143" s="165">
        <v>4</v>
      </c>
      <c r="AE143" s="165">
        <v>3</v>
      </c>
      <c r="AF143" s="165">
        <v>10</v>
      </c>
      <c r="AG143" s="165">
        <v>5.5</v>
      </c>
      <c r="AH143" s="165">
        <v>0</v>
      </c>
      <c r="AI143" s="165">
        <v>5.5</v>
      </c>
      <c r="AJ143" s="165">
        <v>5.5</v>
      </c>
      <c r="AK143" s="165">
        <v>15.5</v>
      </c>
      <c r="AL143" s="165">
        <v>8</v>
      </c>
      <c r="AM143" s="165">
        <v>40</v>
      </c>
      <c r="AN143" s="167">
        <f>tbl_operations[[#This Row],[Interview Styling Registrations]]+tbl_operations[[#This Row],[Confidence Styling Registrations]]</f>
        <v>4</v>
      </c>
      <c r="AO143" s="167">
        <f>tbl_operations[[#This Row],[Interview Styling Completed]]+tbl_operations[[#This Row],[Confidence Styling Completed]]</f>
        <v>4</v>
      </c>
      <c r="AP143" s="167">
        <f>tbl_operations[[#This Row],[Interview Styling Male]]+tbl_operations[[#This Row],[Confidence Styling Male]]</f>
        <v>0</v>
      </c>
      <c r="AQ143" s="167">
        <f>tbl_operations[[#This Row],[Interview Styling Female]]+tbl_operations[[#This Row],[Confidence Styling Female]]</f>
        <v>3</v>
      </c>
      <c r="AR143" s="167">
        <f>tbl_operations[[#This Row],[Interview Styling Non-Binary]]+tbl_operations[[#This Row],[Confidence Styling Non-Binary]]</f>
        <v>1</v>
      </c>
    </row>
    <row r="144" spans="1:44">
      <c r="A144" s="161" t="s">
        <v>26</v>
      </c>
      <c r="B144" s="162" t="s">
        <v>102</v>
      </c>
      <c r="C144" s="161" t="s">
        <v>99</v>
      </c>
      <c r="D144" s="163">
        <v>46223</v>
      </c>
      <c r="E144" s="164" t="str">
        <f t="shared" si="2"/>
        <v>Monday</v>
      </c>
      <c r="F144" s="161">
        <v>4</v>
      </c>
      <c r="G144" s="161">
        <v>4</v>
      </c>
      <c r="H144" s="161">
        <v>0</v>
      </c>
      <c r="I144" s="161">
        <v>4</v>
      </c>
      <c r="J144" s="161">
        <v>0</v>
      </c>
      <c r="K144" s="161">
        <v>1</v>
      </c>
      <c r="L144" s="161">
        <v>0</v>
      </c>
      <c r="M144" s="161">
        <v>0</v>
      </c>
      <c r="N144" s="161">
        <v>0</v>
      </c>
      <c r="O144" s="161">
        <v>0</v>
      </c>
      <c r="P144" s="161">
        <v>0</v>
      </c>
      <c r="Q144" s="161">
        <v>0</v>
      </c>
      <c r="R144" s="161">
        <v>0</v>
      </c>
      <c r="S144" s="161">
        <v>0</v>
      </c>
      <c r="T144" s="165">
        <v>30.7</v>
      </c>
      <c r="U144" s="165">
        <v>19.9</v>
      </c>
      <c r="V144" s="161">
        <v>16</v>
      </c>
      <c r="W144" s="166">
        <v>286.25</v>
      </c>
      <c r="X144" s="161">
        <v>2014</v>
      </c>
      <c r="Y144" s="161">
        <v>55</v>
      </c>
      <c r="Z144" s="165">
        <v>4</v>
      </c>
      <c r="AA144" s="165">
        <v>2</v>
      </c>
      <c r="AB144" s="165">
        <v>2</v>
      </c>
      <c r="AC144" s="165">
        <v>0</v>
      </c>
      <c r="AD144" s="165">
        <v>4</v>
      </c>
      <c r="AE144" s="165">
        <v>3</v>
      </c>
      <c r="AF144" s="165">
        <v>15</v>
      </c>
      <c r="AG144" s="165">
        <v>8.5</v>
      </c>
      <c r="AH144" s="165">
        <v>9.5</v>
      </c>
      <c r="AI144" s="165">
        <v>10</v>
      </c>
      <c r="AJ144" s="165">
        <v>0</v>
      </c>
      <c r="AK144" s="165">
        <v>9</v>
      </c>
      <c r="AL144" s="165">
        <v>7</v>
      </c>
      <c r="AM144" s="165">
        <v>44</v>
      </c>
      <c r="AN144" s="167">
        <f>tbl_operations[[#This Row],[Interview Styling Registrations]]+tbl_operations[[#This Row],[Confidence Styling Registrations]]</f>
        <v>5</v>
      </c>
      <c r="AO144" s="167">
        <f>tbl_operations[[#This Row],[Interview Styling Completed]]+tbl_operations[[#This Row],[Confidence Styling Completed]]</f>
        <v>4</v>
      </c>
      <c r="AP144" s="167">
        <f>tbl_operations[[#This Row],[Interview Styling Male]]+tbl_operations[[#This Row],[Confidence Styling Male]]</f>
        <v>0</v>
      </c>
      <c r="AQ144" s="167">
        <f>tbl_operations[[#This Row],[Interview Styling Female]]+tbl_operations[[#This Row],[Confidence Styling Female]]</f>
        <v>4</v>
      </c>
      <c r="AR144" s="167">
        <f>tbl_operations[[#This Row],[Interview Styling Non-Binary]]+tbl_operations[[#This Row],[Confidence Styling Non-Binary]]</f>
        <v>0</v>
      </c>
    </row>
    <row r="145" spans="1:44">
      <c r="A145" s="161" t="s">
        <v>26</v>
      </c>
      <c r="B145" s="162" t="s">
        <v>102</v>
      </c>
      <c r="C145" s="161" t="s">
        <v>99</v>
      </c>
      <c r="D145" s="163">
        <v>46224</v>
      </c>
      <c r="E145" s="164" t="str">
        <f t="shared" si="2"/>
        <v>Tuesday</v>
      </c>
      <c r="F145" s="161">
        <v>2</v>
      </c>
      <c r="G145" s="161">
        <v>2</v>
      </c>
      <c r="H145" s="161">
        <v>0</v>
      </c>
      <c r="I145" s="161">
        <v>2</v>
      </c>
      <c r="J145" s="161">
        <v>0</v>
      </c>
      <c r="K145" s="161">
        <v>3</v>
      </c>
      <c r="L145" s="161">
        <v>3</v>
      </c>
      <c r="M145" s="161">
        <v>1</v>
      </c>
      <c r="N145" s="161">
        <v>2</v>
      </c>
      <c r="O145" s="161">
        <v>0</v>
      </c>
      <c r="P145" s="161">
        <v>0</v>
      </c>
      <c r="Q145" s="161">
        <v>1</v>
      </c>
      <c r="R145" s="161">
        <v>0</v>
      </c>
      <c r="S145" s="161">
        <v>1</v>
      </c>
      <c r="T145" s="165">
        <v>23.5</v>
      </c>
      <c r="U145" s="165">
        <v>0</v>
      </c>
      <c r="V145" s="161">
        <v>4</v>
      </c>
      <c r="W145" s="166">
        <v>96.97</v>
      </c>
      <c r="X145" s="161">
        <v>1760</v>
      </c>
      <c r="Y145" s="161">
        <v>232</v>
      </c>
      <c r="Z145" s="165">
        <v>3</v>
      </c>
      <c r="AA145" s="165">
        <v>0</v>
      </c>
      <c r="AB145" s="165">
        <v>2</v>
      </c>
      <c r="AC145" s="165">
        <v>0</v>
      </c>
      <c r="AD145" s="165">
        <v>2</v>
      </c>
      <c r="AE145" s="165">
        <v>1</v>
      </c>
      <c r="AF145" s="165">
        <v>8</v>
      </c>
      <c r="AG145" s="165">
        <v>12.5</v>
      </c>
      <c r="AH145" s="165">
        <v>0</v>
      </c>
      <c r="AI145" s="165">
        <v>10.5</v>
      </c>
      <c r="AJ145" s="165">
        <v>0</v>
      </c>
      <c r="AK145" s="165">
        <v>8</v>
      </c>
      <c r="AL145" s="165">
        <v>3.5</v>
      </c>
      <c r="AM145" s="165">
        <v>34.5</v>
      </c>
      <c r="AN145" s="167">
        <f>tbl_operations[[#This Row],[Interview Styling Registrations]]+tbl_operations[[#This Row],[Confidence Styling Registrations]]</f>
        <v>5</v>
      </c>
      <c r="AO145" s="167">
        <f>tbl_operations[[#This Row],[Interview Styling Completed]]+tbl_operations[[#This Row],[Confidence Styling Completed]]</f>
        <v>5</v>
      </c>
      <c r="AP145" s="167">
        <f>tbl_operations[[#This Row],[Interview Styling Male]]+tbl_operations[[#This Row],[Confidence Styling Male]]</f>
        <v>1</v>
      </c>
      <c r="AQ145" s="167">
        <f>tbl_operations[[#This Row],[Interview Styling Female]]+tbl_operations[[#This Row],[Confidence Styling Female]]</f>
        <v>4</v>
      </c>
      <c r="AR145" s="167">
        <f>tbl_operations[[#This Row],[Interview Styling Non-Binary]]+tbl_operations[[#This Row],[Confidence Styling Non-Binary]]</f>
        <v>0</v>
      </c>
    </row>
    <row r="146" spans="1:44">
      <c r="A146" s="161" t="s">
        <v>26</v>
      </c>
      <c r="B146" s="162" t="s">
        <v>102</v>
      </c>
      <c r="C146" s="161" t="s">
        <v>99</v>
      </c>
      <c r="D146" s="163">
        <v>46225</v>
      </c>
      <c r="E146" s="164" t="str">
        <f t="shared" si="2"/>
        <v>Wednesday</v>
      </c>
      <c r="F146" s="161">
        <v>1</v>
      </c>
      <c r="G146" s="161">
        <v>1</v>
      </c>
      <c r="H146" s="161">
        <v>0</v>
      </c>
      <c r="I146" s="161">
        <v>1</v>
      </c>
      <c r="J146" s="161">
        <v>0</v>
      </c>
      <c r="K146" s="161">
        <v>0</v>
      </c>
      <c r="L146" s="161">
        <v>0</v>
      </c>
      <c r="M146" s="161">
        <v>0</v>
      </c>
      <c r="N146" s="161">
        <v>0</v>
      </c>
      <c r="O146" s="161">
        <v>0</v>
      </c>
      <c r="P146" s="161">
        <v>0</v>
      </c>
      <c r="Q146" s="161">
        <v>0</v>
      </c>
      <c r="R146" s="161">
        <v>0</v>
      </c>
      <c r="S146" s="161">
        <v>0</v>
      </c>
      <c r="T146" s="165">
        <v>38.8</v>
      </c>
      <c r="U146" s="165">
        <v>0</v>
      </c>
      <c r="V146" s="161">
        <v>3</v>
      </c>
      <c r="W146" s="166">
        <v>95.26</v>
      </c>
      <c r="X146" s="161">
        <v>1734</v>
      </c>
      <c r="Y146" s="161">
        <v>202</v>
      </c>
      <c r="Z146" s="165">
        <v>3</v>
      </c>
      <c r="AA146" s="165">
        <v>2</v>
      </c>
      <c r="AB146" s="165">
        <v>2</v>
      </c>
      <c r="AC146" s="165">
        <v>0</v>
      </c>
      <c r="AD146" s="165">
        <v>2</v>
      </c>
      <c r="AE146" s="165">
        <v>2</v>
      </c>
      <c r="AF146" s="165">
        <v>11</v>
      </c>
      <c r="AG146" s="165">
        <v>8</v>
      </c>
      <c r="AH146" s="165">
        <v>7</v>
      </c>
      <c r="AI146" s="165">
        <v>8</v>
      </c>
      <c r="AJ146" s="165">
        <v>0</v>
      </c>
      <c r="AK146" s="165">
        <v>11</v>
      </c>
      <c r="AL146" s="165">
        <v>5.5</v>
      </c>
      <c r="AM146" s="165">
        <v>39.5</v>
      </c>
      <c r="AN146" s="167">
        <f>tbl_operations[[#This Row],[Interview Styling Registrations]]+tbl_operations[[#This Row],[Confidence Styling Registrations]]</f>
        <v>1</v>
      </c>
      <c r="AO146" s="167">
        <f>tbl_operations[[#This Row],[Interview Styling Completed]]+tbl_operations[[#This Row],[Confidence Styling Completed]]</f>
        <v>1</v>
      </c>
      <c r="AP146" s="167">
        <f>tbl_operations[[#This Row],[Interview Styling Male]]+tbl_operations[[#This Row],[Confidence Styling Male]]</f>
        <v>0</v>
      </c>
      <c r="AQ146" s="167">
        <f>tbl_operations[[#This Row],[Interview Styling Female]]+tbl_operations[[#This Row],[Confidence Styling Female]]</f>
        <v>1</v>
      </c>
      <c r="AR146" s="167">
        <f>tbl_operations[[#This Row],[Interview Styling Non-Binary]]+tbl_operations[[#This Row],[Confidence Styling Non-Binary]]</f>
        <v>0</v>
      </c>
    </row>
    <row r="147" spans="1:44">
      <c r="A147" s="161" t="s">
        <v>26</v>
      </c>
      <c r="B147" s="162" t="s">
        <v>102</v>
      </c>
      <c r="C147" s="161" t="s">
        <v>99</v>
      </c>
      <c r="D147" s="163">
        <v>46226</v>
      </c>
      <c r="E147" s="164" t="str">
        <f t="shared" si="2"/>
        <v>Thursday</v>
      </c>
      <c r="F147" s="161">
        <v>1</v>
      </c>
      <c r="G147" s="161">
        <v>1</v>
      </c>
      <c r="H147" s="161">
        <v>0</v>
      </c>
      <c r="I147" s="161">
        <v>1</v>
      </c>
      <c r="J147" s="161">
        <v>0</v>
      </c>
      <c r="K147" s="161">
        <v>0</v>
      </c>
      <c r="L147" s="161">
        <v>0</v>
      </c>
      <c r="M147" s="161">
        <v>0</v>
      </c>
      <c r="N147" s="161">
        <v>0</v>
      </c>
      <c r="O147" s="161">
        <v>0</v>
      </c>
      <c r="P147" s="161">
        <v>1</v>
      </c>
      <c r="Q147" s="161">
        <v>0</v>
      </c>
      <c r="R147" s="161">
        <v>0</v>
      </c>
      <c r="S147" s="161">
        <v>0</v>
      </c>
      <c r="T147" s="165">
        <v>31.5</v>
      </c>
      <c r="U147" s="165">
        <v>0</v>
      </c>
      <c r="V147" s="161">
        <v>13</v>
      </c>
      <c r="W147" s="166">
        <v>218.38</v>
      </c>
      <c r="X147" s="161">
        <v>1980</v>
      </c>
      <c r="Y147" s="161">
        <v>87</v>
      </c>
      <c r="Z147" s="165">
        <v>4</v>
      </c>
      <c r="AA147" s="165">
        <v>0</v>
      </c>
      <c r="AB147" s="165">
        <v>2</v>
      </c>
      <c r="AC147" s="165">
        <v>0</v>
      </c>
      <c r="AD147" s="165">
        <v>5</v>
      </c>
      <c r="AE147" s="165">
        <v>2</v>
      </c>
      <c r="AF147" s="165">
        <v>13</v>
      </c>
      <c r="AG147" s="165">
        <v>17.5</v>
      </c>
      <c r="AH147" s="165">
        <v>0</v>
      </c>
      <c r="AI147" s="165">
        <v>10.5</v>
      </c>
      <c r="AJ147" s="165">
        <v>0</v>
      </c>
      <c r="AK147" s="165">
        <v>11</v>
      </c>
      <c r="AL147" s="165">
        <v>10</v>
      </c>
      <c r="AM147" s="165">
        <v>49</v>
      </c>
      <c r="AN147" s="167">
        <f>tbl_operations[[#This Row],[Interview Styling Registrations]]+tbl_operations[[#This Row],[Confidence Styling Registrations]]</f>
        <v>1</v>
      </c>
      <c r="AO147" s="167">
        <f>tbl_operations[[#This Row],[Interview Styling Completed]]+tbl_operations[[#This Row],[Confidence Styling Completed]]</f>
        <v>1</v>
      </c>
      <c r="AP147" s="167">
        <f>tbl_operations[[#This Row],[Interview Styling Male]]+tbl_operations[[#This Row],[Confidence Styling Male]]</f>
        <v>0</v>
      </c>
      <c r="AQ147" s="167">
        <f>tbl_operations[[#This Row],[Interview Styling Female]]+tbl_operations[[#This Row],[Confidence Styling Female]]</f>
        <v>1</v>
      </c>
      <c r="AR147" s="167">
        <f>tbl_operations[[#This Row],[Interview Styling Non-Binary]]+tbl_operations[[#This Row],[Confidence Styling Non-Binary]]</f>
        <v>0</v>
      </c>
    </row>
    <row r="148" spans="1:44">
      <c r="A148" s="161" t="s">
        <v>26</v>
      </c>
      <c r="B148" s="162" t="s">
        <v>102</v>
      </c>
      <c r="C148" s="161" t="s">
        <v>99</v>
      </c>
      <c r="D148" s="163">
        <v>46227</v>
      </c>
      <c r="E148" s="164" t="str">
        <f t="shared" si="2"/>
        <v>Friday</v>
      </c>
      <c r="F148" s="161">
        <v>3</v>
      </c>
      <c r="G148" s="161">
        <v>3</v>
      </c>
      <c r="H148" s="161">
        <v>1</v>
      </c>
      <c r="I148" s="161">
        <v>2</v>
      </c>
      <c r="J148" s="161">
        <v>0</v>
      </c>
      <c r="K148" s="161">
        <v>2</v>
      </c>
      <c r="L148" s="161">
        <v>2</v>
      </c>
      <c r="M148" s="161">
        <v>0</v>
      </c>
      <c r="N148" s="161">
        <v>2</v>
      </c>
      <c r="O148" s="161">
        <v>0</v>
      </c>
      <c r="P148" s="161">
        <v>0</v>
      </c>
      <c r="Q148" s="161">
        <v>1</v>
      </c>
      <c r="R148" s="161">
        <v>1</v>
      </c>
      <c r="S148" s="161">
        <v>0</v>
      </c>
      <c r="T148" s="165">
        <v>34.1</v>
      </c>
      <c r="U148" s="165">
        <v>0</v>
      </c>
      <c r="V148" s="161">
        <v>3</v>
      </c>
      <c r="W148" s="166">
        <v>35.16</v>
      </c>
      <c r="X148" s="161">
        <v>877</v>
      </c>
      <c r="Y148" s="161">
        <v>82</v>
      </c>
      <c r="Z148" s="165">
        <v>2</v>
      </c>
      <c r="AA148" s="165">
        <v>2</v>
      </c>
      <c r="AB148" s="165">
        <v>0</v>
      </c>
      <c r="AC148" s="165">
        <v>0</v>
      </c>
      <c r="AD148" s="165">
        <v>2</v>
      </c>
      <c r="AE148" s="165">
        <v>3</v>
      </c>
      <c r="AF148" s="165">
        <v>9</v>
      </c>
      <c r="AG148" s="165">
        <v>9.5</v>
      </c>
      <c r="AH148" s="165">
        <v>8</v>
      </c>
      <c r="AI148" s="165">
        <v>0</v>
      </c>
      <c r="AJ148" s="165">
        <v>0</v>
      </c>
      <c r="AK148" s="165">
        <v>4.5</v>
      </c>
      <c r="AL148" s="165">
        <v>15</v>
      </c>
      <c r="AM148" s="165">
        <v>37</v>
      </c>
      <c r="AN148" s="167">
        <f>tbl_operations[[#This Row],[Interview Styling Registrations]]+tbl_operations[[#This Row],[Confidence Styling Registrations]]</f>
        <v>5</v>
      </c>
      <c r="AO148" s="167">
        <f>tbl_operations[[#This Row],[Interview Styling Completed]]+tbl_operations[[#This Row],[Confidence Styling Completed]]</f>
        <v>5</v>
      </c>
      <c r="AP148" s="167">
        <f>tbl_operations[[#This Row],[Interview Styling Male]]+tbl_operations[[#This Row],[Confidence Styling Male]]</f>
        <v>1</v>
      </c>
      <c r="AQ148" s="167">
        <f>tbl_operations[[#This Row],[Interview Styling Female]]+tbl_operations[[#This Row],[Confidence Styling Female]]</f>
        <v>4</v>
      </c>
      <c r="AR148" s="167">
        <f>tbl_operations[[#This Row],[Interview Styling Non-Binary]]+tbl_operations[[#This Row],[Confidence Styling Non-Binary]]</f>
        <v>0</v>
      </c>
    </row>
    <row r="149" spans="1:44">
      <c r="A149" s="161" t="s">
        <v>26</v>
      </c>
      <c r="B149" s="162" t="s">
        <v>102</v>
      </c>
      <c r="C149" s="161" t="s">
        <v>100</v>
      </c>
      <c r="D149" s="163">
        <v>46230</v>
      </c>
      <c r="E149" s="164" t="str">
        <f t="shared" si="2"/>
        <v>Monday</v>
      </c>
      <c r="F149" s="161">
        <v>0</v>
      </c>
      <c r="G149" s="161">
        <v>0</v>
      </c>
      <c r="H149" s="161">
        <v>0</v>
      </c>
      <c r="I149" s="161">
        <v>0</v>
      </c>
      <c r="J149" s="161">
        <v>0</v>
      </c>
      <c r="K149" s="161">
        <v>3</v>
      </c>
      <c r="L149" s="161">
        <v>3</v>
      </c>
      <c r="M149" s="161">
        <v>1</v>
      </c>
      <c r="N149" s="161">
        <v>2</v>
      </c>
      <c r="O149" s="161">
        <v>0</v>
      </c>
      <c r="P149" s="161">
        <v>1</v>
      </c>
      <c r="Q149" s="161">
        <v>0</v>
      </c>
      <c r="R149" s="161">
        <v>0</v>
      </c>
      <c r="S149" s="161">
        <v>0</v>
      </c>
      <c r="T149" s="165">
        <v>0</v>
      </c>
      <c r="U149" s="165">
        <v>0</v>
      </c>
      <c r="V149" s="161">
        <v>13</v>
      </c>
      <c r="W149" s="166">
        <v>318.05</v>
      </c>
      <c r="X149" s="161">
        <v>1416</v>
      </c>
      <c r="Y149" s="161">
        <v>194</v>
      </c>
      <c r="Z149" s="165">
        <v>3</v>
      </c>
      <c r="AA149" s="165">
        <v>1</v>
      </c>
      <c r="AB149" s="165">
        <v>1</v>
      </c>
      <c r="AC149" s="165">
        <v>0</v>
      </c>
      <c r="AD149" s="165">
        <v>3</v>
      </c>
      <c r="AE149" s="165">
        <v>3</v>
      </c>
      <c r="AF149" s="165">
        <v>11</v>
      </c>
      <c r="AG149" s="165">
        <v>15.5</v>
      </c>
      <c r="AH149" s="165">
        <v>4</v>
      </c>
      <c r="AI149" s="165">
        <v>3</v>
      </c>
      <c r="AJ149" s="165">
        <v>0</v>
      </c>
      <c r="AK149" s="165">
        <v>15</v>
      </c>
      <c r="AL149" s="165">
        <v>12</v>
      </c>
      <c r="AM149" s="165">
        <v>49.5</v>
      </c>
      <c r="AN149" s="167">
        <f>tbl_operations[[#This Row],[Interview Styling Registrations]]+tbl_operations[[#This Row],[Confidence Styling Registrations]]</f>
        <v>3</v>
      </c>
      <c r="AO149" s="167">
        <f>tbl_operations[[#This Row],[Interview Styling Completed]]+tbl_operations[[#This Row],[Confidence Styling Completed]]</f>
        <v>3</v>
      </c>
      <c r="AP149" s="167">
        <f>tbl_operations[[#This Row],[Interview Styling Male]]+tbl_operations[[#This Row],[Confidence Styling Male]]</f>
        <v>1</v>
      </c>
      <c r="AQ149" s="167">
        <f>tbl_operations[[#This Row],[Interview Styling Female]]+tbl_operations[[#This Row],[Confidence Styling Female]]</f>
        <v>2</v>
      </c>
      <c r="AR149" s="167">
        <f>tbl_operations[[#This Row],[Interview Styling Non-Binary]]+tbl_operations[[#This Row],[Confidence Styling Non-Binary]]</f>
        <v>0</v>
      </c>
    </row>
    <row r="150" spans="1:44">
      <c r="A150" s="161" t="s">
        <v>26</v>
      </c>
      <c r="B150" s="162" t="s">
        <v>102</v>
      </c>
      <c r="C150" s="161" t="s">
        <v>100</v>
      </c>
      <c r="D150" s="163">
        <v>46231</v>
      </c>
      <c r="E150" s="164" t="str">
        <f t="shared" si="2"/>
        <v>Tuesday</v>
      </c>
      <c r="F150" s="161">
        <v>0</v>
      </c>
      <c r="G150" s="161">
        <v>0</v>
      </c>
      <c r="H150" s="161">
        <v>0</v>
      </c>
      <c r="I150" s="161">
        <v>0</v>
      </c>
      <c r="J150" s="161">
        <v>0</v>
      </c>
      <c r="K150" s="161">
        <v>2</v>
      </c>
      <c r="L150" s="161">
        <v>2</v>
      </c>
      <c r="M150" s="161">
        <v>0</v>
      </c>
      <c r="N150" s="161">
        <v>2</v>
      </c>
      <c r="O150" s="161">
        <v>0</v>
      </c>
      <c r="P150" s="161">
        <v>0</v>
      </c>
      <c r="Q150" s="161">
        <v>0</v>
      </c>
      <c r="R150" s="161">
        <v>1</v>
      </c>
      <c r="S150" s="161">
        <v>0</v>
      </c>
      <c r="T150" s="165">
        <v>38.5</v>
      </c>
      <c r="U150" s="165">
        <v>15.6</v>
      </c>
      <c r="V150" s="161">
        <v>21</v>
      </c>
      <c r="W150" s="166">
        <v>563.51</v>
      </c>
      <c r="X150" s="161">
        <v>385</v>
      </c>
      <c r="Y150" s="161">
        <v>10</v>
      </c>
      <c r="Z150" s="165">
        <v>2</v>
      </c>
      <c r="AA150" s="165">
        <v>0</v>
      </c>
      <c r="AB150" s="165">
        <v>0</v>
      </c>
      <c r="AC150" s="165">
        <v>1</v>
      </c>
      <c r="AD150" s="165">
        <v>4</v>
      </c>
      <c r="AE150" s="165">
        <v>4</v>
      </c>
      <c r="AF150" s="165">
        <v>11</v>
      </c>
      <c r="AG150" s="165">
        <v>6</v>
      </c>
      <c r="AH150" s="165">
        <v>0</v>
      </c>
      <c r="AI150" s="165">
        <v>0</v>
      </c>
      <c r="AJ150" s="165">
        <v>4</v>
      </c>
      <c r="AK150" s="165">
        <v>14</v>
      </c>
      <c r="AL150" s="165">
        <v>17.5</v>
      </c>
      <c r="AM150" s="165">
        <v>41.5</v>
      </c>
      <c r="AN150" s="167">
        <f>tbl_operations[[#This Row],[Interview Styling Registrations]]+tbl_operations[[#This Row],[Confidence Styling Registrations]]</f>
        <v>2</v>
      </c>
      <c r="AO150" s="167">
        <f>tbl_operations[[#This Row],[Interview Styling Completed]]+tbl_operations[[#This Row],[Confidence Styling Completed]]</f>
        <v>2</v>
      </c>
      <c r="AP150" s="167">
        <f>tbl_operations[[#This Row],[Interview Styling Male]]+tbl_operations[[#This Row],[Confidence Styling Male]]</f>
        <v>0</v>
      </c>
      <c r="AQ150" s="167">
        <f>tbl_operations[[#This Row],[Interview Styling Female]]+tbl_operations[[#This Row],[Confidence Styling Female]]</f>
        <v>2</v>
      </c>
      <c r="AR150" s="167">
        <f>tbl_operations[[#This Row],[Interview Styling Non-Binary]]+tbl_operations[[#This Row],[Confidence Styling Non-Binary]]</f>
        <v>0</v>
      </c>
    </row>
    <row r="151" spans="1:44">
      <c r="A151" s="161" t="s">
        <v>26</v>
      </c>
      <c r="B151" s="162" t="s">
        <v>102</v>
      </c>
      <c r="C151" s="161" t="s">
        <v>100</v>
      </c>
      <c r="D151" s="163">
        <v>46232</v>
      </c>
      <c r="E151" s="164" t="str">
        <f t="shared" si="2"/>
        <v>Wednesday</v>
      </c>
      <c r="F151" s="161">
        <v>3</v>
      </c>
      <c r="G151" s="161">
        <v>2</v>
      </c>
      <c r="H151" s="161">
        <v>1</v>
      </c>
      <c r="I151" s="161">
        <v>1</v>
      </c>
      <c r="J151" s="161">
        <v>0</v>
      </c>
      <c r="K151" s="161">
        <v>1</v>
      </c>
      <c r="L151" s="161">
        <v>1</v>
      </c>
      <c r="M151" s="161">
        <v>1</v>
      </c>
      <c r="N151" s="161">
        <v>0</v>
      </c>
      <c r="O151" s="161">
        <v>0</v>
      </c>
      <c r="P151" s="161">
        <v>1</v>
      </c>
      <c r="Q151" s="161">
        <v>0</v>
      </c>
      <c r="R151" s="161">
        <v>1</v>
      </c>
      <c r="S151" s="161">
        <v>0</v>
      </c>
      <c r="T151" s="165">
        <v>53.4</v>
      </c>
      <c r="U151" s="165">
        <v>0</v>
      </c>
      <c r="V151" s="161">
        <v>12</v>
      </c>
      <c r="W151" s="166">
        <v>362.6</v>
      </c>
      <c r="X151" s="161">
        <v>764</v>
      </c>
      <c r="Y151" s="161">
        <v>122</v>
      </c>
      <c r="Z151" s="165">
        <v>3</v>
      </c>
      <c r="AA151" s="165">
        <v>2</v>
      </c>
      <c r="AB151" s="165">
        <v>0</v>
      </c>
      <c r="AC151" s="165">
        <v>1</v>
      </c>
      <c r="AD151" s="165">
        <v>2</v>
      </c>
      <c r="AE151" s="165">
        <v>4</v>
      </c>
      <c r="AF151" s="165">
        <v>12</v>
      </c>
      <c r="AG151" s="165">
        <v>7.5</v>
      </c>
      <c r="AH151" s="165">
        <v>11</v>
      </c>
      <c r="AI151" s="165">
        <v>0</v>
      </c>
      <c r="AJ151" s="165">
        <v>4.5</v>
      </c>
      <c r="AK151" s="165">
        <v>6</v>
      </c>
      <c r="AL151" s="165">
        <v>8.5</v>
      </c>
      <c r="AM151" s="165">
        <v>37.5</v>
      </c>
      <c r="AN151" s="167">
        <f>tbl_operations[[#This Row],[Interview Styling Registrations]]+tbl_operations[[#This Row],[Confidence Styling Registrations]]</f>
        <v>4</v>
      </c>
      <c r="AO151" s="167">
        <f>tbl_operations[[#This Row],[Interview Styling Completed]]+tbl_operations[[#This Row],[Confidence Styling Completed]]</f>
        <v>3</v>
      </c>
      <c r="AP151" s="167">
        <f>tbl_operations[[#This Row],[Interview Styling Male]]+tbl_operations[[#This Row],[Confidence Styling Male]]</f>
        <v>2</v>
      </c>
      <c r="AQ151" s="167">
        <f>tbl_operations[[#This Row],[Interview Styling Female]]+tbl_operations[[#This Row],[Confidence Styling Female]]</f>
        <v>1</v>
      </c>
      <c r="AR151" s="167">
        <f>tbl_operations[[#This Row],[Interview Styling Non-Binary]]+tbl_operations[[#This Row],[Confidence Styling Non-Binary]]</f>
        <v>0</v>
      </c>
    </row>
    <row r="152" spans="1:44">
      <c r="A152" s="161" t="s">
        <v>26</v>
      </c>
      <c r="B152" s="162" t="s">
        <v>102</v>
      </c>
      <c r="C152" s="161" t="s">
        <v>100</v>
      </c>
      <c r="D152" s="163">
        <v>46233</v>
      </c>
      <c r="E152" s="164" t="str">
        <f t="shared" si="2"/>
        <v>Thursday</v>
      </c>
      <c r="F152" s="161">
        <v>0</v>
      </c>
      <c r="G152" s="161">
        <v>0</v>
      </c>
      <c r="H152" s="161">
        <v>0</v>
      </c>
      <c r="I152" s="161">
        <v>0</v>
      </c>
      <c r="J152" s="161">
        <v>0</v>
      </c>
      <c r="K152" s="161">
        <v>0</v>
      </c>
      <c r="L152" s="161">
        <v>0</v>
      </c>
      <c r="M152" s="161">
        <v>0</v>
      </c>
      <c r="N152" s="161">
        <v>0</v>
      </c>
      <c r="O152" s="161">
        <v>0</v>
      </c>
      <c r="P152" s="161">
        <v>0</v>
      </c>
      <c r="Q152" s="161">
        <v>0</v>
      </c>
      <c r="R152" s="161">
        <v>1</v>
      </c>
      <c r="S152" s="161">
        <v>0</v>
      </c>
      <c r="T152" s="165">
        <v>58.2</v>
      </c>
      <c r="U152" s="165">
        <v>5.3</v>
      </c>
      <c r="V152" s="161">
        <v>18</v>
      </c>
      <c r="W152" s="166">
        <v>286.85</v>
      </c>
      <c r="X152" s="161">
        <v>303</v>
      </c>
      <c r="Y152" s="161">
        <v>37</v>
      </c>
      <c r="Z152" s="165">
        <v>3</v>
      </c>
      <c r="AA152" s="165">
        <v>0</v>
      </c>
      <c r="AB152" s="165">
        <v>2</v>
      </c>
      <c r="AC152" s="165">
        <v>2</v>
      </c>
      <c r="AD152" s="165">
        <v>4</v>
      </c>
      <c r="AE152" s="165">
        <v>3</v>
      </c>
      <c r="AF152" s="165">
        <v>14</v>
      </c>
      <c r="AG152" s="165">
        <v>12.5</v>
      </c>
      <c r="AH152" s="165">
        <v>0</v>
      </c>
      <c r="AI152" s="165">
        <v>4.5</v>
      </c>
      <c r="AJ152" s="165">
        <v>9.5</v>
      </c>
      <c r="AK152" s="165">
        <v>22</v>
      </c>
      <c r="AL152" s="165">
        <v>13.5</v>
      </c>
      <c r="AM152" s="165">
        <v>62</v>
      </c>
      <c r="AN152" s="167">
        <f>tbl_operations[[#This Row],[Interview Styling Registrations]]+tbl_operations[[#This Row],[Confidence Styling Registrations]]</f>
        <v>0</v>
      </c>
      <c r="AO152" s="167">
        <f>tbl_operations[[#This Row],[Interview Styling Completed]]+tbl_operations[[#This Row],[Confidence Styling Completed]]</f>
        <v>0</v>
      </c>
      <c r="AP152" s="167">
        <f>tbl_operations[[#This Row],[Interview Styling Male]]+tbl_operations[[#This Row],[Confidence Styling Male]]</f>
        <v>0</v>
      </c>
      <c r="AQ152" s="167">
        <f>tbl_operations[[#This Row],[Interview Styling Female]]+tbl_operations[[#This Row],[Confidence Styling Female]]</f>
        <v>0</v>
      </c>
      <c r="AR152" s="167">
        <f>tbl_operations[[#This Row],[Interview Styling Non-Binary]]+tbl_operations[[#This Row],[Confidence Styling Non-Binary]]</f>
        <v>0</v>
      </c>
    </row>
    <row r="153" spans="1:44">
      <c r="A153" s="161" t="s">
        <v>26</v>
      </c>
      <c r="B153" s="162" t="s">
        <v>102</v>
      </c>
      <c r="C153" s="161" t="s">
        <v>100</v>
      </c>
      <c r="D153" s="163">
        <v>46234</v>
      </c>
      <c r="E153" s="164" t="str">
        <f t="shared" si="2"/>
        <v>Friday</v>
      </c>
      <c r="F153" s="161">
        <v>0</v>
      </c>
      <c r="G153" s="161">
        <v>0</v>
      </c>
      <c r="H153" s="161">
        <v>0</v>
      </c>
      <c r="I153" s="161">
        <v>0</v>
      </c>
      <c r="J153" s="161">
        <v>0</v>
      </c>
      <c r="K153" s="161">
        <v>3</v>
      </c>
      <c r="L153" s="161">
        <v>3</v>
      </c>
      <c r="M153" s="161">
        <v>0</v>
      </c>
      <c r="N153" s="161">
        <v>3</v>
      </c>
      <c r="O153" s="161">
        <v>0</v>
      </c>
      <c r="P153" s="161">
        <v>0</v>
      </c>
      <c r="Q153" s="161">
        <v>1</v>
      </c>
      <c r="R153" s="161">
        <v>0</v>
      </c>
      <c r="S153" s="161">
        <v>1</v>
      </c>
      <c r="T153" s="165">
        <v>30</v>
      </c>
      <c r="U153" s="165">
        <v>0</v>
      </c>
      <c r="V153" s="161">
        <v>10</v>
      </c>
      <c r="W153" s="166">
        <v>278.09</v>
      </c>
      <c r="X153" s="161">
        <v>803</v>
      </c>
      <c r="Y153" s="161">
        <v>121</v>
      </c>
      <c r="Z153" s="165">
        <v>1</v>
      </c>
      <c r="AA153" s="165">
        <v>1</v>
      </c>
      <c r="AB153" s="165">
        <v>1</v>
      </c>
      <c r="AC153" s="165">
        <v>2</v>
      </c>
      <c r="AD153" s="165">
        <v>2</v>
      </c>
      <c r="AE153" s="165">
        <v>3</v>
      </c>
      <c r="AF153" s="165">
        <v>10</v>
      </c>
      <c r="AG153" s="165">
        <v>5</v>
      </c>
      <c r="AH153" s="165">
        <v>5.5</v>
      </c>
      <c r="AI153" s="165">
        <v>3.5</v>
      </c>
      <c r="AJ153" s="165">
        <v>10.5</v>
      </c>
      <c r="AK153" s="165">
        <v>6.5</v>
      </c>
      <c r="AL153" s="165">
        <v>14.5</v>
      </c>
      <c r="AM153" s="165">
        <v>45.5</v>
      </c>
      <c r="AN153" s="167">
        <f>tbl_operations[[#This Row],[Interview Styling Registrations]]+tbl_operations[[#This Row],[Confidence Styling Registrations]]</f>
        <v>3</v>
      </c>
      <c r="AO153" s="167">
        <f>tbl_operations[[#This Row],[Interview Styling Completed]]+tbl_operations[[#This Row],[Confidence Styling Completed]]</f>
        <v>3</v>
      </c>
      <c r="AP153" s="167">
        <f>tbl_operations[[#This Row],[Interview Styling Male]]+tbl_operations[[#This Row],[Confidence Styling Male]]</f>
        <v>0</v>
      </c>
      <c r="AQ153" s="167">
        <f>tbl_operations[[#This Row],[Interview Styling Female]]+tbl_operations[[#This Row],[Confidence Styling Female]]</f>
        <v>3</v>
      </c>
      <c r="AR153" s="167">
        <f>tbl_operations[[#This Row],[Interview Styling Non-Binary]]+tbl_operations[[#This Row],[Confidence Styling Non-Binary]]</f>
        <v>0</v>
      </c>
    </row>
    <row r="154" spans="1:44">
      <c r="A154" s="161" t="s">
        <v>27</v>
      </c>
      <c r="B154" s="162" t="s">
        <v>102</v>
      </c>
      <c r="C154" s="161" t="s">
        <v>96</v>
      </c>
      <c r="D154" s="163">
        <v>46237</v>
      </c>
      <c r="E154" s="164" t="str">
        <f t="shared" si="2"/>
        <v>Monday</v>
      </c>
      <c r="F154" s="161">
        <v>3</v>
      </c>
      <c r="G154" s="161">
        <v>3</v>
      </c>
      <c r="H154" s="161">
        <v>0</v>
      </c>
      <c r="I154" s="161">
        <v>3</v>
      </c>
      <c r="J154" s="161">
        <v>0</v>
      </c>
      <c r="K154" s="161">
        <v>2</v>
      </c>
      <c r="L154" s="161">
        <v>2</v>
      </c>
      <c r="M154" s="161">
        <v>1</v>
      </c>
      <c r="N154" s="161">
        <v>1</v>
      </c>
      <c r="O154" s="161">
        <v>0</v>
      </c>
      <c r="P154" s="161">
        <v>2</v>
      </c>
      <c r="Q154" s="161">
        <v>0</v>
      </c>
      <c r="R154" s="161">
        <v>0</v>
      </c>
      <c r="S154" s="161">
        <v>0</v>
      </c>
      <c r="T154" s="165">
        <v>18.8</v>
      </c>
      <c r="U154" s="165">
        <v>0</v>
      </c>
      <c r="V154" s="161">
        <v>12</v>
      </c>
      <c r="W154" s="166">
        <v>209.11</v>
      </c>
      <c r="X154" s="161">
        <v>1037</v>
      </c>
      <c r="Y154" s="161">
        <v>79</v>
      </c>
      <c r="Z154" s="165">
        <v>1</v>
      </c>
      <c r="AA154" s="165">
        <v>2</v>
      </c>
      <c r="AB154" s="165">
        <v>1</v>
      </c>
      <c r="AC154" s="165">
        <v>2</v>
      </c>
      <c r="AD154" s="165">
        <v>4</v>
      </c>
      <c r="AE154" s="165">
        <v>3</v>
      </c>
      <c r="AF154" s="165">
        <v>13</v>
      </c>
      <c r="AG154" s="165">
        <v>2</v>
      </c>
      <c r="AH154" s="165">
        <v>10.5</v>
      </c>
      <c r="AI154" s="165">
        <v>5</v>
      </c>
      <c r="AJ154" s="165">
        <v>8</v>
      </c>
      <c r="AK154" s="165">
        <v>12</v>
      </c>
      <c r="AL154" s="165">
        <v>8.5</v>
      </c>
      <c r="AM154" s="165">
        <v>46</v>
      </c>
      <c r="AN154" s="167">
        <f>tbl_operations[[#This Row],[Interview Styling Registrations]]+tbl_operations[[#This Row],[Confidence Styling Registrations]]</f>
        <v>5</v>
      </c>
      <c r="AO154" s="167">
        <f>tbl_operations[[#This Row],[Interview Styling Completed]]+tbl_operations[[#This Row],[Confidence Styling Completed]]</f>
        <v>5</v>
      </c>
      <c r="AP154" s="167">
        <f>tbl_operations[[#This Row],[Interview Styling Male]]+tbl_operations[[#This Row],[Confidence Styling Male]]</f>
        <v>1</v>
      </c>
      <c r="AQ154" s="167">
        <f>tbl_operations[[#This Row],[Interview Styling Female]]+tbl_operations[[#This Row],[Confidence Styling Female]]</f>
        <v>4</v>
      </c>
      <c r="AR154" s="167">
        <f>tbl_operations[[#This Row],[Interview Styling Non-Binary]]+tbl_operations[[#This Row],[Confidence Styling Non-Binary]]</f>
        <v>0</v>
      </c>
    </row>
    <row r="155" spans="1:44">
      <c r="A155" s="161" t="s">
        <v>27</v>
      </c>
      <c r="B155" s="162" t="s">
        <v>102</v>
      </c>
      <c r="C155" s="161" t="s">
        <v>96</v>
      </c>
      <c r="D155" s="163">
        <v>46238</v>
      </c>
      <c r="E155" s="164" t="str">
        <f t="shared" si="2"/>
        <v>Tuesday</v>
      </c>
      <c r="F155" s="161">
        <v>2</v>
      </c>
      <c r="G155" s="161">
        <v>2</v>
      </c>
      <c r="H155" s="161">
        <v>1</v>
      </c>
      <c r="I155" s="161">
        <v>1</v>
      </c>
      <c r="J155" s="161">
        <v>0</v>
      </c>
      <c r="K155" s="161">
        <v>0</v>
      </c>
      <c r="L155" s="161">
        <v>0</v>
      </c>
      <c r="M155" s="161">
        <v>0</v>
      </c>
      <c r="N155" s="161">
        <v>0</v>
      </c>
      <c r="O155" s="161">
        <v>0</v>
      </c>
      <c r="P155" s="161">
        <v>0</v>
      </c>
      <c r="Q155" s="161">
        <v>0</v>
      </c>
      <c r="R155" s="161">
        <v>0</v>
      </c>
      <c r="S155" s="161">
        <v>0</v>
      </c>
      <c r="T155" s="165">
        <v>61.5</v>
      </c>
      <c r="U155" s="165">
        <v>0</v>
      </c>
      <c r="V155" s="161">
        <v>15</v>
      </c>
      <c r="W155" s="166">
        <v>238.13</v>
      </c>
      <c r="X155" s="161">
        <v>434</v>
      </c>
      <c r="Y155" s="161">
        <v>38</v>
      </c>
      <c r="Z155" s="165">
        <v>2</v>
      </c>
      <c r="AA155" s="165">
        <v>1</v>
      </c>
      <c r="AB155" s="165">
        <v>2</v>
      </c>
      <c r="AC155" s="165">
        <v>0</v>
      </c>
      <c r="AD155" s="165">
        <v>5</v>
      </c>
      <c r="AE155" s="165">
        <v>4</v>
      </c>
      <c r="AF155" s="165">
        <v>14</v>
      </c>
      <c r="AG155" s="165">
        <v>8</v>
      </c>
      <c r="AH155" s="165">
        <v>5.5</v>
      </c>
      <c r="AI155" s="165">
        <v>7.5</v>
      </c>
      <c r="AJ155" s="165">
        <v>0</v>
      </c>
      <c r="AK155" s="165">
        <v>14.5</v>
      </c>
      <c r="AL155" s="165">
        <v>8</v>
      </c>
      <c r="AM155" s="165">
        <v>43.5</v>
      </c>
      <c r="AN155" s="167">
        <f>tbl_operations[[#This Row],[Interview Styling Registrations]]+tbl_operations[[#This Row],[Confidence Styling Registrations]]</f>
        <v>2</v>
      </c>
      <c r="AO155" s="167">
        <f>tbl_operations[[#This Row],[Interview Styling Completed]]+tbl_operations[[#This Row],[Confidence Styling Completed]]</f>
        <v>2</v>
      </c>
      <c r="AP155" s="167">
        <f>tbl_operations[[#This Row],[Interview Styling Male]]+tbl_operations[[#This Row],[Confidence Styling Male]]</f>
        <v>1</v>
      </c>
      <c r="AQ155" s="167">
        <f>tbl_operations[[#This Row],[Interview Styling Female]]+tbl_operations[[#This Row],[Confidence Styling Female]]</f>
        <v>1</v>
      </c>
      <c r="AR155" s="167">
        <f>tbl_operations[[#This Row],[Interview Styling Non-Binary]]+tbl_operations[[#This Row],[Confidence Styling Non-Binary]]</f>
        <v>0</v>
      </c>
    </row>
    <row r="156" spans="1:44">
      <c r="A156" s="161" t="s">
        <v>27</v>
      </c>
      <c r="B156" s="162" t="s">
        <v>102</v>
      </c>
      <c r="C156" s="161" t="s">
        <v>96</v>
      </c>
      <c r="D156" s="163">
        <v>46239</v>
      </c>
      <c r="E156" s="164" t="str">
        <f t="shared" si="2"/>
        <v>Wednesday</v>
      </c>
      <c r="F156" s="161">
        <v>1</v>
      </c>
      <c r="G156" s="161">
        <v>0</v>
      </c>
      <c r="H156" s="161">
        <v>0</v>
      </c>
      <c r="I156" s="161">
        <v>0</v>
      </c>
      <c r="J156" s="161">
        <v>0</v>
      </c>
      <c r="K156" s="161">
        <v>2</v>
      </c>
      <c r="L156" s="161">
        <v>1</v>
      </c>
      <c r="M156" s="161">
        <v>1</v>
      </c>
      <c r="N156" s="161">
        <v>0</v>
      </c>
      <c r="O156" s="161">
        <v>0</v>
      </c>
      <c r="P156" s="161">
        <v>0</v>
      </c>
      <c r="Q156" s="161">
        <v>0</v>
      </c>
      <c r="R156" s="161">
        <v>0</v>
      </c>
      <c r="S156" s="161">
        <v>1</v>
      </c>
      <c r="T156" s="165">
        <v>0</v>
      </c>
      <c r="U156" s="165">
        <v>0</v>
      </c>
      <c r="V156" s="161">
        <v>12</v>
      </c>
      <c r="W156" s="166">
        <v>372.47</v>
      </c>
      <c r="X156" s="161">
        <v>856</v>
      </c>
      <c r="Y156" s="161">
        <v>130</v>
      </c>
      <c r="Z156" s="165">
        <v>3</v>
      </c>
      <c r="AA156" s="165">
        <v>2</v>
      </c>
      <c r="AB156" s="165">
        <v>1</v>
      </c>
      <c r="AC156" s="165">
        <v>1</v>
      </c>
      <c r="AD156" s="165">
        <v>3</v>
      </c>
      <c r="AE156" s="165">
        <v>2</v>
      </c>
      <c r="AF156" s="165">
        <v>12</v>
      </c>
      <c r="AG156" s="165">
        <v>15</v>
      </c>
      <c r="AH156" s="165">
        <v>10.5</v>
      </c>
      <c r="AI156" s="165">
        <v>2.5</v>
      </c>
      <c r="AJ156" s="165">
        <v>5.5</v>
      </c>
      <c r="AK156" s="165">
        <v>10.5</v>
      </c>
      <c r="AL156" s="165">
        <v>6</v>
      </c>
      <c r="AM156" s="165">
        <v>50</v>
      </c>
      <c r="AN156" s="167">
        <f>tbl_operations[[#This Row],[Interview Styling Registrations]]+tbl_operations[[#This Row],[Confidence Styling Registrations]]</f>
        <v>3</v>
      </c>
      <c r="AO156" s="167">
        <f>tbl_operations[[#This Row],[Interview Styling Completed]]+tbl_operations[[#This Row],[Confidence Styling Completed]]</f>
        <v>1</v>
      </c>
      <c r="AP156" s="167">
        <f>tbl_operations[[#This Row],[Interview Styling Male]]+tbl_operations[[#This Row],[Confidence Styling Male]]</f>
        <v>1</v>
      </c>
      <c r="AQ156" s="167">
        <f>tbl_operations[[#This Row],[Interview Styling Female]]+tbl_operations[[#This Row],[Confidence Styling Female]]</f>
        <v>0</v>
      </c>
      <c r="AR156" s="167">
        <f>tbl_operations[[#This Row],[Interview Styling Non-Binary]]+tbl_operations[[#This Row],[Confidence Styling Non-Binary]]</f>
        <v>0</v>
      </c>
    </row>
    <row r="157" spans="1:44">
      <c r="A157" s="161" t="s">
        <v>27</v>
      </c>
      <c r="B157" s="162" t="s">
        <v>102</v>
      </c>
      <c r="C157" s="161" t="s">
        <v>96</v>
      </c>
      <c r="D157" s="163">
        <v>46240</v>
      </c>
      <c r="E157" s="164" t="str">
        <f t="shared" si="2"/>
        <v>Thursday</v>
      </c>
      <c r="F157" s="161">
        <v>3</v>
      </c>
      <c r="G157" s="161">
        <v>3</v>
      </c>
      <c r="H157" s="161">
        <v>0</v>
      </c>
      <c r="I157" s="161">
        <v>3</v>
      </c>
      <c r="J157" s="161">
        <v>0</v>
      </c>
      <c r="K157" s="161">
        <v>2</v>
      </c>
      <c r="L157" s="161">
        <v>2</v>
      </c>
      <c r="M157" s="161">
        <v>1</v>
      </c>
      <c r="N157" s="161">
        <v>1</v>
      </c>
      <c r="O157" s="161">
        <v>0</v>
      </c>
      <c r="P157" s="161">
        <v>1</v>
      </c>
      <c r="Q157" s="161">
        <v>0</v>
      </c>
      <c r="R157" s="161">
        <v>0</v>
      </c>
      <c r="S157" s="161">
        <v>0</v>
      </c>
      <c r="T157" s="165">
        <v>30.8</v>
      </c>
      <c r="U157" s="165">
        <v>18.7</v>
      </c>
      <c r="V157" s="161">
        <v>22</v>
      </c>
      <c r="W157" s="166">
        <v>344.19</v>
      </c>
      <c r="X157" s="161">
        <v>1058</v>
      </c>
      <c r="Y157" s="161">
        <v>76</v>
      </c>
      <c r="Z157" s="165">
        <v>2</v>
      </c>
      <c r="AA157" s="165">
        <v>0</v>
      </c>
      <c r="AB157" s="165">
        <v>2</v>
      </c>
      <c r="AC157" s="165">
        <v>1</v>
      </c>
      <c r="AD157" s="165">
        <v>2</v>
      </c>
      <c r="AE157" s="165">
        <v>3</v>
      </c>
      <c r="AF157" s="165">
        <v>10</v>
      </c>
      <c r="AG157" s="165">
        <v>10.5</v>
      </c>
      <c r="AH157" s="165">
        <v>0</v>
      </c>
      <c r="AI157" s="165">
        <v>4.5</v>
      </c>
      <c r="AJ157" s="165">
        <v>3</v>
      </c>
      <c r="AK157" s="165">
        <v>6</v>
      </c>
      <c r="AL157" s="165">
        <v>6.5</v>
      </c>
      <c r="AM157" s="165">
        <v>30.5</v>
      </c>
      <c r="AN157" s="167">
        <f>tbl_operations[[#This Row],[Interview Styling Registrations]]+tbl_operations[[#This Row],[Confidence Styling Registrations]]</f>
        <v>5</v>
      </c>
      <c r="AO157" s="167">
        <f>tbl_operations[[#This Row],[Interview Styling Completed]]+tbl_operations[[#This Row],[Confidence Styling Completed]]</f>
        <v>5</v>
      </c>
      <c r="AP157" s="167">
        <f>tbl_operations[[#This Row],[Interview Styling Male]]+tbl_operations[[#This Row],[Confidence Styling Male]]</f>
        <v>1</v>
      </c>
      <c r="AQ157" s="167">
        <f>tbl_operations[[#This Row],[Interview Styling Female]]+tbl_operations[[#This Row],[Confidence Styling Female]]</f>
        <v>4</v>
      </c>
      <c r="AR157" s="167">
        <f>tbl_operations[[#This Row],[Interview Styling Non-Binary]]+tbl_operations[[#This Row],[Confidence Styling Non-Binary]]</f>
        <v>0</v>
      </c>
    </row>
    <row r="158" spans="1:44">
      <c r="A158" s="161" t="s">
        <v>27</v>
      </c>
      <c r="B158" s="162" t="s">
        <v>102</v>
      </c>
      <c r="C158" s="161" t="s">
        <v>96</v>
      </c>
      <c r="D158" s="163">
        <v>46241</v>
      </c>
      <c r="E158" s="164" t="str">
        <f t="shared" si="2"/>
        <v>Friday</v>
      </c>
      <c r="F158" s="161">
        <v>0</v>
      </c>
      <c r="G158" s="161">
        <v>0</v>
      </c>
      <c r="H158" s="161">
        <v>0</v>
      </c>
      <c r="I158" s="161">
        <v>0</v>
      </c>
      <c r="J158" s="161">
        <v>0</v>
      </c>
      <c r="K158" s="161">
        <v>3</v>
      </c>
      <c r="L158" s="161">
        <v>2</v>
      </c>
      <c r="M158" s="161">
        <v>1</v>
      </c>
      <c r="N158" s="161">
        <v>1</v>
      </c>
      <c r="O158" s="161">
        <v>0</v>
      </c>
      <c r="P158" s="161">
        <v>0</v>
      </c>
      <c r="Q158" s="161">
        <v>0</v>
      </c>
      <c r="R158" s="161">
        <v>0</v>
      </c>
      <c r="S158" s="161">
        <v>0</v>
      </c>
      <c r="T158" s="165">
        <v>33.6</v>
      </c>
      <c r="U158" s="165">
        <v>19.4</v>
      </c>
      <c r="V158" s="161">
        <v>19</v>
      </c>
      <c r="W158" s="166">
        <v>351.66</v>
      </c>
      <c r="X158" s="161">
        <v>203</v>
      </c>
      <c r="Y158" s="161">
        <v>23</v>
      </c>
      <c r="Z158" s="165">
        <v>3</v>
      </c>
      <c r="AA158" s="165">
        <v>0</v>
      </c>
      <c r="AB158" s="165">
        <v>0</v>
      </c>
      <c r="AC158" s="165">
        <v>0</v>
      </c>
      <c r="AD158" s="165">
        <v>2</v>
      </c>
      <c r="AE158" s="165">
        <v>1</v>
      </c>
      <c r="AF158" s="165">
        <v>6</v>
      </c>
      <c r="AG158" s="165">
        <v>11</v>
      </c>
      <c r="AH158" s="165">
        <v>0</v>
      </c>
      <c r="AI158" s="165">
        <v>0</v>
      </c>
      <c r="AJ158" s="165">
        <v>0</v>
      </c>
      <c r="AK158" s="165">
        <v>6.5</v>
      </c>
      <c r="AL158" s="165">
        <v>2.5</v>
      </c>
      <c r="AM158" s="165">
        <v>20</v>
      </c>
      <c r="AN158" s="167">
        <f>tbl_operations[[#This Row],[Interview Styling Registrations]]+tbl_operations[[#This Row],[Confidence Styling Registrations]]</f>
        <v>3</v>
      </c>
      <c r="AO158" s="167">
        <f>tbl_operations[[#This Row],[Interview Styling Completed]]+tbl_operations[[#This Row],[Confidence Styling Completed]]</f>
        <v>2</v>
      </c>
      <c r="AP158" s="167">
        <f>tbl_operations[[#This Row],[Interview Styling Male]]+tbl_operations[[#This Row],[Confidence Styling Male]]</f>
        <v>1</v>
      </c>
      <c r="AQ158" s="167">
        <f>tbl_operations[[#This Row],[Interview Styling Female]]+tbl_operations[[#This Row],[Confidence Styling Female]]</f>
        <v>1</v>
      </c>
      <c r="AR158" s="167">
        <f>tbl_operations[[#This Row],[Interview Styling Non-Binary]]+tbl_operations[[#This Row],[Confidence Styling Non-Binary]]</f>
        <v>0</v>
      </c>
    </row>
    <row r="159" spans="1:44">
      <c r="A159" s="161" t="s">
        <v>27</v>
      </c>
      <c r="B159" s="162" t="s">
        <v>102</v>
      </c>
      <c r="C159" s="161" t="s">
        <v>97</v>
      </c>
      <c r="D159" s="163">
        <v>46244</v>
      </c>
      <c r="E159" s="164" t="str">
        <f t="shared" si="2"/>
        <v>Monday</v>
      </c>
      <c r="F159" s="161">
        <v>4</v>
      </c>
      <c r="G159" s="161">
        <v>4</v>
      </c>
      <c r="H159" s="161">
        <v>1</v>
      </c>
      <c r="I159" s="161">
        <v>3</v>
      </c>
      <c r="J159" s="161">
        <v>0</v>
      </c>
      <c r="K159" s="161">
        <v>2</v>
      </c>
      <c r="L159" s="161">
        <v>2</v>
      </c>
      <c r="M159" s="161">
        <v>1</v>
      </c>
      <c r="N159" s="161">
        <v>1</v>
      </c>
      <c r="O159" s="161">
        <v>0</v>
      </c>
      <c r="P159" s="161">
        <v>1</v>
      </c>
      <c r="Q159" s="161">
        <v>0</v>
      </c>
      <c r="R159" s="161">
        <v>1</v>
      </c>
      <c r="S159" s="161">
        <v>0</v>
      </c>
      <c r="T159" s="165">
        <v>27.7</v>
      </c>
      <c r="U159" s="165">
        <v>9.6</v>
      </c>
      <c r="V159" s="161">
        <v>11</v>
      </c>
      <c r="W159" s="166">
        <v>199.54</v>
      </c>
      <c r="X159" s="161">
        <v>1671</v>
      </c>
      <c r="Y159" s="161">
        <v>226</v>
      </c>
      <c r="Z159" s="165">
        <v>3</v>
      </c>
      <c r="AA159" s="165">
        <v>0</v>
      </c>
      <c r="AB159" s="165">
        <v>1</v>
      </c>
      <c r="AC159" s="165">
        <v>2</v>
      </c>
      <c r="AD159" s="165">
        <v>2</v>
      </c>
      <c r="AE159" s="165">
        <v>2</v>
      </c>
      <c r="AF159" s="165">
        <v>10</v>
      </c>
      <c r="AG159" s="165">
        <v>14</v>
      </c>
      <c r="AH159" s="165">
        <v>0</v>
      </c>
      <c r="AI159" s="165">
        <v>5</v>
      </c>
      <c r="AJ159" s="165">
        <v>6.5</v>
      </c>
      <c r="AK159" s="165">
        <v>4.5</v>
      </c>
      <c r="AL159" s="165">
        <v>10</v>
      </c>
      <c r="AM159" s="165">
        <v>40</v>
      </c>
      <c r="AN159" s="167">
        <f>tbl_operations[[#This Row],[Interview Styling Registrations]]+tbl_operations[[#This Row],[Confidence Styling Registrations]]</f>
        <v>6</v>
      </c>
      <c r="AO159" s="167">
        <f>tbl_operations[[#This Row],[Interview Styling Completed]]+tbl_operations[[#This Row],[Confidence Styling Completed]]</f>
        <v>6</v>
      </c>
      <c r="AP159" s="167">
        <f>tbl_operations[[#This Row],[Interview Styling Male]]+tbl_operations[[#This Row],[Confidence Styling Male]]</f>
        <v>2</v>
      </c>
      <c r="AQ159" s="167">
        <f>tbl_operations[[#This Row],[Interview Styling Female]]+tbl_operations[[#This Row],[Confidence Styling Female]]</f>
        <v>4</v>
      </c>
      <c r="AR159" s="167">
        <f>tbl_operations[[#This Row],[Interview Styling Non-Binary]]+tbl_operations[[#This Row],[Confidence Styling Non-Binary]]</f>
        <v>0</v>
      </c>
    </row>
    <row r="160" spans="1:44">
      <c r="A160" s="161" t="s">
        <v>27</v>
      </c>
      <c r="B160" s="162" t="s">
        <v>102</v>
      </c>
      <c r="C160" s="161" t="s">
        <v>97</v>
      </c>
      <c r="D160" s="163">
        <v>46245</v>
      </c>
      <c r="E160" s="164" t="str">
        <f t="shared" si="2"/>
        <v>Tuesday</v>
      </c>
      <c r="F160" s="161">
        <v>4</v>
      </c>
      <c r="G160" s="161">
        <v>4</v>
      </c>
      <c r="H160" s="161">
        <v>1</v>
      </c>
      <c r="I160" s="161">
        <v>3</v>
      </c>
      <c r="J160" s="161">
        <v>0</v>
      </c>
      <c r="K160" s="161">
        <v>1</v>
      </c>
      <c r="L160" s="161">
        <v>1</v>
      </c>
      <c r="M160" s="161">
        <v>1</v>
      </c>
      <c r="N160" s="161">
        <v>0</v>
      </c>
      <c r="O160" s="161">
        <v>0</v>
      </c>
      <c r="P160" s="161">
        <v>1</v>
      </c>
      <c r="Q160" s="161">
        <v>0</v>
      </c>
      <c r="R160" s="161">
        <v>0</v>
      </c>
      <c r="S160" s="161">
        <v>0</v>
      </c>
      <c r="T160" s="165">
        <v>27.7</v>
      </c>
      <c r="U160" s="165">
        <v>0</v>
      </c>
      <c r="V160" s="161">
        <v>3</v>
      </c>
      <c r="W160" s="166">
        <v>93.08</v>
      </c>
      <c r="X160" s="161">
        <v>1485</v>
      </c>
      <c r="Y160" s="161">
        <v>39</v>
      </c>
      <c r="Z160" s="165">
        <v>4</v>
      </c>
      <c r="AA160" s="165">
        <v>2</v>
      </c>
      <c r="AB160" s="165">
        <v>2</v>
      </c>
      <c r="AC160" s="165">
        <v>1</v>
      </c>
      <c r="AD160" s="165">
        <v>5</v>
      </c>
      <c r="AE160" s="165">
        <v>4</v>
      </c>
      <c r="AF160" s="165">
        <v>18</v>
      </c>
      <c r="AG160" s="165">
        <v>19.5</v>
      </c>
      <c r="AH160" s="165">
        <v>7</v>
      </c>
      <c r="AI160" s="165">
        <v>9.5</v>
      </c>
      <c r="AJ160" s="165">
        <v>5</v>
      </c>
      <c r="AK160" s="165">
        <v>13</v>
      </c>
      <c r="AL160" s="165">
        <v>10</v>
      </c>
      <c r="AM160" s="165">
        <v>64</v>
      </c>
      <c r="AN160" s="167">
        <f>tbl_operations[[#This Row],[Interview Styling Registrations]]+tbl_operations[[#This Row],[Confidence Styling Registrations]]</f>
        <v>5</v>
      </c>
      <c r="AO160" s="167">
        <f>tbl_operations[[#This Row],[Interview Styling Completed]]+tbl_operations[[#This Row],[Confidence Styling Completed]]</f>
        <v>5</v>
      </c>
      <c r="AP160" s="167">
        <f>tbl_operations[[#This Row],[Interview Styling Male]]+tbl_operations[[#This Row],[Confidence Styling Male]]</f>
        <v>2</v>
      </c>
      <c r="AQ160" s="167">
        <f>tbl_operations[[#This Row],[Interview Styling Female]]+tbl_operations[[#This Row],[Confidence Styling Female]]</f>
        <v>3</v>
      </c>
      <c r="AR160" s="167">
        <f>tbl_operations[[#This Row],[Interview Styling Non-Binary]]+tbl_operations[[#This Row],[Confidence Styling Non-Binary]]</f>
        <v>0</v>
      </c>
    </row>
    <row r="161" spans="1:44">
      <c r="A161" s="161" t="s">
        <v>27</v>
      </c>
      <c r="B161" s="162" t="s">
        <v>102</v>
      </c>
      <c r="C161" s="161" t="s">
        <v>97</v>
      </c>
      <c r="D161" s="163">
        <v>46246</v>
      </c>
      <c r="E161" s="164" t="str">
        <f t="shared" si="2"/>
        <v>Wednesday</v>
      </c>
      <c r="F161" s="161">
        <v>3</v>
      </c>
      <c r="G161" s="161">
        <v>3</v>
      </c>
      <c r="H161" s="161">
        <v>1</v>
      </c>
      <c r="I161" s="161">
        <v>2</v>
      </c>
      <c r="J161" s="161">
        <v>0</v>
      </c>
      <c r="K161" s="161">
        <v>3</v>
      </c>
      <c r="L161" s="161">
        <v>3</v>
      </c>
      <c r="M161" s="161">
        <v>0</v>
      </c>
      <c r="N161" s="161">
        <v>3</v>
      </c>
      <c r="O161" s="161">
        <v>0</v>
      </c>
      <c r="P161" s="161">
        <v>2</v>
      </c>
      <c r="Q161" s="161">
        <v>0</v>
      </c>
      <c r="R161" s="161">
        <v>1</v>
      </c>
      <c r="S161" s="161">
        <v>0</v>
      </c>
      <c r="T161" s="165">
        <v>19.6</v>
      </c>
      <c r="U161" s="165">
        <v>0</v>
      </c>
      <c r="V161" s="161">
        <v>16</v>
      </c>
      <c r="W161" s="166">
        <v>256.05</v>
      </c>
      <c r="X161" s="161">
        <v>698</v>
      </c>
      <c r="Y161" s="161">
        <v>74</v>
      </c>
      <c r="Z161" s="165">
        <v>4</v>
      </c>
      <c r="AA161" s="165">
        <v>0</v>
      </c>
      <c r="AB161" s="165">
        <v>1</v>
      </c>
      <c r="AC161" s="165">
        <v>2</v>
      </c>
      <c r="AD161" s="165">
        <v>5</v>
      </c>
      <c r="AE161" s="165">
        <v>1</v>
      </c>
      <c r="AF161" s="165">
        <v>13</v>
      </c>
      <c r="AG161" s="165">
        <v>18.5</v>
      </c>
      <c r="AH161" s="165">
        <v>0</v>
      </c>
      <c r="AI161" s="165">
        <v>3</v>
      </c>
      <c r="AJ161" s="165">
        <v>8</v>
      </c>
      <c r="AK161" s="165">
        <v>22</v>
      </c>
      <c r="AL161" s="165">
        <v>2.5</v>
      </c>
      <c r="AM161" s="165">
        <v>54</v>
      </c>
      <c r="AN161" s="167">
        <f>tbl_operations[[#This Row],[Interview Styling Registrations]]+tbl_operations[[#This Row],[Confidence Styling Registrations]]</f>
        <v>6</v>
      </c>
      <c r="AO161" s="167">
        <f>tbl_operations[[#This Row],[Interview Styling Completed]]+tbl_operations[[#This Row],[Confidence Styling Completed]]</f>
        <v>6</v>
      </c>
      <c r="AP161" s="167">
        <f>tbl_operations[[#This Row],[Interview Styling Male]]+tbl_operations[[#This Row],[Confidence Styling Male]]</f>
        <v>1</v>
      </c>
      <c r="AQ161" s="167">
        <f>tbl_operations[[#This Row],[Interview Styling Female]]+tbl_operations[[#This Row],[Confidence Styling Female]]</f>
        <v>5</v>
      </c>
      <c r="AR161" s="167">
        <f>tbl_operations[[#This Row],[Interview Styling Non-Binary]]+tbl_operations[[#This Row],[Confidence Styling Non-Binary]]</f>
        <v>0</v>
      </c>
    </row>
    <row r="162" spans="1:44">
      <c r="A162" s="161" t="s">
        <v>27</v>
      </c>
      <c r="B162" s="162" t="s">
        <v>102</v>
      </c>
      <c r="C162" s="161" t="s">
        <v>97</v>
      </c>
      <c r="D162" s="163">
        <v>46247</v>
      </c>
      <c r="E162" s="164" t="str">
        <f t="shared" si="2"/>
        <v>Thursday</v>
      </c>
      <c r="F162" s="161">
        <v>4</v>
      </c>
      <c r="G162" s="161">
        <v>4</v>
      </c>
      <c r="H162" s="161">
        <v>1</v>
      </c>
      <c r="I162" s="161">
        <v>3</v>
      </c>
      <c r="J162" s="161">
        <v>0</v>
      </c>
      <c r="K162" s="161">
        <v>3</v>
      </c>
      <c r="L162" s="161">
        <v>3</v>
      </c>
      <c r="M162" s="161">
        <v>0</v>
      </c>
      <c r="N162" s="161">
        <v>3</v>
      </c>
      <c r="O162" s="161">
        <v>0</v>
      </c>
      <c r="P162" s="161">
        <v>0</v>
      </c>
      <c r="Q162" s="161">
        <v>0</v>
      </c>
      <c r="R162" s="161">
        <v>1</v>
      </c>
      <c r="S162" s="161">
        <v>0</v>
      </c>
      <c r="T162" s="165">
        <v>0</v>
      </c>
      <c r="U162" s="165">
        <v>0</v>
      </c>
      <c r="V162" s="161">
        <v>9</v>
      </c>
      <c r="W162" s="166">
        <v>243.37</v>
      </c>
      <c r="X162" s="161">
        <v>387</v>
      </c>
      <c r="Y162" s="161">
        <v>28</v>
      </c>
      <c r="Z162" s="165">
        <v>3</v>
      </c>
      <c r="AA162" s="165">
        <v>1</v>
      </c>
      <c r="AB162" s="165">
        <v>2</v>
      </c>
      <c r="AC162" s="165">
        <v>1</v>
      </c>
      <c r="AD162" s="165">
        <v>5</v>
      </c>
      <c r="AE162" s="165">
        <v>4</v>
      </c>
      <c r="AF162" s="165">
        <v>16</v>
      </c>
      <c r="AG162" s="165">
        <v>8</v>
      </c>
      <c r="AH162" s="165">
        <v>3</v>
      </c>
      <c r="AI162" s="165">
        <v>7</v>
      </c>
      <c r="AJ162" s="165">
        <v>5</v>
      </c>
      <c r="AK162" s="165">
        <v>26</v>
      </c>
      <c r="AL162" s="165">
        <v>18.5</v>
      </c>
      <c r="AM162" s="165">
        <v>67.5</v>
      </c>
      <c r="AN162" s="167">
        <f>tbl_operations[[#This Row],[Interview Styling Registrations]]+tbl_operations[[#This Row],[Confidence Styling Registrations]]</f>
        <v>7</v>
      </c>
      <c r="AO162" s="167">
        <f>tbl_operations[[#This Row],[Interview Styling Completed]]+tbl_operations[[#This Row],[Confidence Styling Completed]]</f>
        <v>7</v>
      </c>
      <c r="AP162" s="167">
        <f>tbl_operations[[#This Row],[Interview Styling Male]]+tbl_operations[[#This Row],[Confidence Styling Male]]</f>
        <v>1</v>
      </c>
      <c r="AQ162" s="167">
        <f>tbl_operations[[#This Row],[Interview Styling Female]]+tbl_operations[[#This Row],[Confidence Styling Female]]</f>
        <v>6</v>
      </c>
      <c r="AR162" s="167">
        <f>tbl_operations[[#This Row],[Interview Styling Non-Binary]]+tbl_operations[[#This Row],[Confidence Styling Non-Binary]]</f>
        <v>0</v>
      </c>
    </row>
    <row r="163" spans="1:44">
      <c r="A163" s="161" t="s">
        <v>27</v>
      </c>
      <c r="B163" s="162" t="s">
        <v>102</v>
      </c>
      <c r="C163" s="161" t="s">
        <v>97</v>
      </c>
      <c r="D163" s="163">
        <v>46248</v>
      </c>
      <c r="E163" s="164" t="str">
        <f t="shared" si="2"/>
        <v>Friday</v>
      </c>
      <c r="F163" s="161">
        <v>3</v>
      </c>
      <c r="G163" s="161">
        <v>3</v>
      </c>
      <c r="H163" s="161">
        <v>1</v>
      </c>
      <c r="I163" s="161">
        <v>2</v>
      </c>
      <c r="J163" s="161">
        <v>0</v>
      </c>
      <c r="K163" s="161">
        <v>3</v>
      </c>
      <c r="L163" s="161">
        <v>3</v>
      </c>
      <c r="M163" s="161">
        <v>0</v>
      </c>
      <c r="N163" s="161">
        <v>3</v>
      </c>
      <c r="O163" s="161">
        <v>0</v>
      </c>
      <c r="P163" s="161">
        <v>0</v>
      </c>
      <c r="Q163" s="161">
        <v>0</v>
      </c>
      <c r="R163" s="161">
        <v>0</v>
      </c>
      <c r="S163" s="161">
        <v>1</v>
      </c>
      <c r="T163" s="165">
        <v>0</v>
      </c>
      <c r="U163" s="165">
        <v>0</v>
      </c>
      <c r="V163" s="161">
        <v>20</v>
      </c>
      <c r="W163" s="166">
        <v>426.1</v>
      </c>
      <c r="X163" s="161">
        <v>1891</v>
      </c>
      <c r="Y163" s="161">
        <v>99</v>
      </c>
      <c r="Z163" s="165">
        <v>2</v>
      </c>
      <c r="AA163" s="165">
        <v>0</v>
      </c>
      <c r="AB163" s="165">
        <v>1</v>
      </c>
      <c r="AC163" s="165">
        <v>2</v>
      </c>
      <c r="AD163" s="165">
        <v>2</v>
      </c>
      <c r="AE163" s="165">
        <v>4</v>
      </c>
      <c r="AF163" s="165">
        <v>11</v>
      </c>
      <c r="AG163" s="165">
        <v>9</v>
      </c>
      <c r="AH163" s="165">
        <v>0</v>
      </c>
      <c r="AI163" s="165">
        <v>5.5</v>
      </c>
      <c r="AJ163" s="165">
        <v>7.5</v>
      </c>
      <c r="AK163" s="165">
        <v>10</v>
      </c>
      <c r="AL163" s="165">
        <v>20</v>
      </c>
      <c r="AM163" s="165">
        <v>52</v>
      </c>
      <c r="AN163" s="167">
        <f>tbl_operations[[#This Row],[Interview Styling Registrations]]+tbl_operations[[#This Row],[Confidence Styling Registrations]]</f>
        <v>6</v>
      </c>
      <c r="AO163" s="167">
        <f>tbl_operations[[#This Row],[Interview Styling Completed]]+tbl_operations[[#This Row],[Confidence Styling Completed]]</f>
        <v>6</v>
      </c>
      <c r="AP163" s="167">
        <f>tbl_operations[[#This Row],[Interview Styling Male]]+tbl_operations[[#This Row],[Confidence Styling Male]]</f>
        <v>1</v>
      </c>
      <c r="AQ163" s="167">
        <f>tbl_operations[[#This Row],[Interview Styling Female]]+tbl_operations[[#This Row],[Confidence Styling Female]]</f>
        <v>5</v>
      </c>
      <c r="AR163" s="167">
        <f>tbl_operations[[#This Row],[Interview Styling Non-Binary]]+tbl_operations[[#This Row],[Confidence Styling Non-Binary]]</f>
        <v>0</v>
      </c>
    </row>
    <row r="164" spans="1:44">
      <c r="A164" s="161" t="s">
        <v>27</v>
      </c>
      <c r="B164" s="162" t="s">
        <v>102</v>
      </c>
      <c r="C164" s="161" t="s">
        <v>98</v>
      </c>
      <c r="D164" s="163">
        <v>46251</v>
      </c>
      <c r="E164" s="164" t="str">
        <f t="shared" si="2"/>
        <v>Monday</v>
      </c>
      <c r="F164" s="161">
        <v>3</v>
      </c>
      <c r="G164" s="161">
        <v>3</v>
      </c>
      <c r="H164" s="161">
        <v>1</v>
      </c>
      <c r="I164" s="161">
        <v>2</v>
      </c>
      <c r="J164" s="161">
        <v>0</v>
      </c>
      <c r="K164" s="161">
        <v>1</v>
      </c>
      <c r="L164" s="161">
        <v>1</v>
      </c>
      <c r="M164" s="161">
        <v>1</v>
      </c>
      <c r="N164" s="161">
        <v>0</v>
      </c>
      <c r="O164" s="161">
        <v>0</v>
      </c>
      <c r="P164" s="161">
        <v>1</v>
      </c>
      <c r="Q164" s="161">
        <v>0</v>
      </c>
      <c r="R164" s="161">
        <v>0</v>
      </c>
      <c r="S164" s="161">
        <v>1</v>
      </c>
      <c r="T164" s="165">
        <v>61.6</v>
      </c>
      <c r="U164" s="165">
        <v>13.5</v>
      </c>
      <c r="V164" s="161">
        <v>17</v>
      </c>
      <c r="W164" s="166">
        <v>265.74</v>
      </c>
      <c r="X164" s="161">
        <v>422</v>
      </c>
      <c r="Y164" s="161">
        <v>67</v>
      </c>
      <c r="Z164" s="165">
        <v>1</v>
      </c>
      <c r="AA164" s="165">
        <v>1</v>
      </c>
      <c r="AB164" s="165">
        <v>1</v>
      </c>
      <c r="AC164" s="165">
        <v>0</v>
      </c>
      <c r="AD164" s="165">
        <v>1</v>
      </c>
      <c r="AE164" s="165">
        <v>2</v>
      </c>
      <c r="AF164" s="165">
        <v>6</v>
      </c>
      <c r="AG164" s="165">
        <v>2.5</v>
      </c>
      <c r="AH164" s="165">
        <v>2</v>
      </c>
      <c r="AI164" s="165">
        <v>5</v>
      </c>
      <c r="AJ164" s="165">
        <v>0</v>
      </c>
      <c r="AK164" s="165">
        <v>5</v>
      </c>
      <c r="AL164" s="165">
        <v>9.5</v>
      </c>
      <c r="AM164" s="165">
        <v>24</v>
      </c>
      <c r="AN164" s="167">
        <f>tbl_operations[[#This Row],[Interview Styling Registrations]]+tbl_operations[[#This Row],[Confidence Styling Registrations]]</f>
        <v>4</v>
      </c>
      <c r="AO164" s="167">
        <f>tbl_operations[[#This Row],[Interview Styling Completed]]+tbl_operations[[#This Row],[Confidence Styling Completed]]</f>
        <v>4</v>
      </c>
      <c r="AP164" s="167">
        <f>tbl_operations[[#This Row],[Interview Styling Male]]+tbl_operations[[#This Row],[Confidence Styling Male]]</f>
        <v>2</v>
      </c>
      <c r="AQ164" s="167">
        <f>tbl_operations[[#This Row],[Interview Styling Female]]+tbl_operations[[#This Row],[Confidence Styling Female]]</f>
        <v>2</v>
      </c>
      <c r="AR164" s="167">
        <f>tbl_operations[[#This Row],[Interview Styling Non-Binary]]+tbl_operations[[#This Row],[Confidence Styling Non-Binary]]</f>
        <v>0</v>
      </c>
    </row>
    <row r="165" spans="1:44">
      <c r="A165" s="161" t="s">
        <v>27</v>
      </c>
      <c r="B165" s="162" t="s">
        <v>102</v>
      </c>
      <c r="C165" s="161" t="s">
        <v>98</v>
      </c>
      <c r="D165" s="163">
        <v>46252</v>
      </c>
      <c r="E165" s="164" t="str">
        <f t="shared" si="2"/>
        <v>Tuesday</v>
      </c>
      <c r="F165" s="161">
        <v>3</v>
      </c>
      <c r="G165" s="161">
        <v>3</v>
      </c>
      <c r="H165" s="161">
        <v>1</v>
      </c>
      <c r="I165" s="161">
        <v>2</v>
      </c>
      <c r="J165" s="161">
        <v>0</v>
      </c>
      <c r="K165" s="161">
        <v>0</v>
      </c>
      <c r="L165" s="161">
        <v>0</v>
      </c>
      <c r="M165" s="161">
        <v>0</v>
      </c>
      <c r="N165" s="161">
        <v>0</v>
      </c>
      <c r="O165" s="161">
        <v>0</v>
      </c>
      <c r="P165" s="161">
        <v>1</v>
      </c>
      <c r="Q165" s="161">
        <v>0</v>
      </c>
      <c r="R165" s="161">
        <v>0</v>
      </c>
      <c r="S165" s="161">
        <v>0</v>
      </c>
      <c r="T165" s="165">
        <v>0</v>
      </c>
      <c r="U165" s="165">
        <v>0</v>
      </c>
      <c r="V165" s="161">
        <v>12</v>
      </c>
      <c r="W165" s="166">
        <v>177.09</v>
      </c>
      <c r="X165" s="161">
        <v>1704</v>
      </c>
      <c r="Y165" s="161">
        <v>154</v>
      </c>
      <c r="Z165" s="165">
        <v>2</v>
      </c>
      <c r="AA165" s="165">
        <v>0</v>
      </c>
      <c r="AB165" s="165">
        <v>1</v>
      </c>
      <c r="AC165" s="165">
        <v>1</v>
      </c>
      <c r="AD165" s="165">
        <v>1</v>
      </c>
      <c r="AE165" s="165">
        <v>2</v>
      </c>
      <c r="AF165" s="165">
        <v>7</v>
      </c>
      <c r="AG165" s="165">
        <v>7</v>
      </c>
      <c r="AH165" s="165">
        <v>0</v>
      </c>
      <c r="AI165" s="165">
        <v>5.5</v>
      </c>
      <c r="AJ165" s="165">
        <v>4</v>
      </c>
      <c r="AK165" s="165">
        <v>5.5</v>
      </c>
      <c r="AL165" s="165">
        <v>9.5</v>
      </c>
      <c r="AM165" s="165">
        <v>31.5</v>
      </c>
      <c r="AN165" s="167">
        <f>tbl_operations[[#This Row],[Interview Styling Registrations]]+tbl_operations[[#This Row],[Confidence Styling Registrations]]</f>
        <v>3</v>
      </c>
      <c r="AO165" s="167">
        <f>tbl_operations[[#This Row],[Interview Styling Completed]]+tbl_operations[[#This Row],[Confidence Styling Completed]]</f>
        <v>3</v>
      </c>
      <c r="AP165" s="167">
        <f>tbl_operations[[#This Row],[Interview Styling Male]]+tbl_operations[[#This Row],[Confidence Styling Male]]</f>
        <v>1</v>
      </c>
      <c r="AQ165" s="167">
        <f>tbl_operations[[#This Row],[Interview Styling Female]]+tbl_operations[[#This Row],[Confidence Styling Female]]</f>
        <v>2</v>
      </c>
      <c r="AR165" s="167">
        <f>tbl_operations[[#This Row],[Interview Styling Non-Binary]]+tbl_operations[[#This Row],[Confidence Styling Non-Binary]]</f>
        <v>0</v>
      </c>
    </row>
    <row r="166" spans="1:44">
      <c r="A166" s="161" t="s">
        <v>27</v>
      </c>
      <c r="B166" s="162" t="s">
        <v>102</v>
      </c>
      <c r="C166" s="161" t="s">
        <v>98</v>
      </c>
      <c r="D166" s="163">
        <v>46253</v>
      </c>
      <c r="E166" s="164" t="str">
        <f t="shared" si="2"/>
        <v>Wednesday</v>
      </c>
      <c r="F166" s="161">
        <v>2</v>
      </c>
      <c r="G166" s="161">
        <v>2</v>
      </c>
      <c r="H166" s="161">
        <v>0</v>
      </c>
      <c r="I166" s="161">
        <v>2</v>
      </c>
      <c r="J166" s="161">
        <v>0</v>
      </c>
      <c r="K166" s="161">
        <v>3</v>
      </c>
      <c r="L166" s="161">
        <v>2</v>
      </c>
      <c r="M166" s="161">
        <v>0</v>
      </c>
      <c r="N166" s="161">
        <v>2</v>
      </c>
      <c r="O166" s="161">
        <v>0</v>
      </c>
      <c r="P166" s="161">
        <v>2</v>
      </c>
      <c r="Q166" s="161">
        <v>0</v>
      </c>
      <c r="R166" s="161">
        <v>0</v>
      </c>
      <c r="S166" s="161">
        <v>0</v>
      </c>
      <c r="T166" s="165">
        <v>0</v>
      </c>
      <c r="U166" s="165">
        <v>0</v>
      </c>
      <c r="V166" s="161">
        <v>14</v>
      </c>
      <c r="W166" s="166">
        <v>352.35</v>
      </c>
      <c r="X166" s="161">
        <v>1876</v>
      </c>
      <c r="Y166" s="161">
        <v>41</v>
      </c>
      <c r="Z166" s="165">
        <v>4</v>
      </c>
      <c r="AA166" s="165">
        <v>1</v>
      </c>
      <c r="AB166" s="165">
        <v>2</v>
      </c>
      <c r="AC166" s="165">
        <v>2</v>
      </c>
      <c r="AD166" s="165">
        <v>1</v>
      </c>
      <c r="AE166" s="165">
        <v>4</v>
      </c>
      <c r="AF166" s="165">
        <v>14</v>
      </c>
      <c r="AG166" s="165">
        <v>18</v>
      </c>
      <c r="AH166" s="165">
        <v>4</v>
      </c>
      <c r="AI166" s="165">
        <v>5</v>
      </c>
      <c r="AJ166" s="165">
        <v>5</v>
      </c>
      <c r="AK166" s="165">
        <v>4.5</v>
      </c>
      <c r="AL166" s="165">
        <v>17.5</v>
      </c>
      <c r="AM166" s="165">
        <v>54</v>
      </c>
      <c r="AN166" s="167">
        <f>tbl_operations[[#This Row],[Interview Styling Registrations]]+tbl_operations[[#This Row],[Confidence Styling Registrations]]</f>
        <v>5</v>
      </c>
      <c r="AO166" s="167">
        <f>tbl_operations[[#This Row],[Interview Styling Completed]]+tbl_operations[[#This Row],[Confidence Styling Completed]]</f>
        <v>4</v>
      </c>
      <c r="AP166" s="167">
        <f>tbl_operations[[#This Row],[Interview Styling Male]]+tbl_operations[[#This Row],[Confidence Styling Male]]</f>
        <v>0</v>
      </c>
      <c r="AQ166" s="167">
        <f>tbl_operations[[#This Row],[Interview Styling Female]]+tbl_operations[[#This Row],[Confidence Styling Female]]</f>
        <v>4</v>
      </c>
      <c r="AR166" s="167">
        <f>tbl_operations[[#This Row],[Interview Styling Non-Binary]]+tbl_operations[[#This Row],[Confidence Styling Non-Binary]]</f>
        <v>0</v>
      </c>
    </row>
    <row r="167" spans="1:44">
      <c r="A167" s="161" t="s">
        <v>27</v>
      </c>
      <c r="B167" s="162" t="s">
        <v>102</v>
      </c>
      <c r="C167" s="161" t="s">
        <v>98</v>
      </c>
      <c r="D167" s="163">
        <v>46254</v>
      </c>
      <c r="E167" s="164" t="str">
        <f t="shared" si="2"/>
        <v>Thursday</v>
      </c>
      <c r="F167" s="161">
        <v>0</v>
      </c>
      <c r="G167" s="161">
        <v>0</v>
      </c>
      <c r="H167" s="161">
        <v>0</v>
      </c>
      <c r="I167" s="161">
        <v>0</v>
      </c>
      <c r="J167" s="161">
        <v>0</v>
      </c>
      <c r="K167" s="161">
        <v>2</v>
      </c>
      <c r="L167" s="161">
        <v>1</v>
      </c>
      <c r="M167" s="161">
        <v>0</v>
      </c>
      <c r="N167" s="161">
        <v>1</v>
      </c>
      <c r="O167" s="161">
        <v>0</v>
      </c>
      <c r="P167" s="161">
        <v>1</v>
      </c>
      <c r="Q167" s="161">
        <v>0</v>
      </c>
      <c r="R167" s="161">
        <v>0</v>
      </c>
      <c r="S167" s="161">
        <v>0</v>
      </c>
      <c r="T167" s="165">
        <v>40.1</v>
      </c>
      <c r="U167" s="165">
        <v>15.7</v>
      </c>
      <c r="V167" s="161">
        <v>15</v>
      </c>
      <c r="W167" s="166">
        <v>194.08</v>
      </c>
      <c r="X167" s="161">
        <v>698</v>
      </c>
      <c r="Y167" s="161">
        <v>47</v>
      </c>
      <c r="Z167" s="165">
        <v>4</v>
      </c>
      <c r="AA167" s="165">
        <v>1</v>
      </c>
      <c r="AB167" s="165">
        <v>0</v>
      </c>
      <c r="AC167" s="165">
        <v>0</v>
      </c>
      <c r="AD167" s="165">
        <v>5</v>
      </c>
      <c r="AE167" s="165">
        <v>2</v>
      </c>
      <c r="AF167" s="165">
        <v>12</v>
      </c>
      <c r="AG167" s="165">
        <v>15.5</v>
      </c>
      <c r="AH167" s="165">
        <v>2.5</v>
      </c>
      <c r="AI167" s="165">
        <v>0</v>
      </c>
      <c r="AJ167" s="165">
        <v>0</v>
      </c>
      <c r="AK167" s="165">
        <v>17</v>
      </c>
      <c r="AL167" s="165">
        <v>6</v>
      </c>
      <c r="AM167" s="165">
        <v>41</v>
      </c>
      <c r="AN167" s="167">
        <f>tbl_operations[[#This Row],[Interview Styling Registrations]]+tbl_operations[[#This Row],[Confidence Styling Registrations]]</f>
        <v>2</v>
      </c>
      <c r="AO167" s="167">
        <f>tbl_operations[[#This Row],[Interview Styling Completed]]+tbl_operations[[#This Row],[Confidence Styling Completed]]</f>
        <v>1</v>
      </c>
      <c r="AP167" s="167">
        <f>tbl_operations[[#This Row],[Interview Styling Male]]+tbl_operations[[#This Row],[Confidence Styling Male]]</f>
        <v>0</v>
      </c>
      <c r="AQ167" s="167">
        <f>tbl_operations[[#This Row],[Interview Styling Female]]+tbl_operations[[#This Row],[Confidence Styling Female]]</f>
        <v>1</v>
      </c>
      <c r="AR167" s="167">
        <f>tbl_operations[[#This Row],[Interview Styling Non-Binary]]+tbl_operations[[#This Row],[Confidence Styling Non-Binary]]</f>
        <v>0</v>
      </c>
    </row>
    <row r="168" spans="1:44">
      <c r="A168" s="161" t="s">
        <v>27</v>
      </c>
      <c r="B168" s="162" t="s">
        <v>102</v>
      </c>
      <c r="C168" s="161" t="s">
        <v>98</v>
      </c>
      <c r="D168" s="163">
        <v>46255</v>
      </c>
      <c r="E168" s="164" t="str">
        <f t="shared" si="2"/>
        <v>Friday</v>
      </c>
      <c r="F168" s="161">
        <v>0</v>
      </c>
      <c r="G168" s="161">
        <v>0</v>
      </c>
      <c r="H168" s="161">
        <v>0</v>
      </c>
      <c r="I168" s="161">
        <v>0</v>
      </c>
      <c r="J168" s="161">
        <v>0</v>
      </c>
      <c r="K168" s="161">
        <v>0</v>
      </c>
      <c r="L168" s="161">
        <v>0</v>
      </c>
      <c r="M168" s="161">
        <v>0</v>
      </c>
      <c r="N168" s="161">
        <v>0</v>
      </c>
      <c r="O168" s="161">
        <v>0</v>
      </c>
      <c r="P168" s="161">
        <v>0</v>
      </c>
      <c r="Q168" s="161">
        <v>1</v>
      </c>
      <c r="R168" s="161">
        <v>0</v>
      </c>
      <c r="S168" s="161">
        <v>0</v>
      </c>
      <c r="T168" s="165">
        <v>26.3</v>
      </c>
      <c r="U168" s="165">
        <v>11.6</v>
      </c>
      <c r="V168" s="161">
        <v>5</v>
      </c>
      <c r="W168" s="166">
        <v>121.78</v>
      </c>
      <c r="X168" s="161">
        <v>542</v>
      </c>
      <c r="Y168" s="161">
        <v>61</v>
      </c>
      <c r="Z168" s="165">
        <v>1</v>
      </c>
      <c r="AA168" s="165">
        <v>0</v>
      </c>
      <c r="AB168" s="165">
        <v>0</v>
      </c>
      <c r="AC168" s="165">
        <v>1</v>
      </c>
      <c r="AD168" s="165">
        <v>2</v>
      </c>
      <c r="AE168" s="165">
        <v>2</v>
      </c>
      <c r="AF168" s="165">
        <v>6</v>
      </c>
      <c r="AG168" s="165">
        <v>2.5</v>
      </c>
      <c r="AH168" s="165">
        <v>0</v>
      </c>
      <c r="AI168" s="165">
        <v>0</v>
      </c>
      <c r="AJ168" s="165">
        <v>3.5</v>
      </c>
      <c r="AK168" s="165">
        <v>7.5</v>
      </c>
      <c r="AL168" s="165">
        <v>6</v>
      </c>
      <c r="AM168" s="165">
        <v>19.5</v>
      </c>
      <c r="AN168" s="167">
        <f>tbl_operations[[#This Row],[Interview Styling Registrations]]+tbl_operations[[#This Row],[Confidence Styling Registrations]]</f>
        <v>0</v>
      </c>
      <c r="AO168" s="167">
        <f>tbl_operations[[#This Row],[Interview Styling Completed]]+tbl_operations[[#This Row],[Confidence Styling Completed]]</f>
        <v>0</v>
      </c>
      <c r="AP168" s="167">
        <f>tbl_operations[[#This Row],[Interview Styling Male]]+tbl_operations[[#This Row],[Confidence Styling Male]]</f>
        <v>0</v>
      </c>
      <c r="AQ168" s="167">
        <f>tbl_operations[[#This Row],[Interview Styling Female]]+tbl_operations[[#This Row],[Confidence Styling Female]]</f>
        <v>0</v>
      </c>
      <c r="AR168" s="167">
        <f>tbl_operations[[#This Row],[Interview Styling Non-Binary]]+tbl_operations[[#This Row],[Confidence Styling Non-Binary]]</f>
        <v>0</v>
      </c>
    </row>
    <row r="169" spans="1:44">
      <c r="A169" s="161" t="s">
        <v>27</v>
      </c>
      <c r="B169" s="162" t="s">
        <v>102</v>
      </c>
      <c r="C169" s="161" t="s">
        <v>99</v>
      </c>
      <c r="D169" s="163">
        <v>46258</v>
      </c>
      <c r="E169" s="164" t="str">
        <f t="shared" si="2"/>
        <v>Monday</v>
      </c>
      <c r="F169" s="161">
        <v>2</v>
      </c>
      <c r="G169" s="161">
        <v>2</v>
      </c>
      <c r="H169" s="161">
        <v>0</v>
      </c>
      <c r="I169" s="161">
        <v>2</v>
      </c>
      <c r="J169" s="161">
        <v>0</v>
      </c>
      <c r="K169" s="161">
        <v>2</v>
      </c>
      <c r="L169" s="161">
        <v>1</v>
      </c>
      <c r="M169" s="161">
        <v>1</v>
      </c>
      <c r="N169" s="161">
        <v>0</v>
      </c>
      <c r="O169" s="161">
        <v>0</v>
      </c>
      <c r="P169" s="161">
        <v>2</v>
      </c>
      <c r="Q169" s="161">
        <v>0</v>
      </c>
      <c r="R169" s="161">
        <v>0</v>
      </c>
      <c r="S169" s="161">
        <v>0</v>
      </c>
      <c r="T169" s="165">
        <v>50</v>
      </c>
      <c r="U169" s="165">
        <v>0</v>
      </c>
      <c r="V169" s="161">
        <v>12</v>
      </c>
      <c r="W169" s="166">
        <v>239.35</v>
      </c>
      <c r="X169" s="161">
        <v>845</v>
      </c>
      <c r="Y169" s="161">
        <v>76</v>
      </c>
      <c r="Z169" s="165">
        <v>2</v>
      </c>
      <c r="AA169" s="165">
        <v>0</v>
      </c>
      <c r="AB169" s="165">
        <v>2</v>
      </c>
      <c r="AC169" s="165">
        <v>1</v>
      </c>
      <c r="AD169" s="165">
        <v>2</v>
      </c>
      <c r="AE169" s="165">
        <v>2</v>
      </c>
      <c r="AF169" s="165">
        <v>9</v>
      </c>
      <c r="AG169" s="165">
        <v>7</v>
      </c>
      <c r="AH169" s="165">
        <v>0</v>
      </c>
      <c r="AI169" s="165">
        <v>10.5</v>
      </c>
      <c r="AJ169" s="165">
        <v>3</v>
      </c>
      <c r="AK169" s="165">
        <v>7</v>
      </c>
      <c r="AL169" s="165">
        <v>10</v>
      </c>
      <c r="AM169" s="165">
        <v>37.5</v>
      </c>
      <c r="AN169" s="167">
        <f>tbl_operations[[#This Row],[Interview Styling Registrations]]+tbl_operations[[#This Row],[Confidence Styling Registrations]]</f>
        <v>4</v>
      </c>
      <c r="AO169" s="167">
        <f>tbl_operations[[#This Row],[Interview Styling Completed]]+tbl_operations[[#This Row],[Confidence Styling Completed]]</f>
        <v>3</v>
      </c>
      <c r="AP169" s="167">
        <f>tbl_operations[[#This Row],[Interview Styling Male]]+tbl_operations[[#This Row],[Confidence Styling Male]]</f>
        <v>1</v>
      </c>
      <c r="AQ169" s="167">
        <f>tbl_operations[[#This Row],[Interview Styling Female]]+tbl_operations[[#This Row],[Confidence Styling Female]]</f>
        <v>2</v>
      </c>
      <c r="AR169" s="167">
        <f>tbl_operations[[#This Row],[Interview Styling Non-Binary]]+tbl_operations[[#This Row],[Confidence Styling Non-Binary]]</f>
        <v>0</v>
      </c>
    </row>
    <row r="170" spans="1:44">
      <c r="A170" s="161" t="s">
        <v>27</v>
      </c>
      <c r="B170" s="162" t="s">
        <v>102</v>
      </c>
      <c r="C170" s="161" t="s">
        <v>99</v>
      </c>
      <c r="D170" s="163">
        <v>46259</v>
      </c>
      <c r="E170" s="164" t="str">
        <f t="shared" si="2"/>
        <v>Tuesday</v>
      </c>
      <c r="F170" s="161">
        <v>0</v>
      </c>
      <c r="G170" s="161">
        <v>0</v>
      </c>
      <c r="H170" s="161">
        <v>0</v>
      </c>
      <c r="I170" s="161">
        <v>0</v>
      </c>
      <c r="J170" s="161">
        <v>0</v>
      </c>
      <c r="K170" s="161">
        <v>3</v>
      </c>
      <c r="L170" s="161">
        <v>3</v>
      </c>
      <c r="M170" s="161">
        <v>1</v>
      </c>
      <c r="N170" s="161">
        <v>2</v>
      </c>
      <c r="O170" s="161">
        <v>0</v>
      </c>
      <c r="P170" s="161">
        <v>1</v>
      </c>
      <c r="Q170" s="161">
        <v>0</v>
      </c>
      <c r="R170" s="161">
        <v>1</v>
      </c>
      <c r="S170" s="161">
        <v>0</v>
      </c>
      <c r="T170" s="165">
        <v>64</v>
      </c>
      <c r="U170" s="165">
        <v>11.2</v>
      </c>
      <c r="V170" s="161">
        <v>22</v>
      </c>
      <c r="W170" s="166">
        <v>276.37</v>
      </c>
      <c r="X170" s="161">
        <v>300</v>
      </c>
      <c r="Y170" s="161">
        <v>30</v>
      </c>
      <c r="Z170" s="165">
        <v>4</v>
      </c>
      <c r="AA170" s="165">
        <v>1</v>
      </c>
      <c r="AB170" s="165">
        <v>0</v>
      </c>
      <c r="AC170" s="165">
        <v>1</v>
      </c>
      <c r="AD170" s="165">
        <v>2</v>
      </c>
      <c r="AE170" s="165">
        <v>3</v>
      </c>
      <c r="AF170" s="165">
        <v>11</v>
      </c>
      <c r="AG170" s="165">
        <v>13.5</v>
      </c>
      <c r="AH170" s="165">
        <v>3.5</v>
      </c>
      <c r="AI170" s="165">
        <v>0</v>
      </c>
      <c r="AJ170" s="165">
        <v>3</v>
      </c>
      <c r="AK170" s="165">
        <v>8.5</v>
      </c>
      <c r="AL170" s="165">
        <v>6.5</v>
      </c>
      <c r="AM170" s="165">
        <v>35</v>
      </c>
      <c r="AN170" s="167">
        <f>tbl_operations[[#This Row],[Interview Styling Registrations]]+tbl_operations[[#This Row],[Confidence Styling Registrations]]</f>
        <v>3</v>
      </c>
      <c r="AO170" s="167">
        <f>tbl_operations[[#This Row],[Interview Styling Completed]]+tbl_operations[[#This Row],[Confidence Styling Completed]]</f>
        <v>3</v>
      </c>
      <c r="AP170" s="167">
        <f>tbl_operations[[#This Row],[Interview Styling Male]]+tbl_operations[[#This Row],[Confidence Styling Male]]</f>
        <v>1</v>
      </c>
      <c r="AQ170" s="167">
        <f>tbl_operations[[#This Row],[Interview Styling Female]]+tbl_operations[[#This Row],[Confidence Styling Female]]</f>
        <v>2</v>
      </c>
      <c r="AR170" s="167">
        <f>tbl_operations[[#This Row],[Interview Styling Non-Binary]]+tbl_operations[[#This Row],[Confidence Styling Non-Binary]]</f>
        <v>0</v>
      </c>
    </row>
    <row r="171" spans="1:44">
      <c r="A171" s="161" t="s">
        <v>27</v>
      </c>
      <c r="B171" s="162" t="s">
        <v>102</v>
      </c>
      <c r="C171" s="161" t="s">
        <v>99</v>
      </c>
      <c r="D171" s="163">
        <v>46260</v>
      </c>
      <c r="E171" s="164" t="str">
        <f t="shared" si="2"/>
        <v>Wednesday</v>
      </c>
      <c r="F171" s="161">
        <v>3</v>
      </c>
      <c r="G171" s="161">
        <v>3</v>
      </c>
      <c r="H171" s="161">
        <v>0</v>
      </c>
      <c r="I171" s="161">
        <v>3</v>
      </c>
      <c r="J171" s="161">
        <v>0</v>
      </c>
      <c r="K171" s="161">
        <v>3</v>
      </c>
      <c r="L171" s="161">
        <v>3</v>
      </c>
      <c r="M171" s="161">
        <v>0</v>
      </c>
      <c r="N171" s="161">
        <v>3</v>
      </c>
      <c r="O171" s="161">
        <v>0</v>
      </c>
      <c r="P171" s="161">
        <v>0</v>
      </c>
      <c r="Q171" s="161">
        <v>0</v>
      </c>
      <c r="R171" s="161">
        <v>0</v>
      </c>
      <c r="S171" s="161">
        <v>0</v>
      </c>
      <c r="T171" s="165">
        <v>56.5</v>
      </c>
      <c r="U171" s="165">
        <v>0</v>
      </c>
      <c r="V171" s="161">
        <v>17</v>
      </c>
      <c r="W171" s="166">
        <v>283.27</v>
      </c>
      <c r="X171" s="161">
        <v>248</v>
      </c>
      <c r="Y171" s="161">
        <v>24</v>
      </c>
      <c r="Z171" s="165">
        <v>1</v>
      </c>
      <c r="AA171" s="165">
        <v>1</v>
      </c>
      <c r="AB171" s="165">
        <v>2</v>
      </c>
      <c r="AC171" s="165">
        <v>2</v>
      </c>
      <c r="AD171" s="165">
        <v>1</v>
      </c>
      <c r="AE171" s="165">
        <v>4</v>
      </c>
      <c r="AF171" s="165">
        <v>11</v>
      </c>
      <c r="AG171" s="165">
        <v>3.5</v>
      </c>
      <c r="AH171" s="165">
        <v>2.5</v>
      </c>
      <c r="AI171" s="165">
        <v>7</v>
      </c>
      <c r="AJ171" s="165">
        <v>10.5</v>
      </c>
      <c r="AK171" s="165">
        <v>4</v>
      </c>
      <c r="AL171" s="165">
        <v>10.5</v>
      </c>
      <c r="AM171" s="165">
        <v>38</v>
      </c>
      <c r="AN171" s="167">
        <f>tbl_operations[[#This Row],[Interview Styling Registrations]]+tbl_operations[[#This Row],[Confidence Styling Registrations]]</f>
        <v>6</v>
      </c>
      <c r="AO171" s="167">
        <f>tbl_operations[[#This Row],[Interview Styling Completed]]+tbl_operations[[#This Row],[Confidence Styling Completed]]</f>
        <v>6</v>
      </c>
      <c r="AP171" s="167">
        <f>tbl_operations[[#This Row],[Interview Styling Male]]+tbl_operations[[#This Row],[Confidence Styling Male]]</f>
        <v>0</v>
      </c>
      <c r="AQ171" s="167">
        <f>tbl_operations[[#This Row],[Interview Styling Female]]+tbl_operations[[#This Row],[Confidence Styling Female]]</f>
        <v>6</v>
      </c>
      <c r="AR171" s="167">
        <f>tbl_operations[[#This Row],[Interview Styling Non-Binary]]+tbl_operations[[#This Row],[Confidence Styling Non-Binary]]</f>
        <v>0</v>
      </c>
    </row>
    <row r="172" spans="1:44">
      <c r="A172" s="161" t="s">
        <v>27</v>
      </c>
      <c r="B172" s="162" t="s">
        <v>102</v>
      </c>
      <c r="C172" s="161" t="s">
        <v>99</v>
      </c>
      <c r="D172" s="163">
        <v>46261</v>
      </c>
      <c r="E172" s="164" t="str">
        <f t="shared" si="2"/>
        <v>Thursday</v>
      </c>
      <c r="F172" s="161">
        <v>4</v>
      </c>
      <c r="G172" s="161">
        <v>3</v>
      </c>
      <c r="H172" s="161">
        <v>0</v>
      </c>
      <c r="I172" s="161">
        <v>3</v>
      </c>
      <c r="J172" s="161">
        <v>0</v>
      </c>
      <c r="K172" s="161">
        <v>2</v>
      </c>
      <c r="L172" s="161">
        <v>1</v>
      </c>
      <c r="M172" s="161">
        <v>0</v>
      </c>
      <c r="N172" s="161">
        <v>1</v>
      </c>
      <c r="O172" s="161">
        <v>0</v>
      </c>
      <c r="P172" s="161">
        <v>0</v>
      </c>
      <c r="Q172" s="161">
        <v>0</v>
      </c>
      <c r="R172" s="161">
        <v>1</v>
      </c>
      <c r="S172" s="161">
        <v>0</v>
      </c>
      <c r="T172" s="165">
        <v>32.8</v>
      </c>
      <c r="U172" s="165">
        <v>0</v>
      </c>
      <c r="V172" s="161">
        <v>4</v>
      </c>
      <c r="W172" s="166">
        <v>94.61</v>
      </c>
      <c r="X172" s="161">
        <v>2078</v>
      </c>
      <c r="Y172" s="161">
        <v>295</v>
      </c>
      <c r="Z172" s="165">
        <v>1</v>
      </c>
      <c r="AA172" s="165">
        <v>0</v>
      </c>
      <c r="AB172" s="165">
        <v>2</v>
      </c>
      <c r="AC172" s="165">
        <v>2</v>
      </c>
      <c r="AD172" s="165">
        <v>5</v>
      </c>
      <c r="AE172" s="165">
        <v>4</v>
      </c>
      <c r="AF172" s="165">
        <v>14</v>
      </c>
      <c r="AG172" s="165">
        <v>5</v>
      </c>
      <c r="AH172" s="165">
        <v>0</v>
      </c>
      <c r="AI172" s="165">
        <v>7.5</v>
      </c>
      <c r="AJ172" s="165">
        <v>10.5</v>
      </c>
      <c r="AK172" s="165">
        <v>25.5</v>
      </c>
      <c r="AL172" s="165">
        <v>17.5</v>
      </c>
      <c r="AM172" s="165">
        <v>66</v>
      </c>
      <c r="AN172" s="167">
        <f>tbl_operations[[#This Row],[Interview Styling Registrations]]+tbl_operations[[#This Row],[Confidence Styling Registrations]]</f>
        <v>6</v>
      </c>
      <c r="AO172" s="167">
        <f>tbl_operations[[#This Row],[Interview Styling Completed]]+tbl_operations[[#This Row],[Confidence Styling Completed]]</f>
        <v>4</v>
      </c>
      <c r="AP172" s="167">
        <f>tbl_operations[[#This Row],[Interview Styling Male]]+tbl_operations[[#This Row],[Confidence Styling Male]]</f>
        <v>0</v>
      </c>
      <c r="AQ172" s="167">
        <f>tbl_operations[[#This Row],[Interview Styling Female]]+tbl_operations[[#This Row],[Confidence Styling Female]]</f>
        <v>4</v>
      </c>
      <c r="AR172" s="167">
        <f>tbl_operations[[#This Row],[Interview Styling Non-Binary]]+tbl_operations[[#This Row],[Confidence Styling Non-Binary]]</f>
        <v>0</v>
      </c>
    </row>
    <row r="173" spans="1:44">
      <c r="A173" s="161" t="s">
        <v>27</v>
      </c>
      <c r="B173" s="162" t="s">
        <v>102</v>
      </c>
      <c r="C173" s="161" t="s">
        <v>99</v>
      </c>
      <c r="D173" s="163">
        <v>46262</v>
      </c>
      <c r="E173" s="164" t="str">
        <f t="shared" si="2"/>
        <v>Friday</v>
      </c>
      <c r="F173" s="161">
        <v>0</v>
      </c>
      <c r="G173" s="161">
        <v>0</v>
      </c>
      <c r="H173" s="161">
        <v>0</v>
      </c>
      <c r="I173" s="161">
        <v>0</v>
      </c>
      <c r="J173" s="161">
        <v>0</v>
      </c>
      <c r="K173" s="161">
        <v>1</v>
      </c>
      <c r="L173" s="161">
        <v>1</v>
      </c>
      <c r="M173" s="161">
        <v>0</v>
      </c>
      <c r="N173" s="161">
        <v>1</v>
      </c>
      <c r="O173" s="161">
        <v>0</v>
      </c>
      <c r="P173" s="161">
        <v>0</v>
      </c>
      <c r="Q173" s="161">
        <v>0</v>
      </c>
      <c r="R173" s="161">
        <v>1</v>
      </c>
      <c r="S173" s="161">
        <v>1</v>
      </c>
      <c r="T173" s="165">
        <v>9.9</v>
      </c>
      <c r="U173" s="165">
        <v>0</v>
      </c>
      <c r="V173" s="161">
        <v>18</v>
      </c>
      <c r="W173" s="166">
        <v>226.35</v>
      </c>
      <c r="X173" s="161">
        <v>417</v>
      </c>
      <c r="Y173" s="161">
        <v>25</v>
      </c>
      <c r="Z173" s="165">
        <v>4</v>
      </c>
      <c r="AA173" s="165">
        <v>2</v>
      </c>
      <c r="AB173" s="165">
        <v>2</v>
      </c>
      <c r="AC173" s="165">
        <v>0</v>
      </c>
      <c r="AD173" s="165">
        <v>5</v>
      </c>
      <c r="AE173" s="165">
        <v>4</v>
      </c>
      <c r="AF173" s="165">
        <v>17</v>
      </c>
      <c r="AG173" s="165">
        <v>13.5</v>
      </c>
      <c r="AH173" s="165">
        <v>4</v>
      </c>
      <c r="AI173" s="165">
        <v>10</v>
      </c>
      <c r="AJ173" s="165">
        <v>0</v>
      </c>
      <c r="AK173" s="165">
        <v>24.5</v>
      </c>
      <c r="AL173" s="165">
        <v>20</v>
      </c>
      <c r="AM173" s="165">
        <v>72</v>
      </c>
      <c r="AN173" s="167">
        <f>tbl_operations[[#This Row],[Interview Styling Registrations]]+tbl_operations[[#This Row],[Confidence Styling Registrations]]</f>
        <v>1</v>
      </c>
      <c r="AO173" s="167">
        <f>tbl_operations[[#This Row],[Interview Styling Completed]]+tbl_operations[[#This Row],[Confidence Styling Completed]]</f>
        <v>1</v>
      </c>
      <c r="AP173" s="167">
        <f>tbl_operations[[#This Row],[Interview Styling Male]]+tbl_operations[[#This Row],[Confidence Styling Male]]</f>
        <v>0</v>
      </c>
      <c r="AQ173" s="167">
        <f>tbl_operations[[#This Row],[Interview Styling Female]]+tbl_operations[[#This Row],[Confidence Styling Female]]</f>
        <v>1</v>
      </c>
      <c r="AR173" s="167">
        <f>tbl_operations[[#This Row],[Interview Styling Non-Binary]]+tbl_operations[[#This Row],[Confidence Styling Non-Binary]]</f>
        <v>0</v>
      </c>
    </row>
    <row r="174" spans="1:44">
      <c r="A174" s="161" t="s">
        <v>27</v>
      </c>
      <c r="B174" s="162" t="s">
        <v>102</v>
      </c>
      <c r="C174" s="161" t="s">
        <v>100</v>
      </c>
      <c r="D174" s="163">
        <v>46265</v>
      </c>
      <c r="E174" s="164" t="str">
        <f t="shared" si="2"/>
        <v>Monday</v>
      </c>
      <c r="F174" s="161">
        <v>2</v>
      </c>
      <c r="G174" s="161">
        <v>2</v>
      </c>
      <c r="H174" s="161">
        <v>1</v>
      </c>
      <c r="I174" s="161">
        <v>1</v>
      </c>
      <c r="J174" s="161">
        <v>0</v>
      </c>
      <c r="K174" s="161">
        <v>2</v>
      </c>
      <c r="L174" s="161">
        <v>1</v>
      </c>
      <c r="M174" s="161">
        <v>0</v>
      </c>
      <c r="N174" s="161">
        <v>1</v>
      </c>
      <c r="O174" s="161">
        <v>0</v>
      </c>
      <c r="P174" s="161">
        <v>1</v>
      </c>
      <c r="Q174" s="161">
        <v>1</v>
      </c>
      <c r="R174" s="161">
        <v>0</v>
      </c>
      <c r="S174" s="161">
        <v>0</v>
      </c>
      <c r="T174" s="165">
        <v>18.2</v>
      </c>
      <c r="U174" s="165">
        <v>0</v>
      </c>
      <c r="V174" s="161">
        <v>11</v>
      </c>
      <c r="W174" s="166">
        <v>208.35</v>
      </c>
      <c r="X174" s="161">
        <v>1509</v>
      </c>
      <c r="Y174" s="161">
        <v>39</v>
      </c>
      <c r="Z174" s="165">
        <v>3</v>
      </c>
      <c r="AA174" s="165">
        <v>2</v>
      </c>
      <c r="AB174" s="165">
        <v>1</v>
      </c>
      <c r="AC174" s="165">
        <v>1</v>
      </c>
      <c r="AD174" s="165">
        <v>4</v>
      </c>
      <c r="AE174" s="165">
        <v>4</v>
      </c>
      <c r="AF174" s="165">
        <v>15</v>
      </c>
      <c r="AG174" s="165">
        <v>10</v>
      </c>
      <c r="AH174" s="165">
        <v>6.5</v>
      </c>
      <c r="AI174" s="165">
        <v>4</v>
      </c>
      <c r="AJ174" s="165">
        <v>5.5</v>
      </c>
      <c r="AK174" s="165">
        <v>11.5</v>
      </c>
      <c r="AL174" s="165">
        <v>18</v>
      </c>
      <c r="AM174" s="165">
        <v>55.5</v>
      </c>
      <c r="AN174" s="167">
        <f>tbl_operations[[#This Row],[Interview Styling Registrations]]+tbl_operations[[#This Row],[Confidence Styling Registrations]]</f>
        <v>4</v>
      </c>
      <c r="AO174" s="167">
        <f>tbl_operations[[#This Row],[Interview Styling Completed]]+tbl_operations[[#This Row],[Confidence Styling Completed]]</f>
        <v>3</v>
      </c>
      <c r="AP174" s="167">
        <f>tbl_operations[[#This Row],[Interview Styling Male]]+tbl_operations[[#This Row],[Confidence Styling Male]]</f>
        <v>1</v>
      </c>
      <c r="AQ174" s="167">
        <f>tbl_operations[[#This Row],[Interview Styling Female]]+tbl_operations[[#This Row],[Confidence Styling Female]]</f>
        <v>2</v>
      </c>
      <c r="AR174" s="167">
        <f>tbl_operations[[#This Row],[Interview Styling Non-Binary]]+tbl_operations[[#This Row],[Confidence Styling Non-Binary]]</f>
        <v>0</v>
      </c>
    </row>
    <row r="175" spans="1:44">
      <c r="A175" s="161" t="s">
        <v>28</v>
      </c>
      <c r="B175" s="162" t="s">
        <v>102</v>
      </c>
      <c r="C175" s="161" t="s">
        <v>96</v>
      </c>
      <c r="D175" s="163">
        <v>46266</v>
      </c>
      <c r="E175" s="164" t="str">
        <f t="shared" si="2"/>
        <v>Tuesday</v>
      </c>
      <c r="F175" s="161">
        <v>4</v>
      </c>
      <c r="G175" s="161">
        <v>4</v>
      </c>
      <c r="H175" s="161">
        <v>0</v>
      </c>
      <c r="I175" s="161">
        <v>4</v>
      </c>
      <c r="J175" s="161">
        <v>0</v>
      </c>
      <c r="K175" s="161">
        <v>1</v>
      </c>
      <c r="L175" s="161">
        <v>1</v>
      </c>
      <c r="M175" s="161">
        <v>1</v>
      </c>
      <c r="N175" s="161">
        <v>0</v>
      </c>
      <c r="O175" s="161">
        <v>0</v>
      </c>
      <c r="P175" s="161">
        <v>0</v>
      </c>
      <c r="Q175" s="161">
        <v>1</v>
      </c>
      <c r="R175" s="161">
        <v>1</v>
      </c>
      <c r="S175" s="161">
        <v>0</v>
      </c>
      <c r="T175" s="165">
        <v>23.6</v>
      </c>
      <c r="U175" s="165">
        <v>12.7</v>
      </c>
      <c r="V175" s="161">
        <v>5</v>
      </c>
      <c r="W175" s="166">
        <v>96.19</v>
      </c>
      <c r="X175" s="161">
        <v>1109</v>
      </c>
      <c r="Y175" s="161">
        <v>137</v>
      </c>
      <c r="Z175" s="165">
        <v>4</v>
      </c>
      <c r="AA175" s="165">
        <v>0</v>
      </c>
      <c r="AB175" s="165">
        <v>0</v>
      </c>
      <c r="AC175" s="165">
        <v>0</v>
      </c>
      <c r="AD175" s="165">
        <v>2</v>
      </c>
      <c r="AE175" s="165">
        <v>3</v>
      </c>
      <c r="AF175" s="165">
        <v>9</v>
      </c>
      <c r="AG175" s="165">
        <v>11</v>
      </c>
      <c r="AH175" s="165">
        <v>0</v>
      </c>
      <c r="AI175" s="165">
        <v>0</v>
      </c>
      <c r="AJ175" s="165">
        <v>0</v>
      </c>
      <c r="AK175" s="165">
        <v>4.5</v>
      </c>
      <c r="AL175" s="165">
        <v>12.5</v>
      </c>
      <c r="AM175" s="165">
        <v>28</v>
      </c>
      <c r="AN175" s="167">
        <f>tbl_operations[[#This Row],[Interview Styling Registrations]]+tbl_operations[[#This Row],[Confidence Styling Registrations]]</f>
        <v>5</v>
      </c>
      <c r="AO175" s="167">
        <f>tbl_operations[[#This Row],[Interview Styling Completed]]+tbl_operations[[#This Row],[Confidence Styling Completed]]</f>
        <v>5</v>
      </c>
      <c r="AP175" s="167">
        <f>tbl_operations[[#This Row],[Interview Styling Male]]+tbl_operations[[#This Row],[Confidence Styling Male]]</f>
        <v>1</v>
      </c>
      <c r="AQ175" s="167">
        <f>tbl_operations[[#This Row],[Interview Styling Female]]+tbl_operations[[#This Row],[Confidence Styling Female]]</f>
        <v>4</v>
      </c>
      <c r="AR175" s="167">
        <f>tbl_operations[[#This Row],[Interview Styling Non-Binary]]+tbl_operations[[#This Row],[Confidence Styling Non-Binary]]</f>
        <v>0</v>
      </c>
    </row>
    <row r="176" spans="1:44">
      <c r="A176" s="161" t="s">
        <v>28</v>
      </c>
      <c r="B176" s="162" t="s">
        <v>102</v>
      </c>
      <c r="C176" s="161" t="s">
        <v>96</v>
      </c>
      <c r="D176" s="163">
        <v>46267</v>
      </c>
      <c r="E176" s="164" t="str">
        <f t="shared" si="2"/>
        <v>Wednesday</v>
      </c>
      <c r="F176" s="161">
        <v>0</v>
      </c>
      <c r="G176" s="161">
        <v>0</v>
      </c>
      <c r="H176" s="161">
        <v>0</v>
      </c>
      <c r="I176" s="161">
        <v>0</v>
      </c>
      <c r="J176" s="161">
        <v>0</v>
      </c>
      <c r="K176" s="161">
        <v>1</v>
      </c>
      <c r="L176" s="161">
        <v>0</v>
      </c>
      <c r="M176" s="161">
        <v>0</v>
      </c>
      <c r="N176" s="161">
        <v>0</v>
      </c>
      <c r="O176" s="161">
        <v>0</v>
      </c>
      <c r="P176" s="161">
        <v>0</v>
      </c>
      <c r="Q176" s="161">
        <v>0</v>
      </c>
      <c r="R176" s="161">
        <v>0</v>
      </c>
      <c r="S176" s="161">
        <v>0</v>
      </c>
      <c r="T176" s="165">
        <v>34.8</v>
      </c>
      <c r="U176" s="165">
        <v>0</v>
      </c>
      <c r="V176" s="161">
        <v>16</v>
      </c>
      <c r="W176" s="166">
        <v>460.92</v>
      </c>
      <c r="X176" s="161">
        <v>836</v>
      </c>
      <c r="Y176" s="161">
        <v>70</v>
      </c>
      <c r="Z176" s="165">
        <v>3</v>
      </c>
      <c r="AA176" s="165">
        <v>1</v>
      </c>
      <c r="AB176" s="165">
        <v>2</v>
      </c>
      <c r="AC176" s="165">
        <v>1</v>
      </c>
      <c r="AD176" s="165">
        <v>1</v>
      </c>
      <c r="AE176" s="165">
        <v>2</v>
      </c>
      <c r="AF176" s="165">
        <v>10</v>
      </c>
      <c r="AG176" s="165">
        <v>16</v>
      </c>
      <c r="AH176" s="165">
        <v>3.5</v>
      </c>
      <c r="AI176" s="165">
        <v>7</v>
      </c>
      <c r="AJ176" s="165">
        <v>2.5</v>
      </c>
      <c r="AK176" s="165">
        <v>3</v>
      </c>
      <c r="AL176" s="165">
        <v>10</v>
      </c>
      <c r="AM176" s="165">
        <v>42</v>
      </c>
      <c r="AN176" s="167">
        <f>tbl_operations[[#This Row],[Interview Styling Registrations]]+tbl_operations[[#This Row],[Confidence Styling Registrations]]</f>
        <v>1</v>
      </c>
      <c r="AO176" s="167">
        <f>tbl_operations[[#This Row],[Interview Styling Completed]]+tbl_operations[[#This Row],[Confidence Styling Completed]]</f>
        <v>0</v>
      </c>
      <c r="AP176" s="167">
        <f>tbl_operations[[#This Row],[Interview Styling Male]]+tbl_operations[[#This Row],[Confidence Styling Male]]</f>
        <v>0</v>
      </c>
      <c r="AQ176" s="167">
        <f>tbl_operations[[#This Row],[Interview Styling Female]]+tbl_operations[[#This Row],[Confidence Styling Female]]</f>
        <v>0</v>
      </c>
      <c r="AR176" s="167">
        <f>tbl_operations[[#This Row],[Interview Styling Non-Binary]]+tbl_operations[[#This Row],[Confidence Styling Non-Binary]]</f>
        <v>0</v>
      </c>
    </row>
    <row r="177" spans="1:44">
      <c r="A177" s="161" t="s">
        <v>28</v>
      </c>
      <c r="B177" s="162" t="s">
        <v>102</v>
      </c>
      <c r="C177" s="161" t="s">
        <v>96</v>
      </c>
      <c r="D177" s="163">
        <v>46268</v>
      </c>
      <c r="E177" s="164" t="str">
        <f t="shared" si="2"/>
        <v>Thursday</v>
      </c>
      <c r="F177" s="161">
        <v>3</v>
      </c>
      <c r="G177" s="161">
        <v>3</v>
      </c>
      <c r="H177" s="161">
        <v>1</v>
      </c>
      <c r="I177" s="161">
        <v>2</v>
      </c>
      <c r="J177" s="161">
        <v>0</v>
      </c>
      <c r="K177" s="161">
        <v>1</v>
      </c>
      <c r="L177" s="161">
        <v>1</v>
      </c>
      <c r="M177" s="161">
        <v>1</v>
      </c>
      <c r="N177" s="161">
        <v>0</v>
      </c>
      <c r="O177" s="161">
        <v>0</v>
      </c>
      <c r="P177" s="161">
        <v>0</v>
      </c>
      <c r="Q177" s="161">
        <v>0</v>
      </c>
      <c r="R177" s="161">
        <v>1</v>
      </c>
      <c r="S177" s="161">
        <v>0</v>
      </c>
      <c r="T177" s="165">
        <v>0</v>
      </c>
      <c r="U177" s="165">
        <v>14</v>
      </c>
      <c r="V177" s="161">
        <v>21</v>
      </c>
      <c r="W177" s="166">
        <v>585.06</v>
      </c>
      <c r="X177" s="161">
        <v>657</v>
      </c>
      <c r="Y177" s="161">
        <v>19</v>
      </c>
      <c r="Z177" s="165">
        <v>4</v>
      </c>
      <c r="AA177" s="165">
        <v>0</v>
      </c>
      <c r="AB177" s="165">
        <v>2</v>
      </c>
      <c r="AC177" s="165">
        <v>1</v>
      </c>
      <c r="AD177" s="165">
        <v>5</v>
      </c>
      <c r="AE177" s="165">
        <v>2</v>
      </c>
      <c r="AF177" s="165">
        <v>14</v>
      </c>
      <c r="AG177" s="165">
        <v>13</v>
      </c>
      <c r="AH177" s="165">
        <v>0</v>
      </c>
      <c r="AI177" s="165">
        <v>6</v>
      </c>
      <c r="AJ177" s="165">
        <v>4</v>
      </c>
      <c r="AK177" s="165">
        <v>23</v>
      </c>
      <c r="AL177" s="165">
        <v>7</v>
      </c>
      <c r="AM177" s="165">
        <v>53</v>
      </c>
      <c r="AN177" s="167">
        <f>tbl_operations[[#This Row],[Interview Styling Registrations]]+tbl_operations[[#This Row],[Confidence Styling Registrations]]</f>
        <v>4</v>
      </c>
      <c r="AO177" s="167">
        <f>tbl_operations[[#This Row],[Interview Styling Completed]]+tbl_operations[[#This Row],[Confidence Styling Completed]]</f>
        <v>4</v>
      </c>
      <c r="AP177" s="167">
        <f>tbl_operations[[#This Row],[Interview Styling Male]]+tbl_operations[[#This Row],[Confidence Styling Male]]</f>
        <v>2</v>
      </c>
      <c r="AQ177" s="167">
        <f>tbl_operations[[#This Row],[Interview Styling Female]]+tbl_operations[[#This Row],[Confidence Styling Female]]</f>
        <v>2</v>
      </c>
      <c r="AR177" s="167">
        <f>tbl_operations[[#This Row],[Interview Styling Non-Binary]]+tbl_operations[[#This Row],[Confidence Styling Non-Binary]]</f>
        <v>0</v>
      </c>
    </row>
    <row r="178" spans="1:44">
      <c r="A178" s="161" t="s">
        <v>28</v>
      </c>
      <c r="B178" s="162" t="s">
        <v>102</v>
      </c>
      <c r="C178" s="161" t="s">
        <v>96</v>
      </c>
      <c r="D178" s="163">
        <v>46269</v>
      </c>
      <c r="E178" s="164" t="str">
        <f t="shared" si="2"/>
        <v>Friday</v>
      </c>
      <c r="F178" s="161">
        <v>2</v>
      </c>
      <c r="G178" s="161">
        <v>2</v>
      </c>
      <c r="H178" s="161">
        <v>0</v>
      </c>
      <c r="I178" s="161">
        <v>2</v>
      </c>
      <c r="J178" s="161">
        <v>0</v>
      </c>
      <c r="K178" s="161">
        <v>2</v>
      </c>
      <c r="L178" s="161">
        <v>2</v>
      </c>
      <c r="M178" s="161">
        <v>0</v>
      </c>
      <c r="N178" s="161">
        <v>2</v>
      </c>
      <c r="O178" s="161">
        <v>0</v>
      </c>
      <c r="P178" s="161">
        <v>2</v>
      </c>
      <c r="Q178" s="161">
        <v>0</v>
      </c>
      <c r="R178" s="161">
        <v>1</v>
      </c>
      <c r="S178" s="161">
        <v>0</v>
      </c>
      <c r="T178" s="165">
        <v>48.9</v>
      </c>
      <c r="U178" s="165">
        <v>0</v>
      </c>
      <c r="V178" s="161">
        <v>20</v>
      </c>
      <c r="W178" s="166">
        <v>423.3</v>
      </c>
      <c r="X178" s="161">
        <v>676</v>
      </c>
      <c r="Y178" s="161">
        <v>101</v>
      </c>
      <c r="Z178" s="165">
        <v>2</v>
      </c>
      <c r="AA178" s="165">
        <v>1</v>
      </c>
      <c r="AB178" s="165">
        <v>2</v>
      </c>
      <c r="AC178" s="165">
        <v>0</v>
      </c>
      <c r="AD178" s="165">
        <v>1</v>
      </c>
      <c r="AE178" s="165">
        <v>1</v>
      </c>
      <c r="AF178" s="165">
        <v>7</v>
      </c>
      <c r="AG178" s="165">
        <v>7</v>
      </c>
      <c r="AH178" s="165">
        <v>3</v>
      </c>
      <c r="AI178" s="165">
        <v>4</v>
      </c>
      <c r="AJ178" s="165">
        <v>0</v>
      </c>
      <c r="AK178" s="165">
        <v>3.5</v>
      </c>
      <c r="AL178" s="165">
        <v>3</v>
      </c>
      <c r="AM178" s="165">
        <v>20.5</v>
      </c>
      <c r="AN178" s="167">
        <f>tbl_operations[[#This Row],[Interview Styling Registrations]]+tbl_operations[[#This Row],[Confidence Styling Registrations]]</f>
        <v>4</v>
      </c>
      <c r="AO178" s="167">
        <f>tbl_operations[[#This Row],[Interview Styling Completed]]+tbl_operations[[#This Row],[Confidence Styling Completed]]</f>
        <v>4</v>
      </c>
      <c r="AP178" s="167">
        <f>tbl_operations[[#This Row],[Interview Styling Male]]+tbl_operations[[#This Row],[Confidence Styling Male]]</f>
        <v>0</v>
      </c>
      <c r="AQ178" s="167">
        <f>tbl_operations[[#This Row],[Interview Styling Female]]+tbl_operations[[#This Row],[Confidence Styling Female]]</f>
        <v>4</v>
      </c>
      <c r="AR178" s="167">
        <f>tbl_operations[[#This Row],[Interview Styling Non-Binary]]+tbl_operations[[#This Row],[Confidence Styling Non-Binary]]</f>
        <v>0</v>
      </c>
    </row>
    <row r="179" spans="1:44">
      <c r="A179" s="161" t="s">
        <v>28</v>
      </c>
      <c r="B179" s="162" t="s">
        <v>102</v>
      </c>
      <c r="C179" s="161" t="s">
        <v>97</v>
      </c>
      <c r="D179" s="163">
        <v>46272</v>
      </c>
      <c r="E179" s="164" t="str">
        <f t="shared" si="2"/>
        <v>Monday</v>
      </c>
      <c r="F179" s="161">
        <v>4</v>
      </c>
      <c r="G179" s="161">
        <v>4</v>
      </c>
      <c r="H179" s="161">
        <v>0</v>
      </c>
      <c r="I179" s="161">
        <v>4</v>
      </c>
      <c r="J179" s="161">
        <v>0</v>
      </c>
      <c r="K179" s="161">
        <v>2</v>
      </c>
      <c r="L179" s="161">
        <v>1</v>
      </c>
      <c r="M179" s="161">
        <v>1</v>
      </c>
      <c r="N179" s="161">
        <v>0</v>
      </c>
      <c r="O179" s="161">
        <v>0</v>
      </c>
      <c r="P179" s="161">
        <v>0</v>
      </c>
      <c r="Q179" s="161">
        <v>1</v>
      </c>
      <c r="R179" s="161">
        <v>1</v>
      </c>
      <c r="S179" s="161">
        <v>0</v>
      </c>
      <c r="T179" s="165">
        <v>29.3</v>
      </c>
      <c r="U179" s="165">
        <v>16.6</v>
      </c>
      <c r="V179" s="161">
        <v>15</v>
      </c>
      <c r="W179" s="166">
        <v>299.93</v>
      </c>
      <c r="X179" s="161">
        <v>1819</v>
      </c>
      <c r="Y179" s="161">
        <v>161</v>
      </c>
      <c r="Z179" s="165">
        <v>2</v>
      </c>
      <c r="AA179" s="165">
        <v>2</v>
      </c>
      <c r="AB179" s="165">
        <v>1</v>
      </c>
      <c r="AC179" s="165">
        <v>0</v>
      </c>
      <c r="AD179" s="165">
        <v>5</v>
      </c>
      <c r="AE179" s="165">
        <v>2</v>
      </c>
      <c r="AF179" s="165">
        <v>12</v>
      </c>
      <c r="AG179" s="165">
        <v>10.5</v>
      </c>
      <c r="AH179" s="165">
        <v>10.5</v>
      </c>
      <c r="AI179" s="165">
        <v>5</v>
      </c>
      <c r="AJ179" s="165">
        <v>0</v>
      </c>
      <c r="AK179" s="165">
        <v>18.5</v>
      </c>
      <c r="AL179" s="165">
        <v>5.5</v>
      </c>
      <c r="AM179" s="165">
        <v>50</v>
      </c>
      <c r="AN179" s="167">
        <f>tbl_operations[[#This Row],[Interview Styling Registrations]]+tbl_operations[[#This Row],[Confidence Styling Registrations]]</f>
        <v>6</v>
      </c>
      <c r="AO179" s="167">
        <f>tbl_operations[[#This Row],[Interview Styling Completed]]+tbl_operations[[#This Row],[Confidence Styling Completed]]</f>
        <v>5</v>
      </c>
      <c r="AP179" s="167">
        <f>tbl_operations[[#This Row],[Interview Styling Male]]+tbl_operations[[#This Row],[Confidence Styling Male]]</f>
        <v>1</v>
      </c>
      <c r="AQ179" s="167">
        <f>tbl_operations[[#This Row],[Interview Styling Female]]+tbl_operations[[#This Row],[Confidence Styling Female]]</f>
        <v>4</v>
      </c>
      <c r="AR179" s="167">
        <f>tbl_operations[[#This Row],[Interview Styling Non-Binary]]+tbl_operations[[#This Row],[Confidence Styling Non-Binary]]</f>
        <v>0</v>
      </c>
    </row>
    <row r="180" spans="1:44">
      <c r="A180" s="161" t="s">
        <v>28</v>
      </c>
      <c r="B180" s="162" t="s">
        <v>102</v>
      </c>
      <c r="C180" s="161" t="s">
        <v>97</v>
      </c>
      <c r="D180" s="163">
        <v>46273</v>
      </c>
      <c r="E180" s="164" t="str">
        <f t="shared" si="2"/>
        <v>Tuesday</v>
      </c>
      <c r="F180" s="161">
        <v>3</v>
      </c>
      <c r="G180" s="161">
        <v>2</v>
      </c>
      <c r="H180" s="161">
        <v>0</v>
      </c>
      <c r="I180" s="161">
        <v>2</v>
      </c>
      <c r="J180" s="161">
        <v>0</v>
      </c>
      <c r="K180" s="161">
        <v>0</v>
      </c>
      <c r="L180" s="161">
        <v>0</v>
      </c>
      <c r="M180" s="161">
        <v>0</v>
      </c>
      <c r="N180" s="161">
        <v>0</v>
      </c>
      <c r="O180" s="161">
        <v>0</v>
      </c>
      <c r="P180" s="161">
        <v>0</v>
      </c>
      <c r="Q180" s="161">
        <v>0</v>
      </c>
      <c r="R180" s="161">
        <v>0</v>
      </c>
      <c r="S180" s="161">
        <v>0</v>
      </c>
      <c r="T180" s="165">
        <v>32.8</v>
      </c>
      <c r="U180" s="165">
        <v>0</v>
      </c>
      <c r="V180" s="161">
        <v>13</v>
      </c>
      <c r="W180" s="166">
        <v>359.41</v>
      </c>
      <c r="X180" s="161">
        <v>2071</v>
      </c>
      <c r="Y180" s="161">
        <v>268</v>
      </c>
      <c r="Z180" s="165">
        <v>4</v>
      </c>
      <c r="AA180" s="165">
        <v>1</v>
      </c>
      <c r="AB180" s="165">
        <v>2</v>
      </c>
      <c r="AC180" s="165">
        <v>2</v>
      </c>
      <c r="AD180" s="165">
        <v>2</v>
      </c>
      <c r="AE180" s="165">
        <v>4</v>
      </c>
      <c r="AF180" s="165">
        <v>15</v>
      </c>
      <c r="AG180" s="165">
        <v>14.5</v>
      </c>
      <c r="AH180" s="165">
        <v>3</v>
      </c>
      <c r="AI180" s="165">
        <v>8.5</v>
      </c>
      <c r="AJ180" s="165">
        <v>9</v>
      </c>
      <c r="AK180" s="165">
        <v>8.5</v>
      </c>
      <c r="AL180" s="165">
        <v>18.5</v>
      </c>
      <c r="AM180" s="165">
        <v>62</v>
      </c>
      <c r="AN180" s="167">
        <f>tbl_operations[[#This Row],[Interview Styling Registrations]]+tbl_operations[[#This Row],[Confidence Styling Registrations]]</f>
        <v>3</v>
      </c>
      <c r="AO180" s="167">
        <f>tbl_operations[[#This Row],[Interview Styling Completed]]+tbl_operations[[#This Row],[Confidence Styling Completed]]</f>
        <v>2</v>
      </c>
      <c r="AP180" s="167">
        <f>tbl_operations[[#This Row],[Interview Styling Male]]+tbl_operations[[#This Row],[Confidence Styling Male]]</f>
        <v>0</v>
      </c>
      <c r="AQ180" s="167">
        <f>tbl_operations[[#This Row],[Interview Styling Female]]+tbl_operations[[#This Row],[Confidence Styling Female]]</f>
        <v>2</v>
      </c>
      <c r="AR180" s="167">
        <f>tbl_operations[[#This Row],[Interview Styling Non-Binary]]+tbl_operations[[#This Row],[Confidence Styling Non-Binary]]</f>
        <v>0</v>
      </c>
    </row>
    <row r="181" spans="1:44">
      <c r="A181" s="161" t="s">
        <v>28</v>
      </c>
      <c r="B181" s="162" t="s">
        <v>102</v>
      </c>
      <c r="C181" s="161" t="s">
        <v>97</v>
      </c>
      <c r="D181" s="163">
        <v>46274</v>
      </c>
      <c r="E181" s="164" t="str">
        <f t="shared" si="2"/>
        <v>Wednesday</v>
      </c>
      <c r="F181" s="161">
        <v>3</v>
      </c>
      <c r="G181" s="161">
        <v>3</v>
      </c>
      <c r="H181" s="161">
        <v>1</v>
      </c>
      <c r="I181" s="161">
        <v>2</v>
      </c>
      <c r="J181" s="161">
        <v>0</v>
      </c>
      <c r="K181" s="161">
        <v>0</v>
      </c>
      <c r="L181" s="161">
        <v>0</v>
      </c>
      <c r="M181" s="161">
        <v>0</v>
      </c>
      <c r="N181" s="161">
        <v>0</v>
      </c>
      <c r="O181" s="161">
        <v>0</v>
      </c>
      <c r="P181" s="161">
        <v>0</v>
      </c>
      <c r="Q181" s="161">
        <v>1</v>
      </c>
      <c r="R181" s="161">
        <v>1</v>
      </c>
      <c r="S181" s="161">
        <v>0</v>
      </c>
      <c r="T181" s="165">
        <v>32.9</v>
      </c>
      <c r="U181" s="165">
        <v>0</v>
      </c>
      <c r="V181" s="161">
        <v>7</v>
      </c>
      <c r="W181" s="166">
        <v>163.13</v>
      </c>
      <c r="X181" s="161">
        <v>1195</v>
      </c>
      <c r="Y181" s="161">
        <v>52</v>
      </c>
      <c r="Z181" s="165">
        <v>2</v>
      </c>
      <c r="AA181" s="165">
        <v>2</v>
      </c>
      <c r="AB181" s="165">
        <v>1</v>
      </c>
      <c r="AC181" s="165">
        <v>1</v>
      </c>
      <c r="AD181" s="165">
        <v>1</v>
      </c>
      <c r="AE181" s="165">
        <v>4</v>
      </c>
      <c r="AF181" s="165">
        <v>11</v>
      </c>
      <c r="AG181" s="165">
        <v>11</v>
      </c>
      <c r="AH181" s="165">
        <v>7.5</v>
      </c>
      <c r="AI181" s="165">
        <v>2.5</v>
      </c>
      <c r="AJ181" s="165">
        <v>5</v>
      </c>
      <c r="AK181" s="165">
        <v>3.5</v>
      </c>
      <c r="AL181" s="165">
        <v>9.5</v>
      </c>
      <c r="AM181" s="165">
        <v>39</v>
      </c>
      <c r="AN181" s="167">
        <f>tbl_operations[[#This Row],[Interview Styling Registrations]]+tbl_operations[[#This Row],[Confidence Styling Registrations]]</f>
        <v>3</v>
      </c>
      <c r="AO181" s="167">
        <f>tbl_operations[[#This Row],[Interview Styling Completed]]+tbl_operations[[#This Row],[Confidence Styling Completed]]</f>
        <v>3</v>
      </c>
      <c r="AP181" s="167">
        <f>tbl_operations[[#This Row],[Interview Styling Male]]+tbl_operations[[#This Row],[Confidence Styling Male]]</f>
        <v>1</v>
      </c>
      <c r="AQ181" s="167">
        <f>tbl_operations[[#This Row],[Interview Styling Female]]+tbl_operations[[#This Row],[Confidence Styling Female]]</f>
        <v>2</v>
      </c>
      <c r="AR181" s="167">
        <f>tbl_operations[[#This Row],[Interview Styling Non-Binary]]+tbl_operations[[#This Row],[Confidence Styling Non-Binary]]</f>
        <v>0</v>
      </c>
    </row>
    <row r="182" spans="1:44">
      <c r="A182" s="161" t="s">
        <v>28</v>
      </c>
      <c r="B182" s="162" t="s">
        <v>102</v>
      </c>
      <c r="C182" s="161" t="s">
        <v>97</v>
      </c>
      <c r="D182" s="163">
        <v>46275</v>
      </c>
      <c r="E182" s="164" t="str">
        <f t="shared" si="2"/>
        <v>Thursday</v>
      </c>
      <c r="F182" s="161">
        <v>1</v>
      </c>
      <c r="G182" s="161">
        <v>1</v>
      </c>
      <c r="H182" s="161">
        <v>1</v>
      </c>
      <c r="I182" s="161">
        <v>0</v>
      </c>
      <c r="J182" s="161">
        <v>0</v>
      </c>
      <c r="K182" s="161">
        <v>2</v>
      </c>
      <c r="L182" s="161">
        <v>1</v>
      </c>
      <c r="M182" s="161">
        <v>0</v>
      </c>
      <c r="N182" s="161">
        <v>1</v>
      </c>
      <c r="O182" s="161">
        <v>0</v>
      </c>
      <c r="P182" s="161">
        <v>0</v>
      </c>
      <c r="Q182" s="161">
        <v>0</v>
      </c>
      <c r="R182" s="161">
        <v>0</v>
      </c>
      <c r="S182" s="161">
        <v>0</v>
      </c>
      <c r="T182" s="165">
        <v>41</v>
      </c>
      <c r="U182" s="165">
        <v>20</v>
      </c>
      <c r="V182" s="161">
        <v>13</v>
      </c>
      <c r="W182" s="166">
        <v>287.59</v>
      </c>
      <c r="X182" s="161">
        <v>878</v>
      </c>
      <c r="Y182" s="161">
        <v>73</v>
      </c>
      <c r="Z182" s="165">
        <v>4</v>
      </c>
      <c r="AA182" s="165">
        <v>1</v>
      </c>
      <c r="AB182" s="165">
        <v>2</v>
      </c>
      <c r="AC182" s="165">
        <v>1</v>
      </c>
      <c r="AD182" s="165">
        <v>2</v>
      </c>
      <c r="AE182" s="165">
        <v>4</v>
      </c>
      <c r="AF182" s="165">
        <v>14</v>
      </c>
      <c r="AG182" s="165">
        <v>12</v>
      </c>
      <c r="AH182" s="165">
        <v>5.5</v>
      </c>
      <c r="AI182" s="165">
        <v>6.5</v>
      </c>
      <c r="AJ182" s="165">
        <v>4</v>
      </c>
      <c r="AK182" s="165">
        <v>9.5</v>
      </c>
      <c r="AL182" s="165">
        <v>12.5</v>
      </c>
      <c r="AM182" s="165">
        <v>50</v>
      </c>
      <c r="AN182" s="167">
        <f>tbl_operations[[#This Row],[Interview Styling Registrations]]+tbl_operations[[#This Row],[Confidence Styling Registrations]]</f>
        <v>3</v>
      </c>
      <c r="AO182" s="167">
        <f>tbl_operations[[#This Row],[Interview Styling Completed]]+tbl_operations[[#This Row],[Confidence Styling Completed]]</f>
        <v>2</v>
      </c>
      <c r="AP182" s="167">
        <f>tbl_operations[[#This Row],[Interview Styling Male]]+tbl_operations[[#This Row],[Confidence Styling Male]]</f>
        <v>1</v>
      </c>
      <c r="AQ182" s="167">
        <f>tbl_operations[[#This Row],[Interview Styling Female]]+tbl_operations[[#This Row],[Confidence Styling Female]]</f>
        <v>1</v>
      </c>
      <c r="AR182" s="167">
        <f>tbl_operations[[#This Row],[Interview Styling Non-Binary]]+tbl_operations[[#This Row],[Confidence Styling Non-Binary]]</f>
        <v>0</v>
      </c>
    </row>
    <row r="183" spans="1:44">
      <c r="A183" s="161" t="s">
        <v>28</v>
      </c>
      <c r="B183" s="162" t="s">
        <v>102</v>
      </c>
      <c r="C183" s="161" t="s">
        <v>97</v>
      </c>
      <c r="D183" s="163">
        <v>46276</v>
      </c>
      <c r="E183" s="164" t="str">
        <f t="shared" si="2"/>
        <v>Friday</v>
      </c>
      <c r="F183" s="161">
        <v>1</v>
      </c>
      <c r="G183" s="161">
        <v>1</v>
      </c>
      <c r="H183" s="161">
        <v>0</v>
      </c>
      <c r="I183" s="161">
        <v>1</v>
      </c>
      <c r="J183" s="161">
        <v>0</v>
      </c>
      <c r="K183" s="161">
        <v>0</v>
      </c>
      <c r="L183" s="161">
        <v>0</v>
      </c>
      <c r="M183" s="161">
        <v>0</v>
      </c>
      <c r="N183" s="161">
        <v>0</v>
      </c>
      <c r="O183" s="161">
        <v>0</v>
      </c>
      <c r="P183" s="161">
        <v>1</v>
      </c>
      <c r="Q183" s="161">
        <v>1</v>
      </c>
      <c r="R183" s="161">
        <v>0</v>
      </c>
      <c r="S183" s="161">
        <v>1</v>
      </c>
      <c r="T183" s="165">
        <v>0</v>
      </c>
      <c r="U183" s="165">
        <v>0</v>
      </c>
      <c r="V183" s="161">
        <v>4</v>
      </c>
      <c r="W183" s="166">
        <v>122.38</v>
      </c>
      <c r="X183" s="161">
        <v>1258</v>
      </c>
      <c r="Y183" s="161">
        <v>68</v>
      </c>
      <c r="Z183" s="165">
        <v>3</v>
      </c>
      <c r="AA183" s="165">
        <v>1</v>
      </c>
      <c r="AB183" s="165">
        <v>2</v>
      </c>
      <c r="AC183" s="165">
        <v>2</v>
      </c>
      <c r="AD183" s="165">
        <v>2</v>
      </c>
      <c r="AE183" s="165">
        <v>4</v>
      </c>
      <c r="AF183" s="165">
        <v>14</v>
      </c>
      <c r="AG183" s="165">
        <v>14</v>
      </c>
      <c r="AH183" s="165">
        <v>4.5</v>
      </c>
      <c r="AI183" s="165">
        <v>6.5</v>
      </c>
      <c r="AJ183" s="165">
        <v>10.5</v>
      </c>
      <c r="AK183" s="165">
        <v>10.5</v>
      </c>
      <c r="AL183" s="165">
        <v>17</v>
      </c>
      <c r="AM183" s="165">
        <v>63</v>
      </c>
      <c r="AN183" s="167">
        <f>tbl_operations[[#This Row],[Interview Styling Registrations]]+tbl_operations[[#This Row],[Confidence Styling Registrations]]</f>
        <v>1</v>
      </c>
      <c r="AO183" s="167">
        <f>tbl_operations[[#This Row],[Interview Styling Completed]]+tbl_operations[[#This Row],[Confidence Styling Completed]]</f>
        <v>1</v>
      </c>
      <c r="AP183" s="167">
        <f>tbl_operations[[#This Row],[Interview Styling Male]]+tbl_operations[[#This Row],[Confidence Styling Male]]</f>
        <v>0</v>
      </c>
      <c r="AQ183" s="167">
        <f>tbl_operations[[#This Row],[Interview Styling Female]]+tbl_operations[[#This Row],[Confidence Styling Female]]</f>
        <v>1</v>
      </c>
      <c r="AR183" s="167">
        <f>tbl_operations[[#This Row],[Interview Styling Non-Binary]]+tbl_operations[[#This Row],[Confidence Styling Non-Binary]]</f>
        <v>0</v>
      </c>
    </row>
    <row r="184" spans="1:44">
      <c r="A184" s="161" t="s">
        <v>28</v>
      </c>
      <c r="B184" s="162" t="s">
        <v>102</v>
      </c>
      <c r="C184" s="161" t="s">
        <v>98</v>
      </c>
      <c r="D184" s="163">
        <v>46279</v>
      </c>
      <c r="E184" s="164" t="str">
        <f t="shared" si="2"/>
        <v>Monday</v>
      </c>
      <c r="F184" s="161">
        <v>2</v>
      </c>
      <c r="G184" s="161">
        <v>1</v>
      </c>
      <c r="H184" s="161">
        <v>0</v>
      </c>
      <c r="I184" s="161">
        <v>1</v>
      </c>
      <c r="J184" s="161">
        <v>0</v>
      </c>
      <c r="K184" s="161">
        <v>0</v>
      </c>
      <c r="L184" s="161">
        <v>0</v>
      </c>
      <c r="M184" s="161">
        <v>0</v>
      </c>
      <c r="N184" s="161">
        <v>0</v>
      </c>
      <c r="O184" s="161">
        <v>0</v>
      </c>
      <c r="P184" s="161">
        <v>1</v>
      </c>
      <c r="Q184" s="161">
        <v>1</v>
      </c>
      <c r="R184" s="161">
        <v>1</v>
      </c>
      <c r="S184" s="161">
        <v>0</v>
      </c>
      <c r="T184" s="165">
        <v>40.5</v>
      </c>
      <c r="U184" s="165">
        <v>0</v>
      </c>
      <c r="V184" s="161">
        <v>14</v>
      </c>
      <c r="W184" s="166">
        <v>294.83</v>
      </c>
      <c r="X184" s="161">
        <v>1165</v>
      </c>
      <c r="Y184" s="161">
        <v>87</v>
      </c>
      <c r="Z184" s="165">
        <v>2</v>
      </c>
      <c r="AA184" s="165">
        <v>1</v>
      </c>
      <c r="AB184" s="165">
        <v>1</v>
      </c>
      <c r="AC184" s="165">
        <v>1</v>
      </c>
      <c r="AD184" s="165">
        <v>4</v>
      </c>
      <c r="AE184" s="165">
        <v>2</v>
      </c>
      <c r="AF184" s="165">
        <v>11</v>
      </c>
      <c r="AG184" s="165">
        <v>9</v>
      </c>
      <c r="AH184" s="165">
        <v>2</v>
      </c>
      <c r="AI184" s="165">
        <v>2</v>
      </c>
      <c r="AJ184" s="165">
        <v>2.5</v>
      </c>
      <c r="AK184" s="165">
        <v>9</v>
      </c>
      <c r="AL184" s="165">
        <v>4.5</v>
      </c>
      <c r="AM184" s="165">
        <v>29</v>
      </c>
      <c r="AN184" s="167">
        <f>tbl_operations[[#This Row],[Interview Styling Registrations]]+tbl_operations[[#This Row],[Confidence Styling Registrations]]</f>
        <v>2</v>
      </c>
      <c r="AO184" s="167">
        <f>tbl_operations[[#This Row],[Interview Styling Completed]]+tbl_operations[[#This Row],[Confidence Styling Completed]]</f>
        <v>1</v>
      </c>
      <c r="AP184" s="167">
        <f>tbl_operations[[#This Row],[Interview Styling Male]]+tbl_operations[[#This Row],[Confidence Styling Male]]</f>
        <v>0</v>
      </c>
      <c r="AQ184" s="167">
        <f>tbl_operations[[#This Row],[Interview Styling Female]]+tbl_operations[[#This Row],[Confidence Styling Female]]</f>
        <v>1</v>
      </c>
      <c r="AR184" s="167">
        <f>tbl_operations[[#This Row],[Interview Styling Non-Binary]]+tbl_operations[[#This Row],[Confidence Styling Non-Binary]]</f>
        <v>0</v>
      </c>
    </row>
    <row r="185" spans="1:44">
      <c r="A185" s="161" t="s">
        <v>28</v>
      </c>
      <c r="B185" s="162" t="s">
        <v>102</v>
      </c>
      <c r="C185" s="161" t="s">
        <v>98</v>
      </c>
      <c r="D185" s="163">
        <v>46280</v>
      </c>
      <c r="E185" s="164" t="str">
        <f t="shared" si="2"/>
        <v>Tuesday</v>
      </c>
      <c r="F185" s="161">
        <v>2</v>
      </c>
      <c r="G185" s="161">
        <v>1</v>
      </c>
      <c r="H185" s="161">
        <v>0</v>
      </c>
      <c r="I185" s="161">
        <v>1</v>
      </c>
      <c r="J185" s="161">
        <v>0</v>
      </c>
      <c r="K185" s="161">
        <v>1</v>
      </c>
      <c r="L185" s="161">
        <v>1</v>
      </c>
      <c r="M185" s="161">
        <v>1</v>
      </c>
      <c r="N185" s="161">
        <v>0</v>
      </c>
      <c r="O185" s="161">
        <v>0</v>
      </c>
      <c r="P185" s="161">
        <v>1</v>
      </c>
      <c r="Q185" s="161">
        <v>0</v>
      </c>
      <c r="R185" s="161">
        <v>0</v>
      </c>
      <c r="S185" s="161">
        <v>0</v>
      </c>
      <c r="T185" s="165">
        <v>23.6</v>
      </c>
      <c r="U185" s="165">
        <v>0</v>
      </c>
      <c r="V185" s="161">
        <v>9</v>
      </c>
      <c r="W185" s="166">
        <v>199.8</v>
      </c>
      <c r="X185" s="161">
        <v>1920</v>
      </c>
      <c r="Y185" s="161">
        <v>212</v>
      </c>
      <c r="Z185" s="165">
        <v>4</v>
      </c>
      <c r="AA185" s="165">
        <v>0</v>
      </c>
      <c r="AB185" s="165">
        <v>0</v>
      </c>
      <c r="AC185" s="165">
        <v>2</v>
      </c>
      <c r="AD185" s="165">
        <v>1</v>
      </c>
      <c r="AE185" s="165">
        <v>2</v>
      </c>
      <c r="AF185" s="165">
        <v>9</v>
      </c>
      <c r="AG185" s="165">
        <v>21.5</v>
      </c>
      <c r="AH185" s="165">
        <v>0</v>
      </c>
      <c r="AI185" s="165">
        <v>0</v>
      </c>
      <c r="AJ185" s="165">
        <v>8</v>
      </c>
      <c r="AK185" s="165">
        <v>5.5</v>
      </c>
      <c r="AL185" s="165">
        <v>11</v>
      </c>
      <c r="AM185" s="165">
        <v>46</v>
      </c>
      <c r="AN185" s="167">
        <f>tbl_operations[[#This Row],[Interview Styling Registrations]]+tbl_operations[[#This Row],[Confidence Styling Registrations]]</f>
        <v>3</v>
      </c>
      <c r="AO185" s="167">
        <f>tbl_operations[[#This Row],[Interview Styling Completed]]+tbl_operations[[#This Row],[Confidence Styling Completed]]</f>
        <v>2</v>
      </c>
      <c r="AP185" s="167">
        <f>tbl_operations[[#This Row],[Interview Styling Male]]+tbl_operations[[#This Row],[Confidence Styling Male]]</f>
        <v>1</v>
      </c>
      <c r="AQ185" s="167">
        <f>tbl_operations[[#This Row],[Interview Styling Female]]+tbl_operations[[#This Row],[Confidence Styling Female]]</f>
        <v>1</v>
      </c>
      <c r="AR185" s="167">
        <f>tbl_operations[[#This Row],[Interview Styling Non-Binary]]+tbl_operations[[#This Row],[Confidence Styling Non-Binary]]</f>
        <v>0</v>
      </c>
    </row>
    <row r="186" spans="1:44">
      <c r="A186" s="161" t="s">
        <v>28</v>
      </c>
      <c r="B186" s="162" t="s">
        <v>102</v>
      </c>
      <c r="C186" s="161" t="s">
        <v>98</v>
      </c>
      <c r="D186" s="163">
        <v>46281</v>
      </c>
      <c r="E186" s="164" t="str">
        <f t="shared" si="2"/>
        <v>Wednesday</v>
      </c>
      <c r="F186" s="161">
        <v>0</v>
      </c>
      <c r="G186" s="161">
        <v>0</v>
      </c>
      <c r="H186" s="161">
        <v>0</v>
      </c>
      <c r="I186" s="161">
        <v>0</v>
      </c>
      <c r="J186" s="161">
        <v>0</v>
      </c>
      <c r="K186" s="161">
        <v>3</v>
      </c>
      <c r="L186" s="161">
        <v>3</v>
      </c>
      <c r="M186" s="161">
        <v>1</v>
      </c>
      <c r="N186" s="161">
        <v>2</v>
      </c>
      <c r="O186" s="161">
        <v>0</v>
      </c>
      <c r="P186" s="161">
        <v>0</v>
      </c>
      <c r="Q186" s="161">
        <v>0</v>
      </c>
      <c r="R186" s="161">
        <v>0</v>
      </c>
      <c r="S186" s="161">
        <v>0</v>
      </c>
      <c r="T186" s="165">
        <v>41.1</v>
      </c>
      <c r="U186" s="165">
        <v>0</v>
      </c>
      <c r="V186" s="161">
        <v>17</v>
      </c>
      <c r="W186" s="166">
        <v>267.21</v>
      </c>
      <c r="X186" s="161">
        <v>2045</v>
      </c>
      <c r="Y186" s="161">
        <v>244</v>
      </c>
      <c r="Z186" s="165">
        <v>1</v>
      </c>
      <c r="AA186" s="165">
        <v>2</v>
      </c>
      <c r="AB186" s="165">
        <v>0</v>
      </c>
      <c r="AC186" s="165">
        <v>1</v>
      </c>
      <c r="AD186" s="165">
        <v>2</v>
      </c>
      <c r="AE186" s="165">
        <v>4</v>
      </c>
      <c r="AF186" s="165">
        <v>10</v>
      </c>
      <c r="AG186" s="165">
        <v>5</v>
      </c>
      <c r="AH186" s="165">
        <v>9</v>
      </c>
      <c r="AI186" s="165">
        <v>0</v>
      </c>
      <c r="AJ186" s="165">
        <v>3</v>
      </c>
      <c r="AK186" s="165">
        <v>7.5</v>
      </c>
      <c r="AL186" s="165">
        <v>19.5</v>
      </c>
      <c r="AM186" s="165">
        <v>44</v>
      </c>
      <c r="AN186" s="167">
        <f>tbl_operations[[#This Row],[Interview Styling Registrations]]+tbl_operations[[#This Row],[Confidence Styling Registrations]]</f>
        <v>3</v>
      </c>
      <c r="AO186" s="167">
        <f>tbl_operations[[#This Row],[Interview Styling Completed]]+tbl_operations[[#This Row],[Confidence Styling Completed]]</f>
        <v>3</v>
      </c>
      <c r="AP186" s="167">
        <f>tbl_operations[[#This Row],[Interview Styling Male]]+tbl_operations[[#This Row],[Confidence Styling Male]]</f>
        <v>1</v>
      </c>
      <c r="AQ186" s="167">
        <f>tbl_operations[[#This Row],[Interview Styling Female]]+tbl_operations[[#This Row],[Confidence Styling Female]]</f>
        <v>2</v>
      </c>
      <c r="AR186" s="167">
        <f>tbl_operations[[#This Row],[Interview Styling Non-Binary]]+tbl_operations[[#This Row],[Confidence Styling Non-Binary]]</f>
        <v>0</v>
      </c>
    </row>
    <row r="187" spans="1:44">
      <c r="A187" s="161" t="s">
        <v>28</v>
      </c>
      <c r="B187" s="162" t="s">
        <v>102</v>
      </c>
      <c r="C187" s="161" t="s">
        <v>98</v>
      </c>
      <c r="D187" s="163">
        <v>46282</v>
      </c>
      <c r="E187" s="164" t="str">
        <f t="shared" si="2"/>
        <v>Thursday</v>
      </c>
      <c r="F187" s="161">
        <v>2</v>
      </c>
      <c r="G187" s="161">
        <v>2</v>
      </c>
      <c r="H187" s="161">
        <v>0</v>
      </c>
      <c r="I187" s="161">
        <v>2</v>
      </c>
      <c r="J187" s="161">
        <v>0</v>
      </c>
      <c r="K187" s="161">
        <v>0</v>
      </c>
      <c r="L187" s="161">
        <v>0</v>
      </c>
      <c r="M187" s="161">
        <v>0</v>
      </c>
      <c r="N187" s="161">
        <v>0</v>
      </c>
      <c r="O187" s="161">
        <v>0</v>
      </c>
      <c r="P187" s="161">
        <v>0</v>
      </c>
      <c r="Q187" s="161">
        <v>0</v>
      </c>
      <c r="R187" s="161">
        <v>1</v>
      </c>
      <c r="S187" s="161">
        <v>0</v>
      </c>
      <c r="T187" s="165">
        <v>31.5</v>
      </c>
      <c r="U187" s="165">
        <v>0</v>
      </c>
      <c r="V187" s="161">
        <v>15</v>
      </c>
      <c r="W187" s="166">
        <v>374.56</v>
      </c>
      <c r="X187" s="161">
        <v>987</v>
      </c>
      <c r="Y187" s="161">
        <v>123</v>
      </c>
      <c r="Z187" s="165">
        <v>1</v>
      </c>
      <c r="AA187" s="165">
        <v>0</v>
      </c>
      <c r="AB187" s="165">
        <v>2</v>
      </c>
      <c r="AC187" s="165">
        <v>1</v>
      </c>
      <c r="AD187" s="165">
        <v>5</v>
      </c>
      <c r="AE187" s="165">
        <v>4</v>
      </c>
      <c r="AF187" s="165">
        <v>13</v>
      </c>
      <c r="AG187" s="165">
        <v>3</v>
      </c>
      <c r="AH187" s="165">
        <v>0</v>
      </c>
      <c r="AI187" s="165">
        <v>10.5</v>
      </c>
      <c r="AJ187" s="165">
        <v>3.5</v>
      </c>
      <c r="AK187" s="165">
        <v>20.5</v>
      </c>
      <c r="AL187" s="165">
        <v>13</v>
      </c>
      <c r="AM187" s="165">
        <v>50.5</v>
      </c>
      <c r="AN187" s="167">
        <f>tbl_operations[[#This Row],[Interview Styling Registrations]]+tbl_operations[[#This Row],[Confidence Styling Registrations]]</f>
        <v>2</v>
      </c>
      <c r="AO187" s="167">
        <f>tbl_operations[[#This Row],[Interview Styling Completed]]+tbl_operations[[#This Row],[Confidence Styling Completed]]</f>
        <v>2</v>
      </c>
      <c r="AP187" s="167">
        <f>tbl_operations[[#This Row],[Interview Styling Male]]+tbl_operations[[#This Row],[Confidence Styling Male]]</f>
        <v>0</v>
      </c>
      <c r="AQ187" s="167">
        <f>tbl_operations[[#This Row],[Interview Styling Female]]+tbl_operations[[#This Row],[Confidence Styling Female]]</f>
        <v>2</v>
      </c>
      <c r="AR187" s="167">
        <f>tbl_operations[[#This Row],[Interview Styling Non-Binary]]+tbl_operations[[#This Row],[Confidence Styling Non-Binary]]</f>
        <v>0</v>
      </c>
    </row>
    <row r="188" spans="1:44">
      <c r="A188" s="161" t="s">
        <v>28</v>
      </c>
      <c r="B188" s="162" t="s">
        <v>102</v>
      </c>
      <c r="C188" s="161" t="s">
        <v>98</v>
      </c>
      <c r="D188" s="163">
        <v>46283</v>
      </c>
      <c r="E188" s="164" t="str">
        <f t="shared" si="2"/>
        <v>Friday</v>
      </c>
      <c r="F188" s="161">
        <v>2</v>
      </c>
      <c r="G188" s="161">
        <v>2</v>
      </c>
      <c r="H188" s="161">
        <v>1</v>
      </c>
      <c r="I188" s="161">
        <v>1</v>
      </c>
      <c r="J188" s="161">
        <v>0</v>
      </c>
      <c r="K188" s="161">
        <v>3</v>
      </c>
      <c r="L188" s="161">
        <v>3</v>
      </c>
      <c r="M188" s="161">
        <v>0</v>
      </c>
      <c r="N188" s="161">
        <v>3</v>
      </c>
      <c r="O188" s="161">
        <v>0</v>
      </c>
      <c r="P188" s="161">
        <v>0</v>
      </c>
      <c r="Q188" s="161">
        <v>1</v>
      </c>
      <c r="R188" s="161">
        <v>0</v>
      </c>
      <c r="S188" s="161">
        <v>0</v>
      </c>
      <c r="T188" s="165">
        <v>20.8</v>
      </c>
      <c r="U188" s="165">
        <v>0</v>
      </c>
      <c r="V188" s="161">
        <v>18</v>
      </c>
      <c r="W188" s="166">
        <v>525.02</v>
      </c>
      <c r="X188" s="161">
        <v>244</v>
      </c>
      <c r="Y188" s="161">
        <v>38</v>
      </c>
      <c r="Z188" s="165">
        <v>1</v>
      </c>
      <c r="AA188" s="165">
        <v>0</v>
      </c>
      <c r="AB188" s="165">
        <v>0</v>
      </c>
      <c r="AC188" s="165">
        <v>0</v>
      </c>
      <c r="AD188" s="165">
        <v>1</v>
      </c>
      <c r="AE188" s="165">
        <v>4</v>
      </c>
      <c r="AF188" s="165">
        <v>6</v>
      </c>
      <c r="AG188" s="165">
        <v>3</v>
      </c>
      <c r="AH188" s="165">
        <v>0</v>
      </c>
      <c r="AI188" s="165">
        <v>0</v>
      </c>
      <c r="AJ188" s="165">
        <v>0</v>
      </c>
      <c r="AK188" s="165">
        <v>3</v>
      </c>
      <c r="AL188" s="165">
        <v>15</v>
      </c>
      <c r="AM188" s="165">
        <v>21</v>
      </c>
      <c r="AN188" s="167">
        <f>tbl_operations[[#This Row],[Interview Styling Registrations]]+tbl_operations[[#This Row],[Confidence Styling Registrations]]</f>
        <v>5</v>
      </c>
      <c r="AO188" s="167">
        <f>tbl_operations[[#This Row],[Interview Styling Completed]]+tbl_operations[[#This Row],[Confidence Styling Completed]]</f>
        <v>5</v>
      </c>
      <c r="AP188" s="167">
        <f>tbl_operations[[#This Row],[Interview Styling Male]]+tbl_operations[[#This Row],[Confidence Styling Male]]</f>
        <v>1</v>
      </c>
      <c r="AQ188" s="167">
        <f>tbl_operations[[#This Row],[Interview Styling Female]]+tbl_operations[[#This Row],[Confidence Styling Female]]</f>
        <v>4</v>
      </c>
      <c r="AR188" s="167">
        <f>tbl_operations[[#This Row],[Interview Styling Non-Binary]]+tbl_operations[[#This Row],[Confidence Styling Non-Binary]]</f>
        <v>0</v>
      </c>
    </row>
    <row r="189" spans="1:44">
      <c r="A189" s="161" t="s">
        <v>28</v>
      </c>
      <c r="B189" s="162" t="s">
        <v>102</v>
      </c>
      <c r="C189" s="161" t="s">
        <v>99</v>
      </c>
      <c r="D189" s="163">
        <v>46286</v>
      </c>
      <c r="E189" s="164" t="str">
        <f t="shared" si="2"/>
        <v>Monday</v>
      </c>
      <c r="F189" s="161">
        <v>1</v>
      </c>
      <c r="G189" s="161">
        <v>1</v>
      </c>
      <c r="H189" s="161">
        <v>0</v>
      </c>
      <c r="I189" s="161">
        <v>1</v>
      </c>
      <c r="J189" s="161">
        <v>0</v>
      </c>
      <c r="K189" s="161">
        <v>2</v>
      </c>
      <c r="L189" s="161">
        <v>2</v>
      </c>
      <c r="M189" s="161">
        <v>1</v>
      </c>
      <c r="N189" s="161">
        <v>1</v>
      </c>
      <c r="O189" s="161">
        <v>0</v>
      </c>
      <c r="P189" s="161">
        <v>1</v>
      </c>
      <c r="Q189" s="161">
        <v>0</v>
      </c>
      <c r="R189" s="161">
        <v>0</v>
      </c>
      <c r="S189" s="161">
        <v>0</v>
      </c>
      <c r="T189" s="165">
        <v>41.3</v>
      </c>
      <c r="U189" s="165">
        <v>10.5</v>
      </c>
      <c r="V189" s="161">
        <v>22</v>
      </c>
      <c r="W189" s="166">
        <v>604.67</v>
      </c>
      <c r="X189" s="161">
        <v>1995</v>
      </c>
      <c r="Y189" s="161">
        <v>147</v>
      </c>
      <c r="Z189" s="165">
        <v>3</v>
      </c>
      <c r="AA189" s="165">
        <v>2</v>
      </c>
      <c r="AB189" s="165">
        <v>2</v>
      </c>
      <c r="AC189" s="165">
        <v>0</v>
      </c>
      <c r="AD189" s="165">
        <v>1</v>
      </c>
      <c r="AE189" s="165">
        <v>4</v>
      </c>
      <c r="AF189" s="165">
        <v>12</v>
      </c>
      <c r="AG189" s="165">
        <v>10.5</v>
      </c>
      <c r="AH189" s="165">
        <v>10</v>
      </c>
      <c r="AI189" s="165">
        <v>9</v>
      </c>
      <c r="AJ189" s="165">
        <v>0</v>
      </c>
      <c r="AK189" s="165">
        <v>3</v>
      </c>
      <c r="AL189" s="165">
        <v>10</v>
      </c>
      <c r="AM189" s="165">
        <v>42.5</v>
      </c>
      <c r="AN189" s="167">
        <f>tbl_operations[[#This Row],[Interview Styling Registrations]]+tbl_operations[[#This Row],[Confidence Styling Registrations]]</f>
        <v>3</v>
      </c>
      <c r="AO189" s="167">
        <f>tbl_operations[[#This Row],[Interview Styling Completed]]+tbl_operations[[#This Row],[Confidence Styling Completed]]</f>
        <v>3</v>
      </c>
      <c r="AP189" s="167">
        <f>tbl_operations[[#This Row],[Interview Styling Male]]+tbl_operations[[#This Row],[Confidence Styling Male]]</f>
        <v>1</v>
      </c>
      <c r="AQ189" s="167">
        <f>tbl_operations[[#This Row],[Interview Styling Female]]+tbl_operations[[#This Row],[Confidence Styling Female]]</f>
        <v>2</v>
      </c>
      <c r="AR189" s="167">
        <f>tbl_operations[[#This Row],[Interview Styling Non-Binary]]+tbl_operations[[#This Row],[Confidence Styling Non-Binary]]</f>
        <v>0</v>
      </c>
    </row>
    <row r="190" spans="1:44">
      <c r="A190" s="161" t="s">
        <v>28</v>
      </c>
      <c r="B190" s="162" t="s">
        <v>102</v>
      </c>
      <c r="C190" s="161" t="s">
        <v>99</v>
      </c>
      <c r="D190" s="163">
        <v>46287</v>
      </c>
      <c r="E190" s="164" t="str">
        <f t="shared" si="2"/>
        <v>Tuesday</v>
      </c>
      <c r="F190" s="161">
        <v>3</v>
      </c>
      <c r="G190" s="161">
        <v>2</v>
      </c>
      <c r="H190" s="161">
        <v>0</v>
      </c>
      <c r="I190" s="161">
        <v>2</v>
      </c>
      <c r="J190" s="161">
        <v>0</v>
      </c>
      <c r="K190" s="161">
        <v>2</v>
      </c>
      <c r="L190" s="161">
        <v>2</v>
      </c>
      <c r="M190" s="161">
        <v>1</v>
      </c>
      <c r="N190" s="161">
        <v>1</v>
      </c>
      <c r="O190" s="161">
        <v>0</v>
      </c>
      <c r="P190" s="161">
        <v>0</v>
      </c>
      <c r="Q190" s="161">
        <v>0</v>
      </c>
      <c r="R190" s="161">
        <v>0</v>
      </c>
      <c r="S190" s="161">
        <v>0</v>
      </c>
      <c r="T190" s="165">
        <v>18.9</v>
      </c>
      <c r="U190" s="165">
        <v>16.4</v>
      </c>
      <c r="V190" s="161">
        <v>10</v>
      </c>
      <c r="W190" s="166">
        <v>283.68</v>
      </c>
      <c r="X190" s="161">
        <v>1616</v>
      </c>
      <c r="Y190" s="161">
        <v>93</v>
      </c>
      <c r="Z190" s="165">
        <v>2</v>
      </c>
      <c r="AA190" s="165">
        <v>0</v>
      </c>
      <c r="AB190" s="165">
        <v>2</v>
      </c>
      <c r="AC190" s="165">
        <v>0</v>
      </c>
      <c r="AD190" s="165">
        <v>1</v>
      </c>
      <c r="AE190" s="165">
        <v>1</v>
      </c>
      <c r="AF190" s="165">
        <v>6</v>
      </c>
      <c r="AG190" s="165">
        <v>10</v>
      </c>
      <c r="AH190" s="165">
        <v>0</v>
      </c>
      <c r="AI190" s="165">
        <v>5.5</v>
      </c>
      <c r="AJ190" s="165">
        <v>0</v>
      </c>
      <c r="AK190" s="165">
        <v>4</v>
      </c>
      <c r="AL190" s="165">
        <v>4.5</v>
      </c>
      <c r="AM190" s="165">
        <v>24</v>
      </c>
      <c r="AN190" s="167">
        <f>tbl_operations[[#This Row],[Interview Styling Registrations]]+tbl_operations[[#This Row],[Confidence Styling Registrations]]</f>
        <v>5</v>
      </c>
      <c r="AO190" s="167">
        <f>tbl_operations[[#This Row],[Interview Styling Completed]]+tbl_operations[[#This Row],[Confidence Styling Completed]]</f>
        <v>4</v>
      </c>
      <c r="AP190" s="167">
        <f>tbl_operations[[#This Row],[Interview Styling Male]]+tbl_operations[[#This Row],[Confidence Styling Male]]</f>
        <v>1</v>
      </c>
      <c r="AQ190" s="167">
        <f>tbl_operations[[#This Row],[Interview Styling Female]]+tbl_operations[[#This Row],[Confidence Styling Female]]</f>
        <v>3</v>
      </c>
      <c r="AR190" s="167">
        <f>tbl_operations[[#This Row],[Interview Styling Non-Binary]]+tbl_operations[[#This Row],[Confidence Styling Non-Binary]]</f>
        <v>0</v>
      </c>
    </row>
    <row r="191" spans="1:44">
      <c r="A191" s="161" t="s">
        <v>28</v>
      </c>
      <c r="B191" s="162" t="s">
        <v>102</v>
      </c>
      <c r="C191" s="161" t="s">
        <v>99</v>
      </c>
      <c r="D191" s="163">
        <v>46288</v>
      </c>
      <c r="E191" s="164" t="str">
        <f t="shared" si="2"/>
        <v>Wednesday</v>
      </c>
      <c r="F191" s="161">
        <v>0</v>
      </c>
      <c r="G191" s="161">
        <v>0</v>
      </c>
      <c r="H191" s="161">
        <v>0</v>
      </c>
      <c r="I191" s="161">
        <v>0</v>
      </c>
      <c r="J191" s="161">
        <v>0</v>
      </c>
      <c r="K191" s="161">
        <v>0</v>
      </c>
      <c r="L191" s="161">
        <v>0</v>
      </c>
      <c r="M191" s="161">
        <v>0</v>
      </c>
      <c r="N191" s="161">
        <v>0</v>
      </c>
      <c r="O191" s="161">
        <v>0</v>
      </c>
      <c r="P191" s="161">
        <v>1</v>
      </c>
      <c r="Q191" s="161">
        <v>0</v>
      </c>
      <c r="R191" s="161">
        <v>0</v>
      </c>
      <c r="S191" s="161">
        <v>0</v>
      </c>
      <c r="T191" s="165">
        <v>0</v>
      </c>
      <c r="U191" s="165">
        <v>0</v>
      </c>
      <c r="V191" s="161">
        <v>19</v>
      </c>
      <c r="W191" s="166">
        <v>240.87</v>
      </c>
      <c r="X191" s="161">
        <v>480</v>
      </c>
      <c r="Y191" s="161">
        <v>53</v>
      </c>
      <c r="Z191" s="165">
        <v>1</v>
      </c>
      <c r="AA191" s="165">
        <v>1</v>
      </c>
      <c r="AB191" s="165">
        <v>2</v>
      </c>
      <c r="AC191" s="165">
        <v>0</v>
      </c>
      <c r="AD191" s="165">
        <v>2</v>
      </c>
      <c r="AE191" s="165">
        <v>2</v>
      </c>
      <c r="AF191" s="165">
        <v>8</v>
      </c>
      <c r="AG191" s="165">
        <v>2</v>
      </c>
      <c r="AH191" s="165">
        <v>5</v>
      </c>
      <c r="AI191" s="165">
        <v>7.5</v>
      </c>
      <c r="AJ191" s="165">
        <v>0</v>
      </c>
      <c r="AK191" s="165">
        <v>10</v>
      </c>
      <c r="AL191" s="165">
        <v>10</v>
      </c>
      <c r="AM191" s="165">
        <v>34.5</v>
      </c>
      <c r="AN191" s="167">
        <f>tbl_operations[[#This Row],[Interview Styling Registrations]]+tbl_operations[[#This Row],[Confidence Styling Registrations]]</f>
        <v>0</v>
      </c>
      <c r="AO191" s="167">
        <f>tbl_operations[[#This Row],[Interview Styling Completed]]+tbl_operations[[#This Row],[Confidence Styling Completed]]</f>
        <v>0</v>
      </c>
      <c r="AP191" s="167">
        <f>tbl_operations[[#This Row],[Interview Styling Male]]+tbl_operations[[#This Row],[Confidence Styling Male]]</f>
        <v>0</v>
      </c>
      <c r="AQ191" s="167">
        <f>tbl_operations[[#This Row],[Interview Styling Female]]+tbl_operations[[#This Row],[Confidence Styling Female]]</f>
        <v>0</v>
      </c>
      <c r="AR191" s="167">
        <f>tbl_operations[[#This Row],[Interview Styling Non-Binary]]+tbl_operations[[#This Row],[Confidence Styling Non-Binary]]</f>
        <v>0</v>
      </c>
    </row>
    <row r="192" spans="1:44">
      <c r="A192" s="161" t="s">
        <v>28</v>
      </c>
      <c r="B192" s="162" t="s">
        <v>102</v>
      </c>
      <c r="C192" s="161" t="s">
        <v>99</v>
      </c>
      <c r="D192" s="163">
        <v>46289</v>
      </c>
      <c r="E192" s="164" t="str">
        <f t="shared" si="2"/>
        <v>Thursday</v>
      </c>
      <c r="F192" s="161">
        <v>2</v>
      </c>
      <c r="G192" s="161">
        <v>1</v>
      </c>
      <c r="H192" s="161">
        <v>0</v>
      </c>
      <c r="I192" s="161">
        <v>1</v>
      </c>
      <c r="J192" s="161">
        <v>0</v>
      </c>
      <c r="K192" s="161">
        <v>3</v>
      </c>
      <c r="L192" s="161">
        <v>3</v>
      </c>
      <c r="M192" s="161">
        <v>1</v>
      </c>
      <c r="N192" s="161">
        <v>2</v>
      </c>
      <c r="O192" s="161">
        <v>0</v>
      </c>
      <c r="P192" s="161">
        <v>1</v>
      </c>
      <c r="Q192" s="161">
        <v>0</v>
      </c>
      <c r="R192" s="161">
        <v>1</v>
      </c>
      <c r="S192" s="161">
        <v>0</v>
      </c>
      <c r="T192" s="165">
        <v>60.2</v>
      </c>
      <c r="U192" s="165">
        <v>3.1</v>
      </c>
      <c r="V192" s="161">
        <v>6</v>
      </c>
      <c r="W192" s="166">
        <v>138.09</v>
      </c>
      <c r="X192" s="161">
        <v>1587</v>
      </c>
      <c r="Y192" s="161">
        <v>193</v>
      </c>
      <c r="Z192" s="165">
        <v>3</v>
      </c>
      <c r="AA192" s="165">
        <v>2</v>
      </c>
      <c r="AB192" s="165">
        <v>2</v>
      </c>
      <c r="AC192" s="165">
        <v>2</v>
      </c>
      <c r="AD192" s="165">
        <v>1</v>
      </c>
      <c r="AE192" s="165">
        <v>1</v>
      </c>
      <c r="AF192" s="165">
        <v>11</v>
      </c>
      <c r="AG192" s="165">
        <v>16.5</v>
      </c>
      <c r="AH192" s="165">
        <v>6.5</v>
      </c>
      <c r="AI192" s="165">
        <v>5</v>
      </c>
      <c r="AJ192" s="165">
        <v>8</v>
      </c>
      <c r="AK192" s="165">
        <v>4</v>
      </c>
      <c r="AL192" s="165">
        <v>3</v>
      </c>
      <c r="AM192" s="165">
        <v>43</v>
      </c>
      <c r="AN192" s="167">
        <f>tbl_operations[[#This Row],[Interview Styling Registrations]]+tbl_operations[[#This Row],[Confidence Styling Registrations]]</f>
        <v>5</v>
      </c>
      <c r="AO192" s="167">
        <f>tbl_operations[[#This Row],[Interview Styling Completed]]+tbl_operations[[#This Row],[Confidence Styling Completed]]</f>
        <v>4</v>
      </c>
      <c r="AP192" s="167">
        <f>tbl_operations[[#This Row],[Interview Styling Male]]+tbl_operations[[#This Row],[Confidence Styling Male]]</f>
        <v>1</v>
      </c>
      <c r="AQ192" s="167">
        <f>tbl_operations[[#This Row],[Interview Styling Female]]+tbl_operations[[#This Row],[Confidence Styling Female]]</f>
        <v>3</v>
      </c>
      <c r="AR192" s="167">
        <f>tbl_operations[[#This Row],[Interview Styling Non-Binary]]+tbl_operations[[#This Row],[Confidence Styling Non-Binary]]</f>
        <v>0</v>
      </c>
    </row>
    <row r="193" spans="1:44">
      <c r="A193" s="161" t="s">
        <v>28</v>
      </c>
      <c r="B193" s="162" t="s">
        <v>102</v>
      </c>
      <c r="C193" s="161" t="s">
        <v>99</v>
      </c>
      <c r="D193" s="163">
        <v>46290</v>
      </c>
      <c r="E193" s="164" t="str">
        <f t="shared" si="2"/>
        <v>Friday</v>
      </c>
      <c r="F193" s="161">
        <v>1</v>
      </c>
      <c r="G193" s="161">
        <v>1</v>
      </c>
      <c r="H193" s="161">
        <v>0</v>
      </c>
      <c r="I193" s="161">
        <v>1</v>
      </c>
      <c r="J193" s="161">
        <v>0</v>
      </c>
      <c r="K193" s="161">
        <v>0</v>
      </c>
      <c r="L193" s="161">
        <v>0</v>
      </c>
      <c r="M193" s="161">
        <v>0</v>
      </c>
      <c r="N193" s="161">
        <v>0</v>
      </c>
      <c r="O193" s="161">
        <v>0</v>
      </c>
      <c r="P193" s="161">
        <v>0</v>
      </c>
      <c r="Q193" s="161">
        <v>0</v>
      </c>
      <c r="R193" s="161">
        <v>0</v>
      </c>
      <c r="S193" s="161">
        <v>0</v>
      </c>
      <c r="T193" s="165">
        <v>46.3</v>
      </c>
      <c r="U193" s="165">
        <v>2.8</v>
      </c>
      <c r="V193" s="161">
        <v>4</v>
      </c>
      <c r="W193" s="166">
        <v>88.41</v>
      </c>
      <c r="X193" s="161">
        <v>1380</v>
      </c>
      <c r="Y193" s="161">
        <v>196</v>
      </c>
      <c r="Z193" s="165">
        <v>2</v>
      </c>
      <c r="AA193" s="165">
        <v>0</v>
      </c>
      <c r="AB193" s="165">
        <v>2</v>
      </c>
      <c r="AC193" s="165">
        <v>0</v>
      </c>
      <c r="AD193" s="165">
        <v>2</v>
      </c>
      <c r="AE193" s="165">
        <v>4</v>
      </c>
      <c r="AF193" s="165">
        <v>10</v>
      </c>
      <c r="AG193" s="165">
        <v>7</v>
      </c>
      <c r="AH193" s="165">
        <v>0</v>
      </c>
      <c r="AI193" s="165">
        <v>10.5</v>
      </c>
      <c r="AJ193" s="165">
        <v>0</v>
      </c>
      <c r="AK193" s="165">
        <v>8.5</v>
      </c>
      <c r="AL193" s="165">
        <v>12</v>
      </c>
      <c r="AM193" s="165">
        <v>38</v>
      </c>
      <c r="AN193" s="167">
        <f>tbl_operations[[#This Row],[Interview Styling Registrations]]+tbl_operations[[#This Row],[Confidence Styling Registrations]]</f>
        <v>1</v>
      </c>
      <c r="AO193" s="167">
        <f>tbl_operations[[#This Row],[Interview Styling Completed]]+tbl_operations[[#This Row],[Confidence Styling Completed]]</f>
        <v>1</v>
      </c>
      <c r="AP193" s="167">
        <f>tbl_operations[[#This Row],[Interview Styling Male]]+tbl_operations[[#This Row],[Confidence Styling Male]]</f>
        <v>0</v>
      </c>
      <c r="AQ193" s="167">
        <f>tbl_operations[[#This Row],[Interview Styling Female]]+tbl_operations[[#This Row],[Confidence Styling Female]]</f>
        <v>1</v>
      </c>
      <c r="AR193" s="167">
        <f>tbl_operations[[#This Row],[Interview Styling Non-Binary]]+tbl_operations[[#This Row],[Confidence Styling Non-Binary]]</f>
        <v>0</v>
      </c>
    </row>
    <row r="194" spans="1:44">
      <c r="A194" s="161" t="s">
        <v>28</v>
      </c>
      <c r="B194" s="162" t="s">
        <v>102</v>
      </c>
      <c r="C194" s="161" t="s">
        <v>100</v>
      </c>
      <c r="D194" s="163">
        <v>46293</v>
      </c>
      <c r="E194" s="164" t="str">
        <f t="shared" ref="E194:E257" si="3">TEXT(D194,"dddd")</f>
        <v>Monday</v>
      </c>
      <c r="F194" s="161">
        <v>4</v>
      </c>
      <c r="G194" s="161">
        <v>4</v>
      </c>
      <c r="H194" s="161">
        <v>1</v>
      </c>
      <c r="I194" s="161">
        <v>3</v>
      </c>
      <c r="J194" s="161">
        <v>0</v>
      </c>
      <c r="K194" s="161">
        <v>3</v>
      </c>
      <c r="L194" s="161">
        <v>3</v>
      </c>
      <c r="M194" s="161">
        <v>1</v>
      </c>
      <c r="N194" s="161">
        <v>2</v>
      </c>
      <c r="O194" s="161">
        <v>0</v>
      </c>
      <c r="P194" s="161">
        <v>1</v>
      </c>
      <c r="Q194" s="161">
        <v>0</v>
      </c>
      <c r="R194" s="161">
        <v>0</v>
      </c>
      <c r="S194" s="161">
        <v>0</v>
      </c>
      <c r="T194" s="165">
        <v>0</v>
      </c>
      <c r="U194" s="165">
        <v>0</v>
      </c>
      <c r="V194" s="161">
        <v>19</v>
      </c>
      <c r="W194" s="166">
        <v>274.31</v>
      </c>
      <c r="X194" s="161">
        <v>908</v>
      </c>
      <c r="Y194" s="161">
        <v>136</v>
      </c>
      <c r="Z194" s="165">
        <v>4</v>
      </c>
      <c r="AA194" s="165">
        <v>1</v>
      </c>
      <c r="AB194" s="165">
        <v>2</v>
      </c>
      <c r="AC194" s="165">
        <v>1</v>
      </c>
      <c r="AD194" s="165">
        <v>5</v>
      </c>
      <c r="AE194" s="165">
        <v>3</v>
      </c>
      <c r="AF194" s="165">
        <v>16</v>
      </c>
      <c r="AG194" s="165">
        <v>9.5</v>
      </c>
      <c r="AH194" s="165">
        <v>3.5</v>
      </c>
      <c r="AI194" s="165">
        <v>10</v>
      </c>
      <c r="AJ194" s="165">
        <v>4.5</v>
      </c>
      <c r="AK194" s="165">
        <v>25.5</v>
      </c>
      <c r="AL194" s="165">
        <v>9.5</v>
      </c>
      <c r="AM194" s="165">
        <v>62.5</v>
      </c>
      <c r="AN194" s="167">
        <f>tbl_operations[[#This Row],[Interview Styling Registrations]]+tbl_operations[[#This Row],[Confidence Styling Registrations]]</f>
        <v>7</v>
      </c>
      <c r="AO194" s="167">
        <f>tbl_operations[[#This Row],[Interview Styling Completed]]+tbl_operations[[#This Row],[Confidence Styling Completed]]</f>
        <v>7</v>
      </c>
      <c r="AP194" s="167">
        <f>tbl_operations[[#This Row],[Interview Styling Male]]+tbl_operations[[#This Row],[Confidence Styling Male]]</f>
        <v>2</v>
      </c>
      <c r="AQ194" s="167">
        <f>tbl_operations[[#This Row],[Interview Styling Female]]+tbl_operations[[#This Row],[Confidence Styling Female]]</f>
        <v>5</v>
      </c>
      <c r="AR194" s="167">
        <f>tbl_operations[[#This Row],[Interview Styling Non-Binary]]+tbl_operations[[#This Row],[Confidence Styling Non-Binary]]</f>
        <v>0</v>
      </c>
    </row>
    <row r="195" spans="1:44">
      <c r="A195" s="161" t="s">
        <v>28</v>
      </c>
      <c r="B195" s="162" t="s">
        <v>102</v>
      </c>
      <c r="C195" s="161" t="s">
        <v>100</v>
      </c>
      <c r="D195" s="163">
        <v>46294</v>
      </c>
      <c r="E195" s="164" t="str">
        <f t="shared" si="3"/>
        <v>Tuesday</v>
      </c>
      <c r="F195" s="161">
        <v>1</v>
      </c>
      <c r="G195" s="161">
        <v>0</v>
      </c>
      <c r="H195" s="161">
        <v>0</v>
      </c>
      <c r="I195" s="161">
        <v>0</v>
      </c>
      <c r="J195" s="161">
        <v>0</v>
      </c>
      <c r="K195" s="161">
        <v>3</v>
      </c>
      <c r="L195" s="161">
        <v>3</v>
      </c>
      <c r="M195" s="161">
        <v>1</v>
      </c>
      <c r="N195" s="161">
        <v>2</v>
      </c>
      <c r="O195" s="161">
        <v>0</v>
      </c>
      <c r="P195" s="161">
        <v>1</v>
      </c>
      <c r="Q195" s="161">
        <v>0</v>
      </c>
      <c r="R195" s="161">
        <v>0</v>
      </c>
      <c r="S195" s="161">
        <v>0</v>
      </c>
      <c r="T195" s="165">
        <v>10.8</v>
      </c>
      <c r="U195" s="165">
        <v>21.7</v>
      </c>
      <c r="V195" s="161">
        <v>18</v>
      </c>
      <c r="W195" s="166">
        <v>522.42</v>
      </c>
      <c r="X195" s="161">
        <v>1848</v>
      </c>
      <c r="Y195" s="161">
        <v>183</v>
      </c>
      <c r="Z195" s="165">
        <v>3</v>
      </c>
      <c r="AA195" s="165">
        <v>2</v>
      </c>
      <c r="AB195" s="165">
        <v>2</v>
      </c>
      <c r="AC195" s="165">
        <v>0</v>
      </c>
      <c r="AD195" s="165">
        <v>1</v>
      </c>
      <c r="AE195" s="165">
        <v>2</v>
      </c>
      <c r="AF195" s="165">
        <v>10</v>
      </c>
      <c r="AG195" s="165">
        <v>7.5</v>
      </c>
      <c r="AH195" s="165">
        <v>7.5</v>
      </c>
      <c r="AI195" s="165">
        <v>6</v>
      </c>
      <c r="AJ195" s="165">
        <v>0</v>
      </c>
      <c r="AK195" s="165">
        <v>2.5</v>
      </c>
      <c r="AL195" s="165">
        <v>5.5</v>
      </c>
      <c r="AM195" s="165">
        <v>29</v>
      </c>
      <c r="AN195" s="167">
        <f>tbl_operations[[#This Row],[Interview Styling Registrations]]+tbl_operations[[#This Row],[Confidence Styling Registrations]]</f>
        <v>4</v>
      </c>
      <c r="AO195" s="167">
        <f>tbl_operations[[#This Row],[Interview Styling Completed]]+tbl_operations[[#This Row],[Confidence Styling Completed]]</f>
        <v>3</v>
      </c>
      <c r="AP195" s="167">
        <f>tbl_operations[[#This Row],[Interview Styling Male]]+tbl_operations[[#This Row],[Confidence Styling Male]]</f>
        <v>1</v>
      </c>
      <c r="AQ195" s="167">
        <f>tbl_operations[[#This Row],[Interview Styling Female]]+tbl_operations[[#This Row],[Confidence Styling Female]]</f>
        <v>2</v>
      </c>
      <c r="AR195" s="167">
        <f>tbl_operations[[#This Row],[Interview Styling Non-Binary]]+tbl_operations[[#This Row],[Confidence Styling Non-Binary]]</f>
        <v>0</v>
      </c>
    </row>
    <row r="196" spans="1:44">
      <c r="A196" s="161" t="s">
        <v>28</v>
      </c>
      <c r="B196" s="162" t="s">
        <v>102</v>
      </c>
      <c r="C196" s="161" t="s">
        <v>100</v>
      </c>
      <c r="D196" s="163">
        <v>46295</v>
      </c>
      <c r="E196" s="164" t="str">
        <f t="shared" si="3"/>
        <v>Wednesday</v>
      </c>
      <c r="F196" s="161">
        <v>4</v>
      </c>
      <c r="G196" s="161">
        <v>4</v>
      </c>
      <c r="H196" s="161">
        <v>0</v>
      </c>
      <c r="I196" s="161">
        <v>4</v>
      </c>
      <c r="J196" s="161">
        <v>0</v>
      </c>
      <c r="K196" s="161">
        <v>1</v>
      </c>
      <c r="L196" s="161">
        <v>0</v>
      </c>
      <c r="M196" s="161">
        <v>0</v>
      </c>
      <c r="N196" s="161">
        <v>0</v>
      </c>
      <c r="O196" s="161">
        <v>0</v>
      </c>
      <c r="P196" s="161">
        <v>1</v>
      </c>
      <c r="Q196" s="161">
        <v>0</v>
      </c>
      <c r="R196" s="161">
        <v>0</v>
      </c>
      <c r="S196" s="161">
        <v>0</v>
      </c>
      <c r="T196" s="165">
        <v>0</v>
      </c>
      <c r="U196" s="165">
        <v>0</v>
      </c>
      <c r="V196" s="161">
        <v>20</v>
      </c>
      <c r="W196" s="166">
        <v>530.62</v>
      </c>
      <c r="X196" s="161">
        <v>364</v>
      </c>
      <c r="Y196" s="161">
        <v>46</v>
      </c>
      <c r="Z196" s="165">
        <v>2</v>
      </c>
      <c r="AA196" s="165">
        <v>0</v>
      </c>
      <c r="AB196" s="165">
        <v>2</v>
      </c>
      <c r="AC196" s="165">
        <v>1</v>
      </c>
      <c r="AD196" s="165">
        <v>5</v>
      </c>
      <c r="AE196" s="165">
        <v>4</v>
      </c>
      <c r="AF196" s="165">
        <v>14</v>
      </c>
      <c r="AG196" s="165">
        <v>8.5</v>
      </c>
      <c r="AH196" s="165">
        <v>0</v>
      </c>
      <c r="AI196" s="165">
        <v>5</v>
      </c>
      <c r="AJ196" s="165">
        <v>5</v>
      </c>
      <c r="AK196" s="165">
        <v>22.5</v>
      </c>
      <c r="AL196" s="165">
        <v>11.5</v>
      </c>
      <c r="AM196" s="165">
        <v>52.5</v>
      </c>
      <c r="AN196" s="167">
        <f>tbl_operations[[#This Row],[Interview Styling Registrations]]+tbl_operations[[#This Row],[Confidence Styling Registrations]]</f>
        <v>5</v>
      </c>
      <c r="AO196" s="167">
        <f>tbl_operations[[#This Row],[Interview Styling Completed]]+tbl_operations[[#This Row],[Confidence Styling Completed]]</f>
        <v>4</v>
      </c>
      <c r="AP196" s="167">
        <f>tbl_operations[[#This Row],[Interview Styling Male]]+tbl_operations[[#This Row],[Confidence Styling Male]]</f>
        <v>0</v>
      </c>
      <c r="AQ196" s="167">
        <f>tbl_operations[[#This Row],[Interview Styling Female]]+tbl_operations[[#This Row],[Confidence Styling Female]]</f>
        <v>4</v>
      </c>
      <c r="AR196" s="167">
        <f>tbl_operations[[#This Row],[Interview Styling Non-Binary]]+tbl_operations[[#This Row],[Confidence Styling Non-Binary]]</f>
        <v>0</v>
      </c>
    </row>
    <row r="197" spans="1:44">
      <c r="A197" s="161" t="s">
        <v>29</v>
      </c>
      <c r="B197" s="162" t="s">
        <v>103</v>
      </c>
      <c r="C197" s="161" t="s">
        <v>96</v>
      </c>
      <c r="D197" s="163">
        <v>46296</v>
      </c>
      <c r="E197" s="164" t="str">
        <f t="shared" si="3"/>
        <v>Thursday</v>
      </c>
      <c r="F197" s="161">
        <v>4</v>
      </c>
      <c r="G197" s="161">
        <v>4</v>
      </c>
      <c r="H197" s="161">
        <v>1</v>
      </c>
      <c r="I197" s="161">
        <v>3</v>
      </c>
      <c r="J197" s="161">
        <v>0</v>
      </c>
      <c r="K197" s="161">
        <v>1</v>
      </c>
      <c r="L197" s="161">
        <v>1</v>
      </c>
      <c r="M197" s="161">
        <v>1</v>
      </c>
      <c r="N197" s="161">
        <v>0</v>
      </c>
      <c r="O197" s="161">
        <v>0</v>
      </c>
      <c r="P197" s="161">
        <v>2</v>
      </c>
      <c r="Q197" s="161">
        <v>0</v>
      </c>
      <c r="R197" s="161">
        <v>1</v>
      </c>
      <c r="S197" s="161">
        <v>0</v>
      </c>
      <c r="T197" s="165">
        <v>63.4</v>
      </c>
      <c r="U197" s="165">
        <v>0</v>
      </c>
      <c r="V197" s="161">
        <v>17</v>
      </c>
      <c r="W197" s="166">
        <v>226.59</v>
      </c>
      <c r="X197" s="161">
        <v>439</v>
      </c>
      <c r="Y197" s="161">
        <v>40</v>
      </c>
      <c r="Z197" s="165">
        <v>3</v>
      </c>
      <c r="AA197" s="165">
        <v>0</v>
      </c>
      <c r="AB197" s="165">
        <v>1</v>
      </c>
      <c r="AC197" s="165">
        <v>0</v>
      </c>
      <c r="AD197" s="165">
        <v>1</v>
      </c>
      <c r="AE197" s="165">
        <v>4</v>
      </c>
      <c r="AF197" s="165">
        <v>9</v>
      </c>
      <c r="AG197" s="165">
        <v>14</v>
      </c>
      <c r="AH197" s="165">
        <v>0</v>
      </c>
      <c r="AI197" s="165">
        <v>2.5</v>
      </c>
      <c r="AJ197" s="165">
        <v>0</v>
      </c>
      <c r="AK197" s="165">
        <v>4.5</v>
      </c>
      <c r="AL197" s="165">
        <v>22</v>
      </c>
      <c r="AM197" s="165">
        <v>43</v>
      </c>
      <c r="AN197" s="167">
        <f>tbl_operations[[#This Row],[Interview Styling Registrations]]+tbl_operations[[#This Row],[Confidence Styling Registrations]]</f>
        <v>5</v>
      </c>
      <c r="AO197" s="167">
        <f>tbl_operations[[#This Row],[Interview Styling Completed]]+tbl_operations[[#This Row],[Confidence Styling Completed]]</f>
        <v>5</v>
      </c>
      <c r="AP197" s="167">
        <f>tbl_operations[[#This Row],[Interview Styling Male]]+tbl_operations[[#This Row],[Confidence Styling Male]]</f>
        <v>2</v>
      </c>
      <c r="AQ197" s="167">
        <f>tbl_operations[[#This Row],[Interview Styling Female]]+tbl_operations[[#This Row],[Confidence Styling Female]]</f>
        <v>3</v>
      </c>
      <c r="AR197" s="167">
        <f>tbl_operations[[#This Row],[Interview Styling Non-Binary]]+tbl_operations[[#This Row],[Confidence Styling Non-Binary]]</f>
        <v>0</v>
      </c>
    </row>
    <row r="198" spans="1:44">
      <c r="A198" s="161" t="s">
        <v>29</v>
      </c>
      <c r="B198" s="162" t="s">
        <v>103</v>
      </c>
      <c r="C198" s="161" t="s">
        <v>96</v>
      </c>
      <c r="D198" s="163">
        <v>46297</v>
      </c>
      <c r="E198" s="164" t="str">
        <f t="shared" si="3"/>
        <v>Friday</v>
      </c>
      <c r="F198" s="161">
        <v>0</v>
      </c>
      <c r="G198" s="161">
        <v>0</v>
      </c>
      <c r="H198" s="161">
        <v>0</v>
      </c>
      <c r="I198" s="161">
        <v>0</v>
      </c>
      <c r="J198" s="161">
        <v>0</v>
      </c>
      <c r="K198" s="161">
        <v>3</v>
      </c>
      <c r="L198" s="161">
        <v>2</v>
      </c>
      <c r="M198" s="161">
        <v>1</v>
      </c>
      <c r="N198" s="161">
        <v>1</v>
      </c>
      <c r="O198" s="161">
        <v>0</v>
      </c>
      <c r="P198" s="161">
        <v>0</v>
      </c>
      <c r="Q198" s="161">
        <v>0</v>
      </c>
      <c r="R198" s="161">
        <v>0</v>
      </c>
      <c r="S198" s="161">
        <v>1</v>
      </c>
      <c r="T198" s="165">
        <v>32.3</v>
      </c>
      <c r="U198" s="165">
        <v>7.5</v>
      </c>
      <c r="V198" s="161">
        <v>22</v>
      </c>
      <c r="W198" s="166">
        <v>578.98</v>
      </c>
      <c r="X198" s="161">
        <v>1484</v>
      </c>
      <c r="Y198" s="161">
        <v>62</v>
      </c>
      <c r="Z198" s="165">
        <v>3</v>
      </c>
      <c r="AA198" s="165">
        <v>0</v>
      </c>
      <c r="AB198" s="165">
        <v>0</v>
      </c>
      <c r="AC198" s="165">
        <v>1</v>
      </c>
      <c r="AD198" s="165">
        <v>5</v>
      </c>
      <c r="AE198" s="165">
        <v>3</v>
      </c>
      <c r="AF198" s="165">
        <v>12</v>
      </c>
      <c r="AG198" s="165">
        <v>7.5</v>
      </c>
      <c r="AH198" s="165">
        <v>0</v>
      </c>
      <c r="AI198" s="165">
        <v>0</v>
      </c>
      <c r="AJ198" s="165">
        <v>2.5</v>
      </c>
      <c r="AK198" s="165">
        <v>19</v>
      </c>
      <c r="AL198" s="165">
        <v>11.5</v>
      </c>
      <c r="AM198" s="165">
        <v>40.5</v>
      </c>
      <c r="AN198" s="167">
        <f>tbl_operations[[#This Row],[Interview Styling Registrations]]+tbl_operations[[#This Row],[Confidence Styling Registrations]]</f>
        <v>3</v>
      </c>
      <c r="AO198" s="167">
        <f>tbl_operations[[#This Row],[Interview Styling Completed]]+tbl_operations[[#This Row],[Confidence Styling Completed]]</f>
        <v>2</v>
      </c>
      <c r="AP198" s="167">
        <f>tbl_operations[[#This Row],[Interview Styling Male]]+tbl_operations[[#This Row],[Confidence Styling Male]]</f>
        <v>1</v>
      </c>
      <c r="AQ198" s="167">
        <f>tbl_operations[[#This Row],[Interview Styling Female]]+tbl_operations[[#This Row],[Confidence Styling Female]]</f>
        <v>1</v>
      </c>
      <c r="AR198" s="167">
        <f>tbl_operations[[#This Row],[Interview Styling Non-Binary]]+tbl_operations[[#This Row],[Confidence Styling Non-Binary]]</f>
        <v>0</v>
      </c>
    </row>
    <row r="199" spans="1:44">
      <c r="A199" s="161" t="s">
        <v>29</v>
      </c>
      <c r="B199" s="162" t="s">
        <v>103</v>
      </c>
      <c r="C199" s="161" t="s">
        <v>97</v>
      </c>
      <c r="D199" s="163">
        <v>46300</v>
      </c>
      <c r="E199" s="164" t="str">
        <f t="shared" si="3"/>
        <v>Monday</v>
      </c>
      <c r="F199" s="161">
        <v>0</v>
      </c>
      <c r="G199" s="161">
        <v>0</v>
      </c>
      <c r="H199" s="161">
        <v>0</v>
      </c>
      <c r="I199" s="161">
        <v>0</v>
      </c>
      <c r="J199" s="161">
        <v>0</v>
      </c>
      <c r="K199" s="161">
        <v>2</v>
      </c>
      <c r="L199" s="161">
        <v>2</v>
      </c>
      <c r="M199" s="161">
        <v>1</v>
      </c>
      <c r="N199" s="161">
        <v>1</v>
      </c>
      <c r="O199" s="161">
        <v>0</v>
      </c>
      <c r="P199" s="161">
        <v>1</v>
      </c>
      <c r="Q199" s="161">
        <v>1</v>
      </c>
      <c r="R199" s="161">
        <v>0</v>
      </c>
      <c r="S199" s="161">
        <v>0</v>
      </c>
      <c r="T199" s="165">
        <v>15.6</v>
      </c>
      <c r="U199" s="165">
        <v>4.8</v>
      </c>
      <c r="V199" s="161">
        <v>17</v>
      </c>
      <c r="W199" s="166">
        <v>447.7</v>
      </c>
      <c r="X199" s="161">
        <v>201</v>
      </c>
      <c r="Y199" s="161">
        <v>16</v>
      </c>
      <c r="Z199" s="165">
        <v>1</v>
      </c>
      <c r="AA199" s="165">
        <v>1</v>
      </c>
      <c r="AB199" s="165">
        <v>2</v>
      </c>
      <c r="AC199" s="165">
        <v>0</v>
      </c>
      <c r="AD199" s="165">
        <v>4</v>
      </c>
      <c r="AE199" s="165">
        <v>4</v>
      </c>
      <c r="AF199" s="165">
        <v>12</v>
      </c>
      <c r="AG199" s="165">
        <v>3.5</v>
      </c>
      <c r="AH199" s="165">
        <v>5</v>
      </c>
      <c r="AI199" s="165">
        <v>5.5</v>
      </c>
      <c r="AJ199" s="165">
        <v>0</v>
      </c>
      <c r="AK199" s="165">
        <v>14.5</v>
      </c>
      <c r="AL199" s="165">
        <v>9.5</v>
      </c>
      <c r="AM199" s="165">
        <v>38</v>
      </c>
      <c r="AN199" s="167">
        <f>tbl_operations[[#This Row],[Interview Styling Registrations]]+tbl_operations[[#This Row],[Confidence Styling Registrations]]</f>
        <v>2</v>
      </c>
      <c r="AO199" s="167">
        <f>tbl_operations[[#This Row],[Interview Styling Completed]]+tbl_operations[[#This Row],[Confidence Styling Completed]]</f>
        <v>2</v>
      </c>
      <c r="AP199" s="167">
        <f>tbl_operations[[#This Row],[Interview Styling Male]]+tbl_operations[[#This Row],[Confidence Styling Male]]</f>
        <v>1</v>
      </c>
      <c r="AQ199" s="167">
        <f>tbl_operations[[#This Row],[Interview Styling Female]]+tbl_operations[[#This Row],[Confidence Styling Female]]</f>
        <v>1</v>
      </c>
      <c r="AR199" s="167">
        <f>tbl_operations[[#This Row],[Interview Styling Non-Binary]]+tbl_operations[[#This Row],[Confidence Styling Non-Binary]]</f>
        <v>0</v>
      </c>
    </row>
    <row r="200" spans="1:44">
      <c r="A200" s="161" t="s">
        <v>29</v>
      </c>
      <c r="B200" s="162" t="s">
        <v>103</v>
      </c>
      <c r="C200" s="161" t="s">
        <v>97</v>
      </c>
      <c r="D200" s="163">
        <v>46301</v>
      </c>
      <c r="E200" s="164" t="str">
        <f t="shared" si="3"/>
        <v>Tuesday</v>
      </c>
      <c r="F200" s="161">
        <v>3</v>
      </c>
      <c r="G200" s="161">
        <v>2</v>
      </c>
      <c r="H200" s="161">
        <v>1</v>
      </c>
      <c r="I200" s="161">
        <v>1</v>
      </c>
      <c r="J200" s="161">
        <v>0</v>
      </c>
      <c r="K200" s="161">
        <v>0</v>
      </c>
      <c r="L200" s="161">
        <v>0</v>
      </c>
      <c r="M200" s="161">
        <v>0</v>
      </c>
      <c r="N200" s="161">
        <v>0</v>
      </c>
      <c r="O200" s="161">
        <v>0</v>
      </c>
      <c r="P200" s="161">
        <v>0</v>
      </c>
      <c r="Q200" s="161">
        <v>0</v>
      </c>
      <c r="R200" s="161">
        <v>0</v>
      </c>
      <c r="S200" s="161">
        <v>0</v>
      </c>
      <c r="T200" s="165">
        <v>15.1</v>
      </c>
      <c r="U200" s="165">
        <v>14.7</v>
      </c>
      <c r="V200" s="161">
        <v>18</v>
      </c>
      <c r="W200" s="166">
        <v>478.4</v>
      </c>
      <c r="X200" s="161">
        <v>341</v>
      </c>
      <c r="Y200" s="161">
        <v>29</v>
      </c>
      <c r="Z200" s="165">
        <v>3</v>
      </c>
      <c r="AA200" s="165">
        <v>0</v>
      </c>
      <c r="AB200" s="165">
        <v>0</v>
      </c>
      <c r="AC200" s="165">
        <v>1</v>
      </c>
      <c r="AD200" s="165">
        <v>4</v>
      </c>
      <c r="AE200" s="165">
        <v>4</v>
      </c>
      <c r="AF200" s="165">
        <v>12</v>
      </c>
      <c r="AG200" s="165">
        <v>9.5</v>
      </c>
      <c r="AH200" s="165">
        <v>0</v>
      </c>
      <c r="AI200" s="165">
        <v>0</v>
      </c>
      <c r="AJ200" s="165">
        <v>4.5</v>
      </c>
      <c r="AK200" s="165">
        <v>14</v>
      </c>
      <c r="AL200" s="165">
        <v>19</v>
      </c>
      <c r="AM200" s="165">
        <v>47</v>
      </c>
      <c r="AN200" s="167">
        <f>tbl_operations[[#This Row],[Interview Styling Registrations]]+tbl_operations[[#This Row],[Confidence Styling Registrations]]</f>
        <v>3</v>
      </c>
      <c r="AO200" s="167">
        <f>tbl_operations[[#This Row],[Interview Styling Completed]]+tbl_operations[[#This Row],[Confidence Styling Completed]]</f>
        <v>2</v>
      </c>
      <c r="AP200" s="167">
        <f>tbl_operations[[#This Row],[Interview Styling Male]]+tbl_operations[[#This Row],[Confidence Styling Male]]</f>
        <v>1</v>
      </c>
      <c r="AQ200" s="167">
        <f>tbl_operations[[#This Row],[Interview Styling Female]]+tbl_operations[[#This Row],[Confidence Styling Female]]</f>
        <v>1</v>
      </c>
      <c r="AR200" s="167">
        <f>tbl_operations[[#This Row],[Interview Styling Non-Binary]]+tbl_operations[[#This Row],[Confidence Styling Non-Binary]]</f>
        <v>0</v>
      </c>
    </row>
    <row r="201" spans="1:44">
      <c r="A201" s="161" t="s">
        <v>29</v>
      </c>
      <c r="B201" s="162" t="s">
        <v>103</v>
      </c>
      <c r="C201" s="161" t="s">
        <v>97</v>
      </c>
      <c r="D201" s="163">
        <v>46302</v>
      </c>
      <c r="E201" s="164" t="str">
        <f t="shared" si="3"/>
        <v>Wednesday</v>
      </c>
      <c r="F201" s="161">
        <v>3</v>
      </c>
      <c r="G201" s="161">
        <v>3</v>
      </c>
      <c r="H201" s="161">
        <v>1</v>
      </c>
      <c r="I201" s="161">
        <v>2</v>
      </c>
      <c r="J201" s="161">
        <v>0</v>
      </c>
      <c r="K201" s="161">
        <v>1</v>
      </c>
      <c r="L201" s="161">
        <v>0</v>
      </c>
      <c r="M201" s="161">
        <v>0</v>
      </c>
      <c r="N201" s="161">
        <v>0</v>
      </c>
      <c r="O201" s="161">
        <v>0</v>
      </c>
      <c r="P201" s="161">
        <v>2</v>
      </c>
      <c r="Q201" s="161">
        <v>0</v>
      </c>
      <c r="R201" s="161">
        <v>0</v>
      </c>
      <c r="S201" s="161">
        <v>0</v>
      </c>
      <c r="T201" s="165">
        <v>0</v>
      </c>
      <c r="U201" s="165">
        <v>0</v>
      </c>
      <c r="V201" s="161">
        <v>18</v>
      </c>
      <c r="W201" s="166">
        <v>250.36</v>
      </c>
      <c r="X201" s="161">
        <v>722</v>
      </c>
      <c r="Y201" s="161">
        <v>24</v>
      </c>
      <c r="Z201" s="165">
        <v>4</v>
      </c>
      <c r="AA201" s="165">
        <v>0</v>
      </c>
      <c r="AB201" s="165">
        <v>2</v>
      </c>
      <c r="AC201" s="165">
        <v>0</v>
      </c>
      <c r="AD201" s="165">
        <v>2</v>
      </c>
      <c r="AE201" s="165">
        <v>2</v>
      </c>
      <c r="AF201" s="165">
        <v>10</v>
      </c>
      <c r="AG201" s="165">
        <v>15.5</v>
      </c>
      <c r="AH201" s="165">
        <v>0</v>
      </c>
      <c r="AI201" s="165">
        <v>7</v>
      </c>
      <c r="AJ201" s="165">
        <v>0</v>
      </c>
      <c r="AK201" s="165">
        <v>6</v>
      </c>
      <c r="AL201" s="165">
        <v>7.5</v>
      </c>
      <c r="AM201" s="165">
        <v>36</v>
      </c>
      <c r="AN201" s="167">
        <f>tbl_operations[[#This Row],[Interview Styling Registrations]]+tbl_operations[[#This Row],[Confidence Styling Registrations]]</f>
        <v>4</v>
      </c>
      <c r="AO201" s="167">
        <f>tbl_operations[[#This Row],[Interview Styling Completed]]+tbl_operations[[#This Row],[Confidence Styling Completed]]</f>
        <v>3</v>
      </c>
      <c r="AP201" s="167">
        <f>tbl_operations[[#This Row],[Interview Styling Male]]+tbl_operations[[#This Row],[Confidence Styling Male]]</f>
        <v>1</v>
      </c>
      <c r="AQ201" s="167">
        <f>tbl_operations[[#This Row],[Interview Styling Female]]+tbl_operations[[#This Row],[Confidence Styling Female]]</f>
        <v>2</v>
      </c>
      <c r="AR201" s="167">
        <f>tbl_operations[[#This Row],[Interview Styling Non-Binary]]+tbl_operations[[#This Row],[Confidence Styling Non-Binary]]</f>
        <v>0</v>
      </c>
    </row>
    <row r="202" spans="1:44">
      <c r="A202" s="161" t="s">
        <v>29</v>
      </c>
      <c r="B202" s="162" t="s">
        <v>103</v>
      </c>
      <c r="C202" s="161" t="s">
        <v>97</v>
      </c>
      <c r="D202" s="163">
        <v>46303</v>
      </c>
      <c r="E202" s="164" t="str">
        <f t="shared" si="3"/>
        <v>Thursday</v>
      </c>
      <c r="F202" s="161">
        <v>3</v>
      </c>
      <c r="G202" s="161">
        <v>3</v>
      </c>
      <c r="H202" s="161">
        <v>0</v>
      </c>
      <c r="I202" s="161">
        <v>3</v>
      </c>
      <c r="J202" s="161">
        <v>0</v>
      </c>
      <c r="K202" s="161">
        <v>1</v>
      </c>
      <c r="L202" s="161">
        <v>1</v>
      </c>
      <c r="M202" s="161">
        <v>0</v>
      </c>
      <c r="N202" s="161">
        <v>1</v>
      </c>
      <c r="O202" s="161">
        <v>0</v>
      </c>
      <c r="P202" s="161">
        <v>0</v>
      </c>
      <c r="Q202" s="161">
        <v>1</v>
      </c>
      <c r="R202" s="161">
        <v>1</v>
      </c>
      <c r="S202" s="161">
        <v>0</v>
      </c>
      <c r="T202" s="165">
        <v>27.6</v>
      </c>
      <c r="U202" s="165">
        <v>11.1</v>
      </c>
      <c r="V202" s="161">
        <v>7</v>
      </c>
      <c r="W202" s="166">
        <v>172.77</v>
      </c>
      <c r="X202" s="161">
        <v>1659</v>
      </c>
      <c r="Y202" s="161">
        <v>114</v>
      </c>
      <c r="Z202" s="165">
        <v>3</v>
      </c>
      <c r="AA202" s="165">
        <v>0</v>
      </c>
      <c r="AB202" s="165">
        <v>2</v>
      </c>
      <c r="AC202" s="165">
        <v>2</v>
      </c>
      <c r="AD202" s="165">
        <v>1</v>
      </c>
      <c r="AE202" s="165">
        <v>2</v>
      </c>
      <c r="AF202" s="165">
        <v>10</v>
      </c>
      <c r="AG202" s="165">
        <v>9.5</v>
      </c>
      <c r="AH202" s="165">
        <v>0</v>
      </c>
      <c r="AI202" s="165">
        <v>7.5</v>
      </c>
      <c r="AJ202" s="165">
        <v>4.5</v>
      </c>
      <c r="AK202" s="165">
        <v>2.5</v>
      </c>
      <c r="AL202" s="165">
        <v>10.5</v>
      </c>
      <c r="AM202" s="165">
        <v>34.5</v>
      </c>
      <c r="AN202" s="167">
        <f>tbl_operations[[#This Row],[Interview Styling Registrations]]+tbl_operations[[#This Row],[Confidence Styling Registrations]]</f>
        <v>4</v>
      </c>
      <c r="AO202" s="167">
        <f>tbl_operations[[#This Row],[Interview Styling Completed]]+tbl_operations[[#This Row],[Confidence Styling Completed]]</f>
        <v>4</v>
      </c>
      <c r="AP202" s="167">
        <f>tbl_operations[[#This Row],[Interview Styling Male]]+tbl_operations[[#This Row],[Confidence Styling Male]]</f>
        <v>0</v>
      </c>
      <c r="AQ202" s="167">
        <f>tbl_operations[[#This Row],[Interview Styling Female]]+tbl_operations[[#This Row],[Confidence Styling Female]]</f>
        <v>4</v>
      </c>
      <c r="AR202" s="167">
        <f>tbl_operations[[#This Row],[Interview Styling Non-Binary]]+tbl_operations[[#This Row],[Confidence Styling Non-Binary]]</f>
        <v>0</v>
      </c>
    </row>
    <row r="203" spans="1:44">
      <c r="A203" s="161" t="s">
        <v>29</v>
      </c>
      <c r="B203" s="162" t="s">
        <v>103</v>
      </c>
      <c r="C203" s="161" t="s">
        <v>97</v>
      </c>
      <c r="D203" s="163">
        <v>46304</v>
      </c>
      <c r="E203" s="164" t="str">
        <f t="shared" si="3"/>
        <v>Friday</v>
      </c>
      <c r="F203" s="161">
        <v>3</v>
      </c>
      <c r="G203" s="161">
        <v>3</v>
      </c>
      <c r="H203" s="161">
        <v>1</v>
      </c>
      <c r="I203" s="161">
        <v>2</v>
      </c>
      <c r="J203" s="161">
        <v>0</v>
      </c>
      <c r="K203" s="161">
        <v>0</v>
      </c>
      <c r="L203" s="161">
        <v>0</v>
      </c>
      <c r="M203" s="161">
        <v>0</v>
      </c>
      <c r="N203" s="161">
        <v>0</v>
      </c>
      <c r="O203" s="161">
        <v>0</v>
      </c>
      <c r="P203" s="161">
        <v>0</v>
      </c>
      <c r="Q203" s="161">
        <v>0</v>
      </c>
      <c r="R203" s="161">
        <v>0</v>
      </c>
      <c r="S203" s="161">
        <v>0</v>
      </c>
      <c r="T203" s="165">
        <v>44.6</v>
      </c>
      <c r="U203" s="165">
        <v>0</v>
      </c>
      <c r="V203" s="161">
        <v>4</v>
      </c>
      <c r="W203" s="166">
        <v>82.3</v>
      </c>
      <c r="X203" s="161">
        <v>1138</v>
      </c>
      <c r="Y203" s="161">
        <v>110</v>
      </c>
      <c r="Z203" s="165">
        <v>2</v>
      </c>
      <c r="AA203" s="165">
        <v>2</v>
      </c>
      <c r="AB203" s="165">
        <v>1</v>
      </c>
      <c r="AC203" s="165">
        <v>1</v>
      </c>
      <c r="AD203" s="165">
        <v>1</v>
      </c>
      <c r="AE203" s="165">
        <v>3</v>
      </c>
      <c r="AF203" s="165">
        <v>10</v>
      </c>
      <c r="AG203" s="165">
        <v>6</v>
      </c>
      <c r="AH203" s="165">
        <v>6</v>
      </c>
      <c r="AI203" s="165">
        <v>5.5</v>
      </c>
      <c r="AJ203" s="165">
        <v>2</v>
      </c>
      <c r="AK203" s="165">
        <v>3</v>
      </c>
      <c r="AL203" s="165">
        <v>6.5</v>
      </c>
      <c r="AM203" s="165">
        <v>29</v>
      </c>
      <c r="AN203" s="167">
        <f>tbl_operations[[#This Row],[Interview Styling Registrations]]+tbl_operations[[#This Row],[Confidence Styling Registrations]]</f>
        <v>3</v>
      </c>
      <c r="AO203" s="167">
        <f>tbl_operations[[#This Row],[Interview Styling Completed]]+tbl_operations[[#This Row],[Confidence Styling Completed]]</f>
        <v>3</v>
      </c>
      <c r="AP203" s="167">
        <f>tbl_operations[[#This Row],[Interview Styling Male]]+tbl_operations[[#This Row],[Confidence Styling Male]]</f>
        <v>1</v>
      </c>
      <c r="AQ203" s="167">
        <f>tbl_operations[[#This Row],[Interview Styling Female]]+tbl_operations[[#This Row],[Confidence Styling Female]]</f>
        <v>2</v>
      </c>
      <c r="AR203" s="167">
        <f>tbl_operations[[#This Row],[Interview Styling Non-Binary]]+tbl_operations[[#This Row],[Confidence Styling Non-Binary]]</f>
        <v>0</v>
      </c>
    </row>
    <row r="204" spans="1:44">
      <c r="A204" s="161" t="s">
        <v>29</v>
      </c>
      <c r="B204" s="162" t="s">
        <v>103</v>
      </c>
      <c r="C204" s="161" t="s">
        <v>98</v>
      </c>
      <c r="D204" s="163">
        <v>46307</v>
      </c>
      <c r="E204" s="164" t="str">
        <f t="shared" si="3"/>
        <v>Monday</v>
      </c>
      <c r="F204" s="161">
        <v>4</v>
      </c>
      <c r="G204" s="161">
        <v>3</v>
      </c>
      <c r="H204" s="161">
        <v>0</v>
      </c>
      <c r="I204" s="161">
        <v>3</v>
      </c>
      <c r="J204" s="161">
        <v>0</v>
      </c>
      <c r="K204" s="161">
        <v>3</v>
      </c>
      <c r="L204" s="161">
        <v>2</v>
      </c>
      <c r="M204" s="161">
        <v>0</v>
      </c>
      <c r="N204" s="161">
        <v>2</v>
      </c>
      <c r="O204" s="161">
        <v>0</v>
      </c>
      <c r="P204" s="161">
        <v>0</v>
      </c>
      <c r="Q204" s="161">
        <v>0</v>
      </c>
      <c r="R204" s="161">
        <v>0</v>
      </c>
      <c r="S204" s="161">
        <v>0</v>
      </c>
      <c r="T204" s="165">
        <v>22.9</v>
      </c>
      <c r="U204" s="165">
        <v>0</v>
      </c>
      <c r="V204" s="161">
        <v>10</v>
      </c>
      <c r="W204" s="166">
        <v>278.86</v>
      </c>
      <c r="X204" s="161">
        <v>876</v>
      </c>
      <c r="Y204" s="161">
        <v>57</v>
      </c>
      <c r="Z204" s="165">
        <v>3</v>
      </c>
      <c r="AA204" s="165">
        <v>0</v>
      </c>
      <c r="AB204" s="165">
        <v>0</v>
      </c>
      <c r="AC204" s="165">
        <v>0</v>
      </c>
      <c r="AD204" s="165">
        <v>1</v>
      </c>
      <c r="AE204" s="165">
        <v>2</v>
      </c>
      <c r="AF204" s="165">
        <v>6</v>
      </c>
      <c r="AG204" s="165">
        <v>6.5</v>
      </c>
      <c r="AH204" s="165">
        <v>0</v>
      </c>
      <c r="AI204" s="165">
        <v>0</v>
      </c>
      <c r="AJ204" s="165">
        <v>0</v>
      </c>
      <c r="AK204" s="165">
        <v>5.5</v>
      </c>
      <c r="AL204" s="165">
        <v>5.5</v>
      </c>
      <c r="AM204" s="165">
        <v>17.5</v>
      </c>
      <c r="AN204" s="167">
        <f>tbl_operations[[#This Row],[Interview Styling Registrations]]+tbl_operations[[#This Row],[Confidence Styling Registrations]]</f>
        <v>7</v>
      </c>
      <c r="AO204" s="167">
        <f>tbl_operations[[#This Row],[Interview Styling Completed]]+tbl_operations[[#This Row],[Confidence Styling Completed]]</f>
        <v>5</v>
      </c>
      <c r="AP204" s="167">
        <f>tbl_operations[[#This Row],[Interview Styling Male]]+tbl_operations[[#This Row],[Confidence Styling Male]]</f>
        <v>0</v>
      </c>
      <c r="AQ204" s="167">
        <f>tbl_operations[[#This Row],[Interview Styling Female]]+tbl_operations[[#This Row],[Confidence Styling Female]]</f>
        <v>5</v>
      </c>
      <c r="AR204" s="167">
        <f>tbl_operations[[#This Row],[Interview Styling Non-Binary]]+tbl_operations[[#This Row],[Confidence Styling Non-Binary]]</f>
        <v>0</v>
      </c>
    </row>
    <row r="205" spans="1:44">
      <c r="A205" s="161" t="s">
        <v>29</v>
      </c>
      <c r="B205" s="162" t="s">
        <v>103</v>
      </c>
      <c r="C205" s="161" t="s">
        <v>98</v>
      </c>
      <c r="D205" s="163">
        <v>46308</v>
      </c>
      <c r="E205" s="164" t="str">
        <f t="shared" si="3"/>
        <v>Tuesday</v>
      </c>
      <c r="F205" s="161">
        <v>3</v>
      </c>
      <c r="G205" s="161">
        <v>3</v>
      </c>
      <c r="H205" s="161">
        <v>0</v>
      </c>
      <c r="I205" s="161">
        <v>3</v>
      </c>
      <c r="J205" s="161">
        <v>0</v>
      </c>
      <c r="K205" s="161">
        <v>2</v>
      </c>
      <c r="L205" s="161">
        <v>2</v>
      </c>
      <c r="M205" s="161">
        <v>1</v>
      </c>
      <c r="N205" s="161">
        <v>1</v>
      </c>
      <c r="O205" s="161">
        <v>0</v>
      </c>
      <c r="P205" s="161">
        <v>0</v>
      </c>
      <c r="Q205" s="161">
        <v>0</v>
      </c>
      <c r="R205" s="161">
        <v>0</v>
      </c>
      <c r="S205" s="161">
        <v>1</v>
      </c>
      <c r="T205" s="165">
        <v>46.3</v>
      </c>
      <c r="U205" s="165">
        <v>0</v>
      </c>
      <c r="V205" s="161">
        <v>10</v>
      </c>
      <c r="W205" s="166">
        <v>211.89</v>
      </c>
      <c r="X205" s="161">
        <v>1263</v>
      </c>
      <c r="Y205" s="161">
        <v>69</v>
      </c>
      <c r="Z205" s="165">
        <v>2</v>
      </c>
      <c r="AA205" s="165">
        <v>1</v>
      </c>
      <c r="AB205" s="165">
        <v>1</v>
      </c>
      <c r="AC205" s="165">
        <v>2</v>
      </c>
      <c r="AD205" s="165">
        <v>2</v>
      </c>
      <c r="AE205" s="165">
        <v>3</v>
      </c>
      <c r="AF205" s="165">
        <v>11</v>
      </c>
      <c r="AG205" s="165">
        <v>5.5</v>
      </c>
      <c r="AH205" s="165">
        <v>3.5</v>
      </c>
      <c r="AI205" s="165">
        <v>2.5</v>
      </c>
      <c r="AJ205" s="165">
        <v>11</v>
      </c>
      <c r="AK205" s="165">
        <v>7</v>
      </c>
      <c r="AL205" s="165">
        <v>9.5</v>
      </c>
      <c r="AM205" s="165">
        <v>39</v>
      </c>
      <c r="AN205" s="167">
        <f>tbl_operations[[#This Row],[Interview Styling Registrations]]+tbl_operations[[#This Row],[Confidence Styling Registrations]]</f>
        <v>5</v>
      </c>
      <c r="AO205" s="167">
        <f>tbl_operations[[#This Row],[Interview Styling Completed]]+tbl_operations[[#This Row],[Confidence Styling Completed]]</f>
        <v>5</v>
      </c>
      <c r="AP205" s="167">
        <f>tbl_operations[[#This Row],[Interview Styling Male]]+tbl_operations[[#This Row],[Confidence Styling Male]]</f>
        <v>1</v>
      </c>
      <c r="AQ205" s="167">
        <f>tbl_operations[[#This Row],[Interview Styling Female]]+tbl_operations[[#This Row],[Confidence Styling Female]]</f>
        <v>4</v>
      </c>
      <c r="AR205" s="167">
        <f>tbl_operations[[#This Row],[Interview Styling Non-Binary]]+tbl_operations[[#This Row],[Confidence Styling Non-Binary]]</f>
        <v>0</v>
      </c>
    </row>
    <row r="206" spans="1:44">
      <c r="A206" s="161" t="s">
        <v>29</v>
      </c>
      <c r="B206" s="162" t="s">
        <v>103</v>
      </c>
      <c r="C206" s="161" t="s">
        <v>98</v>
      </c>
      <c r="D206" s="163">
        <v>46309</v>
      </c>
      <c r="E206" s="164" t="str">
        <f t="shared" si="3"/>
        <v>Wednesday</v>
      </c>
      <c r="F206" s="161">
        <v>0</v>
      </c>
      <c r="G206" s="161">
        <v>0</v>
      </c>
      <c r="H206" s="161">
        <v>0</v>
      </c>
      <c r="I206" s="161">
        <v>0</v>
      </c>
      <c r="J206" s="161">
        <v>0</v>
      </c>
      <c r="K206" s="161">
        <v>1</v>
      </c>
      <c r="L206" s="161">
        <v>1</v>
      </c>
      <c r="M206" s="161">
        <v>0</v>
      </c>
      <c r="N206" s="161">
        <v>1</v>
      </c>
      <c r="O206" s="161">
        <v>0</v>
      </c>
      <c r="P206" s="161">
        <v>2</v>
      </c>
      <c r="Q206" s="161">
        <v>1</v>
      </c>
      <c r="R206" s="161">
        <v>0</v>
      </c>
      <c r="S206" s="161">
        <v>0</v>
      </c>
      <c r="T206" s="165">
        <v>21.3</v>
      </c>
      <c r="U206" s="165">
        <v>0</v>
      </c>
      <c r="V206" s="161">
        <v>22</v>
      </c>
      <c r="W206" s="166">
        <v>283.23</v>
      </c>
      <c r="X206" s="161">
        <v>1124</v>
      </c>
      <c r="Y206" s="161">
        <v>24</v>
      </c>
      <c r="Z206" s="165">
        <v>4</v>
      </c>
      <c r="AA206" s="165">
        <v>0</v>
      </c>
      <c r="AB206" s="165">
        <v>2</v>
      </c>
      <c r="AC206" s="165">
        <v>1</v>
      </c>
      <c r="AD206" s="165">
        <v>5</v>
      </c>
      <c r="AE206" s="165">
        <v>2</v>
      </c>
      <c r="AF206" s="165">
        <v>14</v>
      </c>
      <c r="AG206" s="165">
        <v>22</v>
      </c>
      <c r="AH206" s="165">
        <v>0</v>
      </c>
      <c r="AI206" s="165">
        <v>11</v>
      </c>
      <c r="AJ206" s="165">
        <v>4.5</v>
      </c>
      <c r="AK206" s="165">
        <v>12.5</v>
      </c>
      <c r="AL206" s="165">
        <v>8.5</v>
      </c>
      <c r="AM206" s="165">
        <v>58.5</v>
      </c>
      <c r="AN206" s="167">
        <f>tbl_operations[[#This Row],[Interview Styling Registrations]]+tbl_operations[[#This Row],[Confidence Styling Registrations]]</f>
        <v>1</v>
      </c>
      <c r="AO206" s="167">
        <f>tbl_operations[[#This Row],[Interview Styling Completed]]+tbl_operations[[#This Row],[Confidence Styling Completed]]</f>
        <v>1</v>
      </c>
      <c r="AP206" s="167">
        <f>tbl_operations[[#This Row],[Interview Styling Male]]+tbl_operations[[#This Row],[Confidence Styling Male]]</f>
        <v>0</v>
      </c>
      <c r="AQ206" s="167">
        <f>tbl_operations[[#This Row],[Interview Styling Female]]+tbl_operations[[#This Row],[Confidence Styling Female]]</f>
        <v>1</v>
      </c>
      <c r="AR206" s="167">
        <f>tbl_operations[[#This Row],[Interview Styling Non-Binary]]+tbl_operations[[#This Row],[Confidence Styling Non-Binary]]</f>
        <v>0</v>
      </c>
    </row>
    <row r="207" spans="1:44">
      <c r="A207" s="161" t="s">
        <v>29</v>
      </c>
      <c r="B207" s="162" t="s">
        <v>103</v>
      </c>
      <c r="C207" s="161" t="s">
        <v>98</v>
      </c>
      <c r="D207" s="163">
        <v>46310</v>
      </c>
      <c r="E207" s="164" t="str">
        <f t="shared" si="3"/>
        <v>Thursday</v>
      </c>
      <c r="F207" s="161">
        <v>4</v>
      </c>
      <c r="G207" s="161">
        <v>4</v>
      </c>
      <c r="H207" s="161">
        <v>0</v>
      </c>
      <c r="I207" s="161">
        <v>4</v>
      </c>
      <c r="J207" s="161">
        <v>0</v>
      </c>
      <c r="K207" s="161">
        <v>1</v>
      </c>
      <c r="L207" s="161">
        <v>1</v>
      </c>
      <c r="M207" s="161">
        <v>1</v>
      </c>
      <c r="N207" s="161">
        <v>0</v>
      </c>
      <c r="O207" s="161">
        <v>0</v>
      </c>
      <c r="P207" s="161">
        <v>0</v>
      </c>
      <c r="Q207" s="161">
        <v>0</v>
      </c>
      <c r="R207" s="161">
        <v>0</v>
      </c>
      <c r="S207" s="161">
        <v>0</v>
      </c>
      <c r="T207" s="165">
        <v>58.3</v>
      </c>
      <c r="U207" s="165">
        <v>0</v>
      </c>
      <c r="V207" s="161">
        <v>12</v>
      </c>
      <c r="W207" s="166">
        <v>229.53</v>
      </c>
      <c r="X207" s="161">
        <v>1468</v>
      </c>
      <c r="Y207" s="161">
        <v>232</v>
      </c>
      <c r="Z207" s="165">
        <v>3</v>
      </c>
      <c r="AA207" s="165">
        <v>2</v>
      </c>
      <c r="AB207" s="165">
        <v>1</v>
      </c>
      <c r="AC207" s="165">
        <v>1</v>
      </c>
      <c r="AD207" s="165">
        <v>2</v>
      </c>
      <c r="AE207" s="165">
        <v>2</v>
      </c>
      <c r="AF207" s="165">
        <v>11</v>
      </c>
      <c r="AG207" s="165">
        <v>9</v>
      </c>
      <c r="AH207" s="165">
        <v>8</v>
      </c>
      <c r="AI207" s="165">
        <v>5.5</v>
      </c>
      <c r="AJ207" s="165">
        <v>3.5</v>
      </c>
      <c r="AK207" s="165">
        <v>8</v>
      </c>
      <c r="AL207" s="165">
        <v>9</v>
      </c>
      <c r="AM207" s="165">
        <v>43</v>
      </c>
      <c r="AN207" s="167">
        <f>tbl_operations[[#This Row],[Interview Styling Registrations]]+tbl_operations[[#This Row],[Confidence Styling Registrations]]</f>
        <v>5</v>
      </c>
      <c r="AO207" s="167">
        <f>tbl_operations[[#This Row],[Interview Styling Completed]]+tbl_operations[[#This Row],[Confidence Styling Completed]]</f>
        <v>5</v>
      </c>
      <c r="AP207" s="167">
        <f>tbl_operations[[#This Row],[Interview Styling Male]]+tbl_operations[[#This Row],[Confidence Styling Male]]</f>
        <v>1</v>
      </c>
      <c r="AQ207" s="167">
        <f>tbl_operations[[#This Row],[Interview Styling Female]]+tbl_operations[[#This Row],[Confidence Styling Female]]</f>
        <v>4</v>
      </c>
      <c r="AR207" s="167">
        <f>tbl_operations[[#This Row],[Interview Styling Non-Binary]]+tbl_operations[[#This Row],[Confidence Styling Non-Binary]]</f>
        <v>0</v>
      </c>
    </row>
    <row r="208" spans="1:44">
      <c r="A208" s="161" t="s">
        <v>29</v>
      </c>
      <c r="B208" s="162" t="s">
        <v>103</v>
      </c>
      <c r="C208" s="161" t="s">
        <v>98</v>
      </c>
      <c r="D208" s="163">
        <v>46311</v>
      </c>
      <c r="E208" s="164" t="str">
        <f t="shared" si="3"/>
        <v>Friday</v>
      </c>
      <c r="F208" s="161">
        <v>0</v>
      </c>
      <c r="G208" s="161">
        <v>0</v>
      </c>
      <c r="H208" s="161">
        <v>0</v>
      </c>
      <c r="I208" s="161">
        <v>0</v>
      </c>
      <c r="J208" s="161">
        <v>0</v>
      </c>
      <c r="K208" s="161">
        <v>2</v>
      </c>
      <c r="L208" s="161">
        <v>1</v>
      </c>
      <c r="M208" s="161">
        <v>0</v>
      </c>
      <c r="N208" s="161">
        <v>1</v>
      </c>
      <c r="O208" s="161">
        <v>0</v>
      </c>
      <c r="P208" s="161">
        <v>1</v>
      </c>
      <c r="Q208" s="161">
        <v>0</v>
      </c>
      <c r="R208" s="161">
        <v>0</v>
      </c>
      <c r="S208" s="161">
        <v>0</v>
      </c>
      <c r="T208" s="165">
        <v>35.4</v>
      </c>
      <c r="U208" s="165">
        <v>13.2</v>
      </c>
      <c r="V208" s="161">
        <v>14</v>
      </c>
      <c r="W208" s="166">
        <v>197.26</v>
      </c>
      <c r="X208" s="161">
        <v>993</v>
      </c>
      <c r="Y208" s="161">
        <v>27</v>
      </c>
      <c r="Z208" s="165">
        <v>1</v>
      </c>
      <c r="AA208" s="165">
        <v>0</v>
      </c>
      <c r="AB208" s="165">
        <v>2</v>
      </c>
      <c r="AC208" s="165">
        <v>0</v>
      </c>
      <c r="AD208" s="165">
        <v>5</v>
      </c>
      <c r="AE208" s="165">
        <v>1</v>
      </c>
      <c r="AF208" s="165">
        <v>9</v>
      </c>
      <c r="AG208" s="165">
        <v>2</v>
      </c>
      <c r="AH208" s="165">
        <v>0</v>
      </c>
      <c r="AI208" s="165">
        <v>8</v>
      </c>
      <c r="AJ208" s="165">
        <v>0</v>
      </c>
      <c r="AK208" s="165">
        <v>23</v>
      </c>
      <c r="AL208" s="165">
        <v>4</v>
      </c>
      <c r="AM208" s="165">
        <v>37</v>
      </c>
      <c r="AN208" s="167">
        <f>tbl_operations[[#This Row],[Interview Styling Registrations]]+tbl_operations[[#This Row],[Confidence Styling Registrations]]</f>
        <v>2</v>
      </c>
      <c r="AO208" s="167">
        <f>tbl_operations[[#This Row],[Interview Styling Completed]]+tbl_operations[[#This Row],[Confidence Styling Completed]]</f>
        <v>1</v>
      </c>
      <c r="AP208" s="167">
        <f>tbl_operations[[#This Row],[Interview Styling Male]]+tbl_operations[[#This Row],[Confidence Styling Male]]</f>
        <v>0</v>
      </c>
      <c r="AQ208" s="167">
        <f>tbl_operations[[#This Row],[Interview Styling Female]]+tbl_operations[[#This Row],[Confidence Styling Female]]</f>
        <v>1</v>
      </c>
      <c r="AR208" s="167">
        <f>tbl_operations[[#This Row],[Interview Styling Non-Binary]]+tbl_operations[[#This Row],[Confidence Styling Non-Binary]]</f>
        <v>0</v>
      </c>
    </row>
    <row r="209" spans="1:44">
      <c r="A209" s="161" t="s">
        <v>29</v>
      </c>
      <c r="B209" s="162" t="s">
        <v>103</v>
      </c>
      <c r="C209" s="161" t="s">
        <v>99</v>
      </c>
      <c r="D209" s="163">
        <v>46314</v>
      </c>
      <c r="E209" s="164" t="str">
        <f t="shared" si="3"/>
        <v>Monday</v>
      </c>
      <c r="F209" s="161">
        <v>2</v>
      </c>
      <c r="G209" s="161">
        <v>2</v>
      </c>
      <c r="H209" s="161">
        <v>1</v>
      </c>
      <c r="I209" s="161">
        <v>1</v>
      </c>
      <c r="J209" s="161">
        <v>0</v>
      </c>
      <c r="K209" s="161">
        <v>3</v>
      </c>
      <c r="L209" s="161">
        <v>3</v>
      </c>
      <c r="M209" s="161">
        <v>1</v>
      </c>
      <c r="N209" s="161">
        <v>2</v>
      </c>
      <c r="O209" s="161">
        <v>0</v>
      </c>
      <c r="P209" s="161">
        <v>0</v>
      </c>
      <c r="Q209" s="161">
        <v>0</v>
      </c>
      <c r="R209" s="161">
        <v>0</v>
      </c>
      <c r="S209" s="161">
        <v>1</v>
      </c>
      <c r="T209" s="165">
        <v>54.8</v>
      </c>
      <c r="U209" s="165">
        <v>3.5</v>
      </c>
      <c r="V209" s="161">
        <v>3</v>
      </c>
      <c r="W209" s="166">
        <v>70.67</v>
      </c>
      <c r="X209" s="161">
        <v>1849</v>
      </c>
      <c r="Y209" s="161">
        <v>111</v>
      </c>
      <c r="Z209" s="165">
        <v>2</v>
      </c>
      <c r="AA209" s="165">
        <v>2</v>
      </c>
      <c r="AB209" s="165">
        <v>2</v>
      </c>
      <c r="AC209" s="165">
        <v>2</v>
      </c>
      <c r="AD209" s="165">
        <v>4</v>
      </c>
      <c r="AE209" s="165">
        <v>3</v>
      </c>
      <c r="AF209" s="165">
        <v>15</v>
      </c>
      <c r="AG209" s="165">
        <v>7</v>
      </c>
      <c r="AH209" s="165">
        <v>7</v>
      </c>
      <c r="AI209" s="165">
        <v>5</v>
      </c>
      <c r="AJ209" s="165">
        <v>5</v>
      </c>
      <c r="AK209" s="165">
        <v>15.5</v>
      </c>
      <c r="AL209" s="165">
        <v>15.5</v>
      </c>
      <c r="AM209" s="165">
        <v>55</v>
      </c>
      <c r="AN209" s="167">
        <f>tbl_operations[[#This Row],[Interview Styling Registrations]]+tbl_operations[[#This Row],[Confidence Styling Registrations]]</f>
        <v>5</v>
      </c>
      <c r="AO209" s="167">
        <f>tbl_operations[[#This Row],[Interview Styling Completed]]+tbl_operations[[#This Row],[Confidence Styling Completed]]</f>
        <v>5</v>
      </c>
      <c r="AP209" s="167">
        <f>tbl_operations[[#This Row],[Interview Styling Male]]+tbl_operations[[#This Row],[Confidence Styling Male]]</f>
        <v>2</v>
      </c>
      <c r="AQ209" s="167">
        <f>tbl_operations[[#This Row],[Interview Styling Female]]+tbl_operations[[#This Row],[Confidence Styling Female]]</f>
        <v>3</v>
      </c>
      <c r="AR209" s="167">
        <f>tbl_operations[[#This Row],[Interview Styling Non-Binary]]+tbl_operations[[#This Row],[Confidence Styling Non-Binary]]</f>
        <v>0</v>
      </c>
    </row>
    <row r="210" spans="1:44">
      <c r="A210" s="161" t="s">
        <v>29</v>
      </c>
      <c r="B210" s="162" t="s">
        <v>103</v>
      </c>
      <c r="C210" s="161" t="s">
        <v>99</v>
      </c>
      <c r="D210" s="163">
        <v>46315</v>
      </c>
      <c r="E210" s="164" t="str">
        <f t="shared" si="3"/>
        <v>Tuesday</v>
      </c>
      <c r="F210" s="161">
        <v>1</v>
      </c>
      <c r="G210" s="161">
        <v>1</v>
      </c>
      <c r="H210" s="161">
        <v>0</v>
      </c>
      <c r="I210" s="161">
        <v>1</v>
      </c>
      <c r="J210" s="161">
        <v>0</v>
      </c>
      <c r="K210" s="161">
        <v>0</v>
      </c>
      <c r="L210" s="161">
        <v>0</v>
      </c>
      <c r="M210" s="161">
        <v>0</v>
      </c>
      <c r="N210" s="161">
        <v>0</v>
      </c>
      <c r="O210" s="161">
        <v>0</v>
      </c>
      <c r="P210" s="161">
        <v>1</v>
      </c>
      <c r="Q210" s="161">
        <v>0</v>
      </c>
      <c r="R210" s="161">
        <v>0</v>
      </c>
      <c r="S210" s="161">
        <v>0</v>
      </c>
      <c r="T210" s="165">
        <v>63.6</v>
      </c>
      <c r="U210" s="165">
        <v>0</v>
      </c>
      <c r="V210" s="161">
        <v>7</v>
      </c>
      <c r="W210" s="166">
        <v>156.99</v>
      </c>
      <c r="X210" s="161">
        <v>598</v>
      </c>
      <c r="Y210" s="161">
        <v>50</v>
      </c>
      <c r="Z210" s="165">
        <v>3</v>
      </c>
      <c r="AA210" s="165">
        <v>1</v>
      </c>
      <c r="AB210" s="165">
        <v>0</v>
      </c>
      <c r="AC210" s="165">
        <v>2</v>
      </c>
      <c r="AD210" s="165">
        <v>3</v>
      </c>
      <c r="AE210" s="165">
        <v>2</v>
      </c>
      <c r="AF210" s="165">
        <v>11</v>
      </c>
      <c r="AG210" s="165">
        <v>13.5</v>
      </c>
      <c r="AH210" s="165">
        <v>4.5</v>
      </c>
      <c r="AI210" s="165">
        <v>0</v>
      </c>
      <c r="AJ210" s="165">
        <v>11</v>
      </c>
      <c r="AK210" s="165">
        <v>16</v>
      </c>
      <c r="AL210" s="165">
        <v>10</v>
      </c>
      <c r="AM210" s="165">
        <v>55</v>
      </c>
      <c r="AN210" s="167">
        <f>tbl_operations[[#This Row],[Interview Styling Registrations]]+tbl_operations[[#This Row],[Confidence Styling Registrations]]</f>
        <v>1</v>
      </c>
      <c r="AO210" s="167">
        <f>tbl_operations[[#This Row],[Interview Styling Completed]]+tbl_operations[[#This Row],[Confidence Styling Completed]]</f>
        <v>1</v>
      </c>
      <c r="AP210" s="167">
        <f>tbl_operations[[#This Row],[Interview Styling Male]]+tbl_operations[[#This Row],[Confidence Styling Male]]</f>
        <v>0</v>
      </c>
      <c r="AQ210" s="167">
        <f>tbl_operations[[#This Row],[Interview Styling Female]]+tbl_operations[[#This Row],[Confidence Styling Female]]</f>
        <v>1</v>
      </c>
      <c r="AR210" s="167">
        <f>tbl_operations[[#This Row],[Interview Styling Non-Binary]]+tbl_operations[[#This Row],[Confidence Styling Non-Binary]]</f>
        <v>0</v>
      </c>
    </row>
    <row r="211" spans="1:44">
      <c r="A211" s="161" t="s">
        <v>29</v>
      </c>
      <c r="B211" s="162" t="s">
        <v>103</v>
      </c>
      <c r="C211" s="161" t="s">
        <v>99</v>
      </c>
      <c r="D211" s="163">
        <v>46316</v>
      </c>
      <c r="E211" s="164" t="str">
        <f t="shared" si="3"/>
        <v>Wednesday</v>
      </c>
      <c r="F211" s="161">
        <v>0</v>
      </c>
      <c r="G211" s="161">
        <v>0</v>
      </c>
      <c r="H211" s="161">
        <v>0</v>
      </c>
      <c r="I211" s="161">
        <v>0</v>
      </c>
      <c r="J211" s="161">
        <v>0</v>
      </c>
      <c r="K211" s="161">
        <v>1</v>
      </c>
      <c r="L211" s="161">
        <v>1</v>
      </c>
      <c r="M211" s="161">
        <v>0</v>
      </c>
      <c r="N211" s="161">
        <v>1</v>
      </c>
      <c r="O211" s="161">
        <v>0</v>
      </c>
      <c r="P211" s="161">
        <v>0</v>
      </c>
      <c r="Q211" s="161">
        <v>0</v>
      </c>
      <c r="R211" s="161">
        <v>1</v>
      </c>
      <c r="S211" s="161">
        <v>1</v>
      </c>
      <c r="T211" s="165">
        <v>0</v>
      </c>
      <c r="U211" s="165">
        <v>21</v>
      </c>
      <c r="V211" s="161">
        <v>10</v>
      </c>
      <c r="W211" s="166">
        <v>248.79</v>
      </c>
      <c r="X211" s="161">
        <v>1202</v>
      </c>
      <c r="Y211" s="161">
        <v>126</v>
      </c>
      <c r="Z211" s="165">
        <v>4</v>
      </c>
      <c r="AA211" s="165">
        <v>0</v>
      </c>
      <c r="AB211" s="165">
        <v>2</v>
      </c>
      <c r="AC211" s="165">
        <v>1</v>
      </c>
      <c r="AD211" s="165">
        <v>2</v>
      </c>
      <c r="AE211" s="165">
        <v>3</v>
      </c>
      <c r="AF211" s="165">
        <v>12</v>
      </c>
      <c r="AG211" s="165">
        <v>10</v>
      </c>
      <c r="AH211" s="165">
        <v>0</v>
      </c>
      <c r="AI211" s="165">
        <v>10.5</v>
      </c>
      <c r="AJ211" s="165">
        <v>3.5</v>
      </c>
      <c r="AK211" s="165">
        <v>6</v>
      </c>
      <c r="AL211" s="165">
        <v>12.5</v>
      </c>
      <c r="AM211" s="165">
        <v>42.5</v>
      </c>
      <c r="AN211" s="167">
        <f>tbl_operations[[#This Row],[Interview Styling Registrations]]+tbl_operations[[#This Row],[Confidence Styling Registrations]]</f>
        <v>1</v>
      </c>
      <c r="AO211" s="167">
        <f>tbl_operations[[#This Row],[Interview Styling Completed]]+tbl_operations[[#This Row],[Confidence Styling Completed]]</f>
        <v>1</v>
      </c>
      <c r="AP211" s="167">
        <f>tbl_operations[[#This Row],[Interview Styling Male]]+tbl_operations[[#This Row],[Confidence Styling Male]]</f>
        <v>0</v>
      </c>
      <c r="AQ211" s="167">
        <f>tbl_operations[[#This Row],[Interview Styling Female]]+tbl_operations[[#This Row],[Confidence Styling Female]]</f>
        <v>1</v>
      </c>
      <c r="AR211" s="167">
        <f>tbl_operations[[#This Row],[Interview Styling Non-Binary]]+tbl_operations[[#This Row],[Confidence Styling Non-Binary]]</f>
        <v>0</v>
      </c>
    </row>
    <row r="212" spans="1:44">
      <c r="A212" s="161" t="s">
        <v>29</v>
      </c>
      <c r="B212" s="162" t="s">
        <v>103</v>
      </c>
      <c r="C212" s="161" t="s">
        <v>99</v>
      </c>
      <c r="D212" s="163">
        <v>46317</v>
      </c>
      <c r="E212" s="164" t="str">
        <f t="shared" si="3"/>
        <v>Thursday</v>
      </c>
      <c r="F212" s="161">
        <v>4</v>
      </c>
      <c r="G212" s="161">
        <v>4</v>
      </c>
      <c r="H212" s="161">
        <v>1</v>
      </c>
      <c r="I212" s="161">
        <v>3</v>
      </c>
      <c r="J212" s="161">
        <v>0</v>
      </c>
      <c r="K212" s="161">
        <v>0</v>
      </c>
      <c r="L212" s="161">
        <v>0</v>
      </c>
      <c r="M212" s="161">
        <v>0</v>
      </c>
      <c r="N212" s="161">
        <v>0</v>
      </c>
      <c r="O212" s="161">
        <v>0</v>
      </c>
      <c r="P212" s="161">
        <v>0</v>
      </c>
      <c r="Q212" s="161">
        <v>0</v>
      </c>
      <c r="R212" s="161">
        <v>1</v>
      </c>
      <c r="S212" s="161">
        <v>0</v>
      </c>
      <c r="T212" s="165">
        <v>39.1</v>
      </c>
      <c r="U212" s="165">
        <v>0</v>
      </c>
      <c r="V212" s="161">
        <v>11</v>
      </c>
      <c r="W212" s="166">
        <v>254.74</v>
      </c>
      <c r="X212" s="161">
        <v>1775</v>
      </c>
      <c r="Y212" s="161">
        <v>170</v>
      </c>
      <c r="Z212" s="165">
        <v>4</v>
      </c>
      <c r="AA212" s="165">
        <v>1</v>
      </c>
      <c r="AB212" s="165">
        <v>2</v>
      </c>
      <c r="AC212" s="165">
        <v>0</v>
      </c>
      <c r="AD212" s="165">
        <v>5</v>
      </c>
      <c r="AE212" s="165">
        <v>1</v>
      </c>
      <c r="AF212" s="165">
        <v>13</v>
      </c>
      <c r="AG212" s="165">
        <v>10</v>
      </c>
      <c r="AH212" s="165">
        <v>5</v>
      </c>
      <c r="AI212" s="165">
        <v>7</v>
      </c>
      <c r="AJ212" s="165">
        <v>0</v>
      </c>
      <c r="AK212" s="165">
        <v>21</v>
      </c>
      <c r="AL212" s="165">
        <v>2.5</v>
      </c>
      <c r="AM212" s="165">
        <v>45.5</v>
      </c>
      <c r="AN212" s="167">
        <f>tbl_operations[[#This Row],[Interview Styling Registrations]]+tbl_operations[[#This Row],[Confidence Styling Registrations]]</f>
        <v>4</v>
      </c>
      <c r="AO212" s="167">
        <f>tbl_operations[[#This Row],[Interview Styling Completed]]+tbl_operations[[#This Row],[Confidence Styling Completed]]</f>
        <v>4</v>
      </c>
      <c r="AP212" s="167">
        <f>tbl_operations[[#This Row],[Interview Styling Male]]+tbl_operations[[#This Row],[Confidence Styling Male]]</f>
        <v>1</v>
      </c>
      <c r="AQ212" s="167">
        <f>tbl_operations[[#This Row],[Interview Styling Female]]+tbl_operations[[#This Row],[Confidence Styling Female]]</f>
        <v>3</v>
      </c>
      <c r="AR212" s="167">
        <f>tbl_operations[[#This Row],[Interview Styling Non-Binary]]+tbl_operations[[#This Row],[Confidence Styling Non-Binary]]</f>
        <v>0</v>
      </c>
    </row>
    <row r="213" spans="1:44">
      <c r="A213" s="161" t="s">
        <v>29</v>
      </c>
      <c r="B213" s="162" t="s">
        <v>103</v>
      </c>
      <c r="C213" s="161" t="s">
        <v>99</v>
      </c>
      <c r="D213" s="163">
        <v>46318</v>
      </c>
      <c r="E213" s="164" t="str">
        <f t="shared" si="3"/>
        <v>Friday</v>
      </c>
      <c r="F213" s="161">
        <v>4</v>
      </c>
      <c r="G213" s="161">
        <v>4</v>
      </c>
      <c r="H213" s="161">
        <v>1</v>
      </c>
      <c r="I213" s="161">
        <v>3</v>
      </c>
      <c r="J213" s="161">
        <v>0</v>
      </c>
      <c r="K213" s="161">
        <v>0</v>
      </c>
      <c r="L213" s="161">
        <v>0</v>
      </c>
      <c r="M213" s="161">
        <v>0</v>
      </c>
      <c r="N213" s="161">
        <v>0</v>
      </c>
      <c r="O213" s="161">
        <v>0</v>
      </c>
      <c r="P213" s="161">
        <v>0</v>
      </c>
      <c r="Q213" s="161">
        <v>1</v>
      </c>
      <c r="R213" s="161">
        <v>1</v>
      </c>
      <c r="S213" s="161">
        <v>0</v>
      </c>
      <c r="T213" s="165">
        <v>33.5</v>
      </c>
      <c r="U213" s="165">
        <v>0</v>
      </c>
      <c r="V213" s="161">
        <v>14</v>
      </c>
      <c r="W213" s="166">
        <v>351.57</v>
      </c>
      <c r="X213" s="161">
        <v>1849</v>
      </c>
      <c r="Y213" s="161">
        <v>253</v>
      </c>
      <c r="Z213" s="165">
        <v>3</v>
      </c>
      <c r="AA213" s="165">
        <v>1</v>
      </c>
      <c r="AB213" s="165">
        <v>1</v>
      </c>
      <c r="AC213" s="165">
        <v>2</v>
      </c>
      <c r="AD213" s="165">
        <v>5</v>
      </c>
      <c r="AE213" s="165">
        <v>4</v>
      </c>
      <c r="AF213" s="165">
        <v>16</v>
      </c>
      <c r="AG213" s="165">
        <v>13.5</v>
      </c>
      <c r="AH213" s="165">
        <v>2</v>
      </c>
      <c r="AI213" s="165">
        <v>2</v>
      </c>
      <c r="AJ213" s="165">
        <v>6.5</v>
      </c>
      <c r="AK213" s="165">
        <v>26</v>
      </c>
      <c r="AL213" s="165">
        <v>18.5</v>
      </c>
      <c r="AM213" s="165">
        <v>68.5</v>
      </c>
      <c r="AN213" s="167">
        <f>tbl_operations[[#This Row],[Interview Styling Registrations]]+tbl_operations[[#This Row],[Confidence Styling Registrations]]</f>
        <v>4</v>
      </c>
      <c r="AO213" s="167">
        <f>tbl_operations[[#This Row],[Interview Styling Completed]]+tbl_operations[[#This Row],[Confidence Styling Completed]]</f>
        <v>4</v>
      </c>
      <c r="AP213" s="167">
        <f>tbl_operations[[#This Row],[Interview Styling Male]]+tbl_operations[[#This Row],[Confidence Styling Male]]</f>
        <v>1</v>
      </c>
      <c r="AQ213" s="167">
        <f>tbl_operations[[#This Row],[Interview Styling Female]]+tbl_operations[[#This Row],[Confidence Styling Female]]</f>
        <v>3</v>
      </c>
      <c r="AR213" s="167">
        <f>tbl_operations[[#This Row],[Interview Styling Non-Binary]]+tbl_operations[[#This Row],[Confidence Styling Non-Binary]]</f>
        <v>0</v>
      </c>
    </row>
    <row r="214" spans="1:44">
      <c r="A214" s="161" t="s">
        <v>29</v>
      </c>
      <c r="B214" s="162" t="s">
        <v>103</v>
      </c>
      <c r="C214" s="161" t="s">
        <v>100</v>
      </c>
      <c r="D214" s="163">
        <v>46321</v>
      </c>
      <c r="E214" s="164" t="str">
        <f t="shared" si="3"/>
        <v>Monday</v>
      </c>
      <c r="F214" s="161">
        <v>3</v>
      </c>
      <c r="G214" s="161">
        <v>2</v>
      </c>
      <c r="H214" s="161">
        <v>0</v>
      </c>
      <c r="I214" s="161">
        <v>2</v>
      </c>
      <c r="J214" s="161">
        <v>0</v>
      </c>
      <c r="K214" s="161">
        <v>0</v>
      </c>
      <c r="L214" s="161">
        <v>0</v>
      </c>
      <c r="M214" s="161">
        <v>0</v>
      </c>
      <c r="N214" s="161">
        <v>0</v>
      </c>
      <c r="O214" s="161">
        <v>0</v>
      </c>
      <c r="P214" s="161">
        <v>0</v>
      </c>
      <c r="Q214" s="161">
        <v>0</v>
      </c>
      <c r="R214" s="161">
        <v>1</v>
      </c>
      <c r="S214" s="161">
        <v>1</v>
      </c>
      <c r="T214" s="165">
        <v>16.3</v>
      </c>
      <c r="U214" s="165">
        <v>0</v>
      </c>
      <c r="V214" s="161">
        <v>4</v>
      </c>
      <c r="W214" s="166">
        <v>100.34</v>
      </c>
      <c r="X214" s="161">
        <v>1667</v>
      </c>
      <c r="Y214" s="161">
        <v>127</v>
      </c>
      <c r="Z214" s="165">
        <v>1</v>
      </c>
      <c r="AA214" s="165">
        <v>0</v>
      </c>
      <c r="AB214" s="165">
        <v>0</v>
      </c>
      <c r="AC214" s="165">
        <v>0</v>
      </c>
      <c r="AD214" s="165">
        <v>1</v>
      </c>
      <c r="AE214" s="165">
        <v>2</v>
      </c>
      <c r="AF214" s="165">
        <v>4</v>
      </c>
      <c r="AG214" s="165">
        <v>5.5</v>
      </c>
      <c r="AH214" s="165">
        <v>0</v>
      </c>
      <c r="AI214" s="165">
        <v>0</v>
      </c>
      <c r="AJ214" s="165">
        <v>0</v>
      </c>
      <c r="AK214" s="165">
        <v>4</v>
      </c>
      <c r="AL214" s="165">
        <v>10</v>
      </c>
      <c r="AM214" s="165">
        <v>19.5</v>
      </c>
      <c r="AN214" s="167">
        <f>tbl_operations[[#This Row],[Interview Styling Registrations]]+tbl_operations[[#This Row],[Confidence Styling Registrations]]</f>
        <v>3</v>
      </c>
      <c r="AO214" s="167">
        <f>tbl_operations[[#This Row],[Interview Styling Completed]]+tbl_operations[[#This Row],[Confidence Styling Completed]]</f>
        <v>2</v>
      </c>
      <c r="AP214" s="167">
        <f>tbl_operations[[#This Row],[Interview Styling Male]]+tbl_operations[[#This Row],[Confidence Styling Male]]</f>
        <v>0</v>
      </c>
      <c r="AQ214" s="167">
        <f>tbl_operations[[#This Row],[Interview Styling Female]]+tbl_operations[[#This Row],[Confidence Styling Female]]</f>
        <v>2</v>
      </c>
      <c r="AR214" s="167">
        <f>tbl_operations[[#This Row],[Interview Styling Non-Binary]]+tbl_operations[[#This Row],[Confidence Styling Non-Binary]]</f>
        <v>0</v>
      </c>
    </row>
    <row r="215" spans="1:44">
      <c r="A215" s="161" t="s">
        <v>29</v>
      </c>
      <c r="B215" s="162" t="s">
        <v>103</v>
      </c>
      <c r="C215" s="161" t="s">
        <v>100</v>
      </c>
      <c r="D215" s="163">
        <v>46322</v>
      </c>
      <c r="E215" s="164" t="str">
        <f t="shared" si="3"/>
        <v>Tuesday</v>
      </c>
      <c r="F215" s="161">
        <v>1</v>
      </c>
      <c r="G215" s="161">
        <v>0</v>
      </c>
      <c r="H215" s="161">
        <v>0</v>
      </c>
      <c r="I215" s="161">
        <v>0</v>
      </c>
      <c r="J215" s="161">
        <v>0</v>
      </c>
      <c r="K215" s="161">
        <v>2</v>
      </c>
      <c r="L215" s="161">
        <v>2</v>
      </c>
      <c r="M215" s="161">
        <v>0</v>
      </c>
      <c r="N215" s="161">
        <v>2</v>
      </c>
      <c r="O215" s="161">
        <v>0</v>
      </c>
      <c r="P215" s="161">
        <v>2</v>
      </c>
      <c r="Q215" s="161">
        <v>0</v>
      </c>
      <c r="R215" s="161">
        <v>1</v>
      </c>
      <c r="S215" s="161">
        <v>0</v>
      </c>
      <c r="T215" s="165">
        <v>30.8</v>
      </c>
      <c r="U215" s="165">
        <v>0</v>
      </c>
      <c r="V215" s="161">
        <v>22</v>
      </c>
      <c r="W215" s="166">
        <v>606.8</v>
      </c>
      <c r="X215" s="161">
        <v>2014</v>
      </c>
      <c r="Y215" s="161">
        <v>262</v>
      </c>
      <c r="Z215" s="165">
        <v>4</v>
      </c>
      <c r="AA215" s="165">
        <v>1</v>
      </c>
      <c r="AB215" s="165">
        <v>2</v>
      </c>
      <c r="AC215" s="165">
        <v>2</v>
      </c>
      <c r="AD215" s="165">
        <v>4</v>
      </c>
      <c r="AE215" s="165">
        <v>3</v>
      </c>
      <c r="AF215" s="165">
        <v>16</v>
      </c>
      <c r="AG215" s="165">
        <v>19.5</v>
      </c>
      <c r="AH215" s="165">
        <v>2.5</v>
      </c>
      <c r="AI215" s="165">
        <v>6</v>
      </c>
      <c r="AJ215" s="165">
        <v>5</v>
      </c>
      <c r="AK215" s="165">
        <v>17.5</v>
      </c>
      <c r="AL215" s="165">
        <v>13</v>
      </c>
      <c r="AM215" s="165">
        <v>63.5</v>
      </c>
      <c r="AN215" s="167">
        <f>tbl_operations[[#This Row],[Interview Styling Registrations]]+tbl_operations[[#This Row],[Confidence Styling Registrations]]</f>
        <v>3</v>
      </c>
      <c r="AO215" s="167">
        <f>tbl_operations[[#This Row],[Interview Styling Completed]]+tbl_operations[[#This Row],[Confidence Styling Completed]]</f>
        <v>2</v>
      </c>
      <c r="AP215" s="167">
        <f>tbl_operations[[#This Row],[Interview Styling Male]]+tbl_operations[[#This Row],[Confidence Styling Male]]</f>
        <v>0</v>
      </c>
      <c r="AQ215" s="167">
        <f>tbl_operations[[#This Row],[Interview Styling Female]]+tbl_operations[[#This Row],[Confidence Styling Female]]</f>
        <v>2</v>
      </c>
      <c r="AR215" s="167">
        <f>tbl_operations[[#This Row],[Interview Styling Non-Binary]]+tbl_operations[[#This Row],[Confidence Styling Non-Binary]]</f>
        <v>0</v>
      </c>
    </row>
    <row r="216" spans="1:44">
      <c r="A216" s="161" t="s">
        <v>29</v>
      </c>
      <c r="B216" s="162" t="s">
        <v>103</v>
      </c>
      <c r="C216" s="161" t="s">
        <v>100</v>
      </c>
      <c r="D216" s="163">
        <v>46323</v>
      </c>
      <c r="E216" s="164" t="str">
        <f t="shared" si="3"/>
        <v>Wednesday</v>
      </c>
      <c r="F216" s="161">
        <v>3</v>
      </c>
      <c r="G216" s="161">
        <v>3</v>
      </c>
      <c r="H216" s="161">
        <v>0</v>
      </c>
      <c r="I216" s="161">
        <v>2</v>
      </c>
      <c r="J216" s="161">
        <v>1</v>
      </c>
      <c r="K216" s="161">
        <v>1</v>
      </c>
      <c r="L216" s="161">
        <v>1</v>
      </c>
      <c r="M216" s="161">
        <v>1</v>
      </c>
      <c r="N216" s="161">
        <v>0</v>
      </c>
      <c r="O216" s="161">
        <v>0</v>
      </c>
      <c r="P216" s="161">
        <v>2</v>
      </c>
      <c r="Q216" s="161">
        <v>0</v>
      </c>
      <c r="R216" s="161">
        <v>0</v>
      </c>
      <c r="S216" s="161">
        <v>0</v>
      </c>
      <c r="T216" s="165">
        <v>64.1</v>
      </c>
      <c r="U216" s="165">
        <v>20.8</v>
      </c>
      <c r="V216" s="161">
        <v>14</v>
      </c>
      <c r="W216" s="166">
        <v>269.01</v>
      </c>
      <c r="X216" s="161">
        <v>995</v>
      </c>
      <c r="Y216" s="161">
        <v>152</v>
      </c>
      <c r="Z216" s="165">
        <v>3</v>
      </c>
      <c r="AA216" s="165">
        <v>1</v>
      </c>
      <c r="AB216" s="165">
        <v>2</v>
      </c>
      <c r="AC216" s="165">
        <v>2</v>
      </c>
      <c r="AD216" s="165">
        <v>1</v>
      </c>
      <c r="AE216" s="165">
        <v>3</v>
      </c>
      <c r="AF216" s="165">
        <v>12</v>
      </c>
      <c r="AG216" s="165">
        <v>10</v>
      </c>
      <c r="AH216" s="165">
        <v>5</v>
      </c>
      <c r="AI216" s="165">
        <v>7.5</v>
      </c>
      <c r="AJ216" s="165">
        <v>10.5</v>
      </c>
      <c r="AK216" s="165">
        <v>4.5</v>
      </c>
      <c r="AL216" s="165">
        <v>16.5</v>
      </c>
      <c r="AM216" s="165">
        <v>54</v>
      </c>
      <c r="AN216" s="167">
        <f>tbl_operations[[#This Row],[Interview Styling Registrations]]+tbl_operations[[#This Row],[Confidence Styling Registrations]]</f>
        <v>4</v>
      </c>
      <c r="AO216" s="167">
        <f>tbl_operations[[#This Row],[Interview Styling Completed]]+tbl_operations[[#This Row],[Confidence Styling Completed]]</f>
        <v>4</v>
      </c>
      <c r="AP216" s="167">
        <f>tbl_operations[[#This Row],[Interview Styling Male]]+tbl_operations[[#This Row],[Confidence Styling Male]]</f>
        <v>1</v>
      </c>
      <c r="AQ216" s="167">
        <f>tbl_operations[[#This Row],[Interview Styling Female]]+tbl_operations[[#This Row],[Confidence Styling Female]]</f>
        <v>2</v>
      </c>
      <c r="AR216" s="167">
        <f>tbl_operations[[#This Row],[Interview Styling Non-Binary]]+tbl_operations[[#This Row],[Confidence Styling Non-Binary]]</f>
        <v>1</v>
      </c>
    </row>
    <row r="217" spans="1:44">
      <c r="A217" s="161" t="s">
        <v>29</v>
      </c>
      <c r="B217" s="162" t="s">
        <v>103</v>
      </c>
      <c r="C217" s="161" t="s">
        <v>100</v>
      </c>
      <c r="D217" s="163">
        <v>46324</v>
      </c>
      <c r="E217" s="164" t="str">
        <f t="shared" si="3"/>
        <v>Thursday</v>
      </c>
      <c r="F217" s="161">
        <v>3</v>
      </c>
      <c r="G217" s="161">
        <v>3</v>
      </c>
      <c r="H217" s="161">
        <v>0</v>
      </c>
      <c r="I217" s="161">
        <v>3</v>
      </c>
      <c r="J217" s="161">
        <v>0</v>
      </c>
      <c r="K217" s="161">
        <v>0</v>
      </c>
      <c r="L217" s="161">
        <v>0</v>
      </c>
      <c r="M217" s="161">
        <v>0</v>
      </c>
      <c r="N217" s="161">
        <v>0</v>
      </c>
      <c r="O217" s="161">
        <v>0</v>
      </c>
      <c r="P217" s="161">
        <v>0</v>
      </c>
      <c r="Q217" s="161">
        <v>1</v>
      </c>
      <c r="R217" s="161">
        <v>0</v>
      </c>
      <c r="S217" s="161">
        <v>0</v>
      </c>
      <c r="T217" s="165">
        <v>9.4</v>
      </c>
      <c r="U217" s="165">
        <v>0</v>
      </c>
      <c r="V217" s="161">
        <v>14</v>
      </c>
      <c r="W217" s="166">
        <v>395.88</v>
      </c>
      <c r="X217" s="161">
        <v>2091</v>
      </c>
      <c r="Y217" s="161">
        <v>43</v>
      </c>
      <c r="Z217" s="165">
        <v>3</v>
      </c>
      <c r="AA217" s="165">
        <v>1</v>
      </c>
      <c r="AB217" s="165">
        <v>0</v>
      </c>
      <c r="AC217" s="165">
        <v>2</v>
      </c>
      <c r="AD217" s="165">
        <v>2</v>
      </c>
      <c r="AE217" s="165">
        <v>2</v>
      </c>
      <c r="AF217" s="165">
        <v>10</v>
      </c>
      <c r="AG217" s="165">
        <v>11.5</v>
      </c>
      <c r="AH217" s="165">
        <v>2</v>
      </c>
      <c r="AI217" s="165">
        <v>0</v>
      </c>
      <c r="AJ217" s="165">
        <v>5</v>
      </c>
      <c r="AK217" s="165">
        <v>5</v>
      </c>
      <c r="AL217" s="165">
        <v>5</v>
      </c>
      <c r="AM217" s="165">
        <v>28.5</v>
      </c>
      <c r="AN217" s="167">
        <f>tbl_operations[[#This Row],[Interview Styling Registrations]]+tbl_operations[[#This Row],[Confidence Styling Registrations]]</f>
        <v>3</v>
      </c>
      <c r="AO217" s="167">
        <f>tbl_operations[[#This Row],[Interview Styling Completed]]+tbl_operations[[#This Row],[Confidence Styling Completed]]</f>
        <v>3</v>
      </c>
      <c r="AP217" s="167">
        <f>tbl_operations[[#This Row],[Interview Styling Male]]+tbl_operations[[#This Row],[Confidence Styling Male]]</f>
        <v>0</v>
      </c>
      <c r="AQ217" s="167">
        <f>tbl_operations[[#This Row],[Interview Styling Female]]+tbl_operations[[#This Row],[Confidence Styling Female]]</f>
        <v>3</v>
      </c>
      <c r="AR217" s="167">
        <f>tbl_operations[[#This Row],[Interview Styling Non-Binary]]+tbl_operations[[#This Row],[Confidence Styling Non-Binary]]</f>
        <v>0</v>
      </c>
    </row>
    <row r="218" spans="1:44">
      <c r="A218" s="161" t="s">
        <v>29</v>
      </c>
      <c r="B218" s="162" t="s">
        <v>103</v>
      </c>
      <c r="C218" s="161" t="s">
        <v>100</v>
      </c>
      <c r="D218" s="163">
        <v>46325</v>
      </c>
      <c r="E218" s="164" t="str">
        <f t="shared" si="3"/>
        <v>Friday</v>
      </c>
      <c r="F218" s="161">
        <v>0</v>
      </c>
      <c r="G218" s="161">
        <v>0</v>
      </c>
      <c r="H218" s="161">
        <v>0</v>
      </c>
      <c r="I218" s="161">
        <v>0</v>
      </c>
      <c r="J218" s="161">
        <v>0</v>
      </c>
      <c r="K218" s="161">
        <v>3</v>
      </c>
      <c r="L218" s="161">
        <v>3</v>
      </c>
      <c r="M218" s="161">
        <v>1</v>
      </c>
      <c r="N218" s="161">
        <v>2</v>
      </c>
      <c r="O218" s="161">
        <v>0</v>
      </c>
      <c r="P218" s="161">
        <v>0</v>
      </c>
      <c r="Q218" s="161">
        <v>1</v>
      </c>
      <c r="R218" s="161">
        <v>0</v>
      </c>
      <c r="S218" s="161">
        <v>0</v>
      </c>
      <c r="T218" s="165">
        <v>57</v>
      </c>
      <c r="U218" s="165">
        <v>0</v>
      </c>
      <c r="V218" s="161">
        <v>18</v>
      </c>
      <c r="W218" s="166">
        <v>260.18</v>
      </c>
      <c r="X218" s="161">
        <v>1894</v>
      </c>
      <c r="Y218" s="161">
        <v>137</v>
      </c>
      <c r="Z218" s="165">
        <v>2</v>
      </c>
      <c r="AA218" s="165">
        <v>1</v>
      </c>
      <c r="AB218" s="165">
        <v>1</v>
      </c>
      <c r="AC218" s="165">
        <v>2</v>
      </c>
      <c r="AD218" s="165">
        <v>4</v>
      </c>
      <c r="AE218" s="165">
        <v>3</v>
      </c>
      <c r="AF218" s="165">
        <v>13</v>
      </c>
      <c r="AG218" s="165">
        <v>9</v>
      </c>
      <c r="AH218" s="165">
        <v>3</v>
      </c>
      <c r="AI218" s="165">
        <v>3.5</v>
      </c>
      <c r="AJ218" s="165">
        <v>7.5</v>
      </c>
      <c r="AK218" s="165">
        <v>11</v>
      </c>
      <c r="AL218" s="165">
        <v>10</v>
      </c>
      <c r="AM218" s="165">
        <v>44</v>
      </c>
      <c r="AN218" s="167">
        <f>tbl_operations[[#This Row],[Interview Styling Registrations]]+tbl_operations[[#This Row],[Confidence Styling Registrations]]</f>
        <v>3</v>
      </c>
      <c r="AO218" s="167">
        <f>tbl_operations[[#This Row],[Interview Styling Completed]]+tbl_operations[[#This Row],[Confidence Styling Completed]]</f>
        <v>3</v>
      </c>
      <c r="AP218" s="167">
        <f>tbl_operations[[#This Row],[Interview Styling Male]]+tbl_operations[[#This Row],[Confidence Styling Male]]</f>
        <v>1</v>
      </c>
      <c r="AQ218" s="167">
        <f>tbl_operations[[#This Row],[Interview Styling Female]]+tbl_operations[[#This Row],[Confidence Styling Female]]</f>
        <v>2</v>
      </c>
      <c r="AR218" s="167">
        <f>tbl_operations[[#This Row],[Interview Styling Non-Binary]]+tbl_operations[[#This Row],[Confidence Styling Non-Binary]]</f>
        <v>0</v>
      </c>
    </row>
    <row r="219" spans="1:44">
      <c r="A219" s="161" t="s">
        <v>30</v>
      </c>
      <c r="B219" s="162" t="s">
        <v>103</v>
      </c>
      <c r="C219" s="161" t="s">
        <v>96</v>
      </c>
      <c r="D219" s="163">
        <v>46328</v>
      </c>
      <c r="E219" s="164" t="str">
        <f t="shared" si="3"/>
        <v>Monday</v>
      </c>
      <c r="F219" s="161">
        <v>1</v>
      </c>
      <c r="G219" s="161">
        <v>1</v>
      </c>
      <c r="H219" s="161">
        <v>1</v>
      </c>
      <c r="I219" s="161">
        <v>0</v>
      </c>
      <c r="J219" s="161">
        <v>0</v>
      </c>
      <c r="K219" s="161">
        <v>3</v>
      </c>
      <c r="L219" s="161">
        <v>2</v>
      </c>
      <c r="M219" s="161">
        <v>0</v>
      </c>
      <c r="N219" s="161">
        <v>2</v>
      </c>
      <c r="O219" s="161">
        <v>0</v>
      </c>
      <c r="P219" s="161">
        <v>0</v>
      </c>
      <c r="Q219" s="161">
        <v>1</v>
      </c>
      <c r="R219" s="161">
        <v>0</v>
      </c>
      <c r="S219" s="161">
        <v>0</v>
      </c>
      <c r="T219" s="165">
        <v>0</v>
      </c>
      <c r="U219" s="165">
        <v>0</v>
      </c>
      <c r="V219" s="161">
        <v>21</v>
      </c>
      <c r="W219" s="166">
        <v>374.21</v>
      </c>
      <c r="X219" s="161">
        <v>1930</v>
      </c>
      <c r="Y219" s="161">
        <v>108</v>
      </c>
      <c r="Z219" s="165">
        <v>3</v>
      </c>
      <c r="AA219" s="165">
        <v>1</v>
      </c>
      <c r="AB219" s="165">
        <v>1</v>
      </c>
      <c r="AC219" s="165">
        <v>1</v>
      </c>
      <c r="AD219" s="165">
        <v>5</v>
      </c>
      <c r="AE219" s="165">
        <v>2</v>
      </c>
      <c r="AF219" s="165">
        <v>13</v>
      </c>
      <c r="AG219" s="165">
        <v>7.5</v>
      </c>
      <c r="AH219" s="165">
        <v>4.5</v>
      </c>
      <c r="AI219" s="165">
        <v>3.5</v>
      </c>
      <c r="AJ219" s="165">
        <v>3.5</v>
      </c>
      <c r="AK219" s="165">
        <v>14.5</v>
      </c>
      <c r="AL219" s="165">
        <v>7.5</v>
      </c>
      <c r="AM219" s="165">
        <v>41</v>
      </c>
      <c r="AN219" s="167">
        <f>tbl_operations[[#This Row],[Interview Styling Registrations]]+tbl_operations[[#This Row],[Confidence Styling Registrations]]</f>
        <v>4</v>
      </c>
      <c r="AO219" s="167">
        <f>tbl_operations[[#This Row],[Interview Styling Completed]]+tbl_operations[[#This Row],[Confidence Styling Completed]]</f>
        <v>3</v>
      </c>
      <c r="AP219" s="167">
        <f>tbl_operations[[#This Row],[Interview Styling Male]]+tbl_operations[[#This Row],[Confidence Styling Male]]</f>
        <v>1</v>
      </c>
      <c r="AQ219" s="167">
        <f>tbl_operations[[#This Row],[Interview Styling Female]]+tbl_operations[[#This Row],[Confidence Styling Female]]</f>
        <v>2</v>
      </c>
      <c r="AR219" s="167">
        <f>tbl_operations[[#This Row],[Interview Styling Non-Binary]]+tbl_operations[[#This Row],[Confidence Styling Non-Binary]]</f>
        <v>0</v>
      </c>
    </row>
    <row r="220" spans="1:44">
      <c r="A220" s="161" t="s">
        <v>30</v>
      </c>
      <c r="B220" s="162" t="s">
        <v>103</v>
      </c>
      <c r="C220" s="161" t="s">
        <v>96</v>
      </c>
      <c r="D220" s="163">
        <v>46329</v>
      </c>
      <c r="E220" s="164" t="str">
        <f t="shared" si="3"/>
        <v>Tuesday</v>
      </c>
      <c r="F220" s="161">
        <v>4</v>
      </c>
      <c r="G220" s="161">
        <v>4</v>
      </c>
      <c r="H220" s="161">
        <v>1</v>
      </c>
      <c r="I220" s="161">
        <v>3</v>
      </c>
      <c r="J220" s="161">
        <v>0</v>
      </c>
      <c r="K220" s="161">
        <v>3</v>
      </c>
      <c r="L220" s="161">
        <v>3</v>
      </c>
      <c r="M220" s="161">
        <v>1</v>
      </c>
      <c r="N220" s="161">
        <v>2</v>
      </c>
      <c r="O220" s="161">
        <v>0</v>
      </c>
      <c r="P220" s="161">
        <v>1</v>
      </c>
      <c r="Q220" s="161">
        <v>0</v>
      </c>
      <c r="R220" s="161">
        <v>1</v>
      </c>
      <c r="S220" s="161">
        <v>0</v>
      </c>
      <c r="T220" s="165">
        <v>0</v>
      </c>
      <c r="U220" s="165">
        <v>0</v>
      </c>
      <c r="V220" s="161">
        <v>22</v>
      </c>
      <c r="W220" s="166">
        <v>553.41</v>
      </c>
      <c r="X220" s="161">
        <v>1183</v>
      </c>
      <c r="Y220" s="161">
        <v>100</v>
      </c>
      <c r="Z220" s="165">
        <v>3</v>
      </c>
      <c r="AA220" s="165">
        <v>0</v>
      </c>
      <c r="AB220" s="165">
        <v>2</v>
      </c>
      <c r="AC220" s="165">
        <v>1</v>
      </c>
      <c r="AD220" s="165">
        <v>2</v>
      </c>
      <c r="AE220" s="165">
        <v>3</v>
      </c>
      <c r="AF220" s="165">
        <v>11</v>
      </c>
      <c r="AG220" s="165">
        <v>7</v>
      </c>
      <c r="AH220" s="165">
        <v>0</v>
      </c>
      <c r="AI220" s="165">
        <v>6.5</v>
      </c>
      <c r="AJ220" s="165">
        <v>3</v>
      </c>
      <c r="AK220" s="165">
        <v>5</v>
      </c>
      <c r="AL220" s="165">
        <v>8</v>
      </c>
      <c r="AM220" s="165">
        <v>29.5</v>
      </c>
      <c r="AN220" s="167">
        <f>tbl_operations[[#This Row],[Interview Styling Registrations]]+tbl_operations[[#This Row],[Confidence Styling Registrations]]</f>
        <v>7</v>
      </c>
      <c r="AO220" s="167">
        <f>tbl_operations[[#This Row],[Interview Styling Completed]]+tbl_operations[[#This Row],[Confidence Styling Completed]]</f>
        <v>7</v>
      </c>
      <c r="AP220" s="167">
        <f>tbl_operations[[#This Row],[Interview Styling Male]]+tbl_operations[[#This Row],[Confidence Styling Male]]</f>
        <v>2</v>
      </c>
      <c r="AQ220" s="167">
        <f>tbl_operations[[#This Row],[Interview Styling Female]]+tbl_operations[[#This Row],[Confidence Styling Female]]</f>
        <v>5</v>
      </c>
      <c r="AR220" s="167">
        <f>tbl_operations[[#This Row],[Interview Styling Non-Binary]]+tbl_operations[[#This Row],[Confidence Styling Non-Binary]]</f>
        <v>0</v>
      </c>
    </row>
    <row r="221" spans="1:44">
      <c r="A221" s="161" t="s">
        <v>30</v>
      </c>
      <c r="B221" s="162" t="s">
        <v>103</v>
      </c>
      <c r="C221" s="161" t="s">
        <v>96</v>
      </c>
      <c r="D221" s="163">
        <v>46330</v>
      </c>
      <c r="E221" s="164" t="str">
        <f t="shared" si="3"/>
        <v>Wednesday</v>
      </c>
      <c r="F221" s="161">
        <v>3</v>
      </c>
      <c r="G221" s="161">
        <v>2</v>
      </c>
      <c r="H221" s="161">
        <v>1</v>
      </c>
      <c r="I221" s="161">
        <v>1</v>
      </c>
      <c r="J221" s="161">
        <v>0</v>
      </c>
      <c r="K221" s="161">
        <v>1</v>
      </c>
      <c r="L221" s="161">
        <v>1</v>
      </c>
      <c r="M221" s="161">
        <v>0</v>
      </c>
      <c r="N221" s="161">
        <v>1</v>
      </c>
      <c r="O221" s="161">
        <v>0</v>
      </c>
      <c r="P221" s="161">
        <v>0</v>
      </c>
      <c r="Q221" s="161">
        <v>0</v>
      </c>
      <c r="R221" s="161">
        <v>1</v>
      </c>
      <c r="S221" s="161">
        <v>0</v>
      </c>
      <c r="T221" s="165">
        <v>63.1</v>
      </c>
      <c r="U221" s="165">
        <v>0</v>
      </c>
      <c r="V221" s="161">
        <v>12</v>
      </c>
      <c r="W221" s="166">
        <v>151.4</v>
      </c>
      <c r="X221" s="161">
        <v>1139</v>
      </c>
      <c r="Y221" s="161">
        <v>127</v>
      </c>
      <c r="Z221" s="165">
        <v>1</v>
      </c>
      <c r="AA221" s="165">
        <v>0</v>
      </c>
      <c r="AB221" s="165">
        <v>1</v>
      </c>
      <c r="AC221" s="165">
        <v>2</v>
      </c>
      <c r="AD221" s="165">
        <v>2</v>
      </c>
      <c r="AE221" s="165">
        <v>4</v>
      </c>
      <c r="AF221" s="165">
        <v>10</v>
      </c>
      <c r="AG221" s="165">
        <v>2</v>
      </c>
      <c r="AH221" s="165">
        <v>0</v>
      </c>
      <c r="AI221" s="165">
        <v>5</v>
      </c>
      <c r="AJ221" s="165">
        <v>4.5</v>
      </c>
      <c r="AK221" s="165">
        <v>4.5</v>
      </c>
      <c r="AL221" s="165">
        <v>16.5</v>
      </c>
      <c r="AM221" s="165">
        <v>32.5</v>
      </c>
      <c r="AN221" s="167">
        <f>tbl_operations[[#This Row],[Interview Styling Registrations]]+tbl_operations[[#This Row],[Confidence Styling Registrations]]</f>
        <v>4</v>
      </c>
      <c r="AO221" s="167">
        <f>tbl_operations[[#This Row],[Interview Styling Completed]]+tbl_operations[[#This Row],[Confidence Styling Completed]]</f>
        <v>3</v>
      </c>
      <c r="AP221" s="167">
        <f>tbl_operations[[#This Row],[Interview Styling Male]]+tbl_operations[[#This Row],[Confidence Styling Male]]</f>
        <v>1</v>
      </c>
      <c r="AQ221" s="167">
        <f>tbl_operations[[#This Row],[Interview Styling Female]]+tbl_operations[[#This Row],[Confidence Styling Female]]</f>
        <v>2</v>
      </c>
      <c r="AR221" s="167">
        <f>tbl_operations[[#This Row],[Interview Styling Non-Binary]]+tbl_operations[[#This Row],[Confidence Styling Non-Binary]]</f>
        <v>0</v>
      </c>
    </row>
    <row r="222" spans="1:44">
      <c r="A222" s="161" t="s">
        <v>30</v>
      </c>
      <c r="B222" s="162" t="s">
        <v>103</v>
      </c>
      <c r="C222" s="161" t="s">
        <v>96</v>
      </c>
      <c r="D222" s="163">
        <v>46331</v>
      </c>
      <c r="E222" s="164" t="str">
        <f t="shared" si="3"/>
        <v>Thursday</v>
      </c>
      <c r="F222" s="161">
        <v>1</v>
      </c>
      <c r="G222" s="161">
        <v>1</v>
      </c>
      <c r="H222" s="161">
        <v>0</v>
      </c>
      <c r="I222" s="161">
        <v>1</v>
      </c>
      <c r="J222" s="161">
        <v>0</v>
      </c>
      <c r="K222" s="161">
        <v>0</v>
      </c>
      <c r="L222" s="161">
        <v>0</v>
      </c>
      <c r="M222" s="161">
        <v>0</v>
      </c>
      <c r="N222" s="161">
        <v>0</v>
      </c>
      <c r="O222" s="161">
        <v>0</v>
      </c>
      <c r="P222" s="161">
        <v>0</v>
      </c>
      <c r="Q222" s="161">
        <v>0</v>
      </c>
      <c r="R222" s="161">
        <v>0</v>
      </c>
      <c r="S222" s="161">
        <v>0</v>
      </c>
      <c r="T222" s="165">
        <v>0</v>
      </c>
      <c r="U222" s="165">
        <v>0</v>
      </c>
      <c r="V222" s="161">
        <v>6</v>
      </c>
      <c r="W222" s="166">
        <v>138.13</v>
      </c>
      <c r="X222" s="161">
        <v>1619</v>
      </c>
      <c r="Y222" s="161">
        <v>220</v>
      </c>
      <c r="Z222" s="165">
        <v>3</v>
      </c>
      <c r="AA222" s="165">
        <v>2</v>
      </c>
      <c r="AB222" s="165">
        <v>2</v>
      </c>
      <c r="AC222" s="165">
        <v>1</v>
      </c>
      <c r="AD222" s="165">
        <v>1</v>
      </c>
      <c r="AE222" s="165">
        <v>2</v>
      </c>
      <c r="AF222" s="165">
        <v>11</v>
      </c>
      <c r="AG222" s="165">
        <v>16.5</v>
      </c>
      <c r="AH222" s="165">
        <v>10.5</v>
      </c>
      <c r="AI222" s="165">
        <v>10.5</v>
      </c>
      <c r="AJ222" s="165">
        <v>3</v>
      </c>
      <c r="AK222" s="165">
        <v>4.5</v>
      </c>
      <c r="AL222" s="165">
        <v>5</v>
      </c>
      <c r="AM222" s="165">
        <v>50</v>
      </c>
      <c r="AN222" s="167">
        <f>tbl_operations[[#This Row],[Interview Styling Registrations]]+tbl_operations[[#This Row],[Confidence Styling Registrations]]</f>
        <v>1</v>
      </c>
      <c r="AO222" s="167">
        <f>tbl_operations[[#This Row],[Interview Styling Completed]]+tbl_operations[[#This Row],[Confidence Styling Completed]]</f>
        <v>1</v>
      </c>
      <c r="AP222" s="167">
        <f>tbl_operations[[#This Row],[Interview Styling Male]]+tbl_operations[[#This Row],[Confidence Styling Male]]</f>
        <v>0</v>
      </c>
      <c r="AQ222" s="167">
        <f>tbl_operations[[#This Row],[Interview Styling Female]]+tbl_operations[[#This Row],[Confidence Styling Female]]</f>
        <v>1</v>
      </c>
      <c r="AR222" s="167">
        <f>tbl_operations[[#This Row],[Interview Styling Non-Binary]]+tbl_operations[[#This Row],[Confidence Styling Non-Binary]]</f>
        <v>0</v>
      </c>
    </row>
    <row r="223" spans="1:44">
      <c r="A223" s="161" t="s">
        <v>30</v>
      </c>
      <c r="B223" s="162" t="s">
        <v>103</v>
      </c>
      <c r="C223" s="161" t="s">
        <v>96</v>
      </c>
      <c r="D223" s="163">
        <v>46332</v>
      </c>
      <c r="E223" s="164" t="str">
        <f t="shared" si="3"/>
        <v>Friday</v>
      </c>
      <c r="F223" s="161">
        <v>4</v>
      </c>
      <c r="G223" s="161">
        <v>4</v>
      </c>
      <c r="H223" s="161">
        <v>1</v>
      </c>
      <c r="I223" s="161">
        <v>3</v>
      </c>
      <c r="J223" s="161">
        <v>0</v>
      </c>
      <c r="K223" s="161">
        <v>0</v>
      </c>
      <c r="L223" s="161">
        <v>0</v>
      </c>
      <c r="M223" s="161">
        <v>0</v>
      </c>
      <c r="N223" s="161">
        <v>0</v>
      </c>
      <c r="O223" s="161">
        <v>0</v>
      </c>
      <c r="P223" s="161">
        <v>1</v>
      </c>
      <c r="Q223" s="161">
        <v>0</v>
      </c>
      <c r="R223" s="161">
        <v>0</v>
      </c>
      <c r="S223" s="161">
        <v>0</v>
      </c>
      <c r="T223" s="165">
        <v>25.4</v>
      </c>
      <c r="U223" s="165">
        <v>0</v>
      </c>
      <c r="V223" s="161">
        <v>9</v>
      </c>
      <c r="W223" s="166">
        <v>195.72</v>
      </c>
      <c r="X223" s="161">
        <v>1010</v>
      </c>
      <c r="Y223" s="161">
        <v>84</v>
      </c>
      <c r="Z223" s="165">
        <v>4</v>
      </c>
      <c r="AA223" s="165">
        <v>2</v>
      </c>
      <c r="AB223" s="165">
        <v>0</v>
      </c>
      <c r="AC223" s="165">
        <v>1</v>
      </c>
      <c r="AD223" s="165">
        <v>1</v>
      </c>
      <c r="AE223" s="165">
        <v>4</v>
      </c>
      <c r="AF223" s="165">
        <v>12</v>
      </c>
      <c r="AG223" s="165">
        <v>12</v>
      </c>
      <c r="AH223" s="165">
        <v>9</v>
      </c>
      <c r="AI223" s="165">
        <v>0</v>
      </c>
      <c r="AJ223" s="165">
        <v>4.5</v>
      </c>
      <c r="AK223" s="165">
        <v>2.5</v>
      </c>
      <c r="AL223" s="165">
        <v>13.5</v>
      </c>
      <c r="AM223" s="165">
        <v>41.5</v>
      </c>
      <c r="AN223" s="167">
        <f>tbl_operations[[#This Row],[Interview Styling Registrations]]+tbl_operations[[#This Row],[Confidence Styling Registrations]]</f>
        <v>4</v>
      </c>
      <c r="AO223" s="167">
        <f>tbl_operations[[#This Row],[Interview Styling Completed]]+tbl_operations[[#This Row],[Confidence Styling Completed]]</f>
        <v>4</v>
      </c>
      <c r="AP223" s="167">
        <f>tbl_operations[[#This Row],[Interview Styling Male]]+tbl_operations[[#This Row],[Confidence Styling Male]]</f>
        <v>1</v>
      </c>
      <c r="AQ223" s="167">
        <f>tbl_operations[[#This Row],[Interview Styling Female]]+tbl_operations[[#This Row],[Confidence Styling Female]]</f>
        <v>3</v>
      </c>
      <c r="AR223" s="167">
        <f>tbl_operations[[#This Row],[Interview Styling Non-Binary]]+tbl_operations[[#This Row],[Confidence Styling Non-Binary]]</f>
        <v>0</v>
      </c>
    </row>
    <row r="224" spans="1:44">
      <c r="A224" s="161" t="s">
        <v>30</v>
      </c>
      <c r="B224" s="162" t="s">
        <v>103</v>
      </c>
      <c r="C224" s="161" t="s">
        <v>97</v>
      </c>
      <c r="D224" s="163">
        <v>46335</v>
      </c>
      <c r="E224" s="164" t="str">
        <f t="shared" si="3"/>
        <v>Monday</v>
      </c>
      <c r="F224" s="161">
        <v>0</v>
      </c>
      <c r="G224" s="161">
        <v>0</v>
      </c>
      <c r="H224" s="161">
        <v>0</v>
      </c>
      <c r="I224" s="161">
        <v>0</v>
      </c>
      <c r="J224" s="161">
        <v>0</v>
      </c>
      <c r="K224" s="161">
        <v>0</v>
      </c>
      <c r="L224" s="161">
        <v>0</v>
      </c>
      <c r="M224" s="161">
        <v>0</v>
      </c>
      <c r="N224" s="161">
        <v>0</v>
      </c>
      <c r="O224" s="161">
        <v>0</v>
      </c>
      <c r="P224" s="161">
        <v>0</v>
      </c>
      <c r="Q224" s="161">
        <v>0</v>
      </c>
      <c r="R224" s="161">
        <v>0</v>
      </c>
      <c r="S224" s="161">
        <v>0</v>
      </c>
      <c r="T224" s="165">
        <v>61.9</v>
      </c>
      <c r="U224" s="165">
        <v>0</v>
      </c>
      <c r="V224" s="161">
        <v>6</v>
      </c>
      <c r="W224" s="166">
        <v>108.31</v>
      </c>
      <c r="X224" s="161">
        <v>1306</v>
      </c>
      <c r="Y224" s="161">
        <v>191</v>
      </c>
      <c r="Z224" s="165">
        <v>2</v>
      </c>
      <c r="AA224" s="165">
        <v>1</v>
      </c>
      <c r="AB224" s="165">
        <v>1</v>
      </c>
      <c r="AC224" s="165">
        <v>0</v>
      </c>
      <c r="AD224" s="165">
        <v>3</v>
      </c>
      <c r="AE224" s="165">
        <v>3</v>
      </c>
      <c r="AF224" s="165">
        <v>10</v>
      </c>
      <c r="AG224" s="165">
        <v>4.5</v>
      </c>
      <c r="AH224" s="165">
        <v>2.5</v>
      </c>
      <c r="AI224" s="165">
        <v>5</v>
      </c>
      <c r="AJ224" s="165">
        <v>0</v>
      </c>
      <c r="AK224" s="165">
        <v>14</v>
      </c>
      <c r="AL224" s="165">
        <v>12</v>
      </c>
      <c r="AM224" s="165">
        <v>38</v>
      </c>
      <c r="AN224" s="167">
        <f>tbl_operations[[#This Row],[Interview Styling Registrations]]+tbl_operations[[#This Row],[Confidence Styling Registrations]]</f>
        <v>0</v>
      </c>
      <c r="AO224" s="167">
        <f>tbl_operations[[#This Row],[Interview Styling Completed]]+tbl_operations[[#This Row],[Confidence Styling Completed]]</f>
        <v>0</v>
      </c>
      <c r="AP224" s="167">
        <f>tbl_operations[[#This Row],[Interview Styling Male]]+tbl_operations[[#This Row],[Confidence Styling Male]]</f>
        <v>0</v>
      </c>
      <c r="AQ224" s="167">
        <f>tbl_operations[[#This Row],[Interview Styling Female]]+tbl_operations[[#This Row],[Confidence Styling Female]]</f>
        <v>0</v>
      </c>
      <c r="AR224" s="167">
        <f>tbl_operations[[#This Row],[Interview Styling Non-Binary]]+tbl_operations[[#This Row],[Confidence Styling Non-Binary]]</f>
        <v>0</v>
      </c>
    </row>
    <row r="225" spans="1:44">
      <c r="A225" s="161" t="s">
        <v>30</v>
      </c>
      <c r="B225" s="162" t="s">
        <v>103</v>
      </c>
      <c r="C225" s="161" t="s">
        <v>97</v>
      </c>
      <c r="D225" s="163">
        <v>46336</v>
      </c>
      <c r="E225" s="164" t="str">
        <f t="shared" si="3"/>
        <v>Tuesday</v>
      </c>
      <c r="F225" s="161">
        <v>2</v>
      </c>
      <c r="G225" s="161">
        <v>1</v>
      </c>
      <c r="H225" s="161">
        <v>1</v>
      </c>
      <c r="I225" s="161">
        <v>0</v>
      </c>
      <c r="J225" s="161">
        <v>0</v>
      </c>
      <c r="K225" s="161">
        <v>1</v>
      </c>
      <c r="L225" s="161">
        <v>0</v>
      </c>
      <c r="M225" s="161">
        <v>0</v>
      </c>
      <c r="N225" s="161">
        <v>0</v>
      </c>
      <c r="O225" s="161">
        <v>0</v>
      </c>
      <c r="P225" s="161">
        <v>0</v>
      </c>
      <c r="Q225" s="161">
        <v>0</v>
      </c>
      <c r="R225" s="161">
        <v>0</v>
      </c>
      <c r="S225" s="161">
        <v>0</v>
      </c>
      <c r="T225" s="165">
        <v>22.8</v>
      </c>
      <c r="U225" s="165">
        <v>0</v>
      </c>
      <c r="V225" s="161">
        <v>16</v>
      </c>
      <c r="W225" s="166">
        <v>301.39</v>
      </c>
      <c r="X225" s="161">
        <v>2100</v>
      </c>
      <c r="Y225" s="161">
        <v>182</v>
      </c>
      <c r="Z225" s="165">
        <v>2</v>
      </c>
      <c r="AA225" s="165">
        <v>2</v>
      </c>
      <c r="AB225" s="165">
        <v>1</v>
      </c>
      <c r="AC225" s="165">
        <v>1</v>
      </c>
      <c r="AD225" s="165">
        <v>2</v>
      </c>
      <c r="AE225" s="165">
        <v>1</v>
      </c>
      <c r="AF225" s="165">
        <v>9</v>
      </c>
      <c r="AG225" s="165">
        <v>9</v>
      </c>
      <c r="AH225" s="165">
        <v>8</v>
      </c>
      <c r="AI225" s="165">
        <v>4</v>
      </c>
      <c r="AJ225" s="165">
        <v>2</v>
      </c>
      <c r="AK225" s="165">
        <v>8</v>
      </c>
      <c r="AL225" s="165">
        <v>4.5</v>
      </c>
      <c r="AM225" s="165">
        <v>35.5</v>
      </c>
      <c r="AN225" s="167">
        <f>tbl_operations[[#This Row],[Interview Styling Registrations]]+tbl_operations[[#This Row],[Confidence Styling Registrations]]</f>
        <v>3</v>
      </c>
      <c r="AO225" s="167">
        <f>tbl_operations[[#This Row],[Interview Styling Completed]]+tbl_operations[[#This Row],[Confidence Styling Completed]]</f>
        <v>1</v>
      </c>
      <c r="AP225" s="167">
        <f>tbl_operations[[#This Row],[Interview Styling Male]]+tbl_operations[[#This Row],[Confidence Styling Male]]</f>
        <v>1</v>
      </c>
      <c r="AQ225" s="167">
        <f>tbl_operations[[#This Row],[Interview Styling Female]]+tbl_operations[[#This Row],[Confidence Styling Female]]</f>
        <v>0</v>
      </c>
      <c r="AR225" s="167">
        <f>tbl_operations[[#This Row],[Interview Styling Non-Binary]]+tbl_operations[[#This Row],[Confidence Styling Non-Binary]]</f>
        <v>0</v>
      </c>
    </row>
    <row r="226" spans="1:44">
      <c r="A226" s="161" t="s">
        <v>30</v>
      </c>
      <c r="B226" s="162" t="s">
        <v>103</v>
      </c>
      <c r="C226" s="161" t="s">
        <v>97</v>
      </c>
      <c r="D226" s="163">
        <v>46337</v>
      </c>
      <c r="E226" s="164" t="str">
        <f t="shared" si="3"/>
        <v>Wednesday</v>
      </c>
      <c r="F226" s="161">
        <v>2</v>
      </c>
      <c r="G226" s="161">
        <v>1</v>
      </c>
      <c r="H226" s="161">
        <v>1</v>
      </c>
      <c r="I226" s="161">
        <v>0</v>
      </c>
      <c r="J226" s="161">
        <v>0</v>
      </c>
      <c r="K226" s="161">
        <v>3</v>
      </c>
      <c r="L226" s="161">
        <v>3</v>
      </c>
      <c r="M226" s="161">
        <v>0</v>
      </c>
      <c r="N226" s="161">
        <v>3</v>
      </c>
      <c r="O226" s="161">
        <v>0</v>
      </c>
      <c r="P226" s="161">
        <v>0</v>
      </c>
      <c r="Q226" s="161">
        <v>1</v>
      </c>
      <c r="R226" s="161">
        <v>0</v>
      </c>
      <c r="S226" s="161">
        <v>1</v>
      </c>
      <c r="T226" s="165">
        <v>41.1</v>
      </c>
      <c r="U226" s="165">
        <v>10.3</v>
      </c>
      <c r="V226" s="161">
        <v>19</v>
      </c>
      <c r="W226" s="166">
        <v>328.02</v>
      </c>
      <c r="X226" s="161">
        <v>582</v>
      </c>
      <c r="Y226" s="161">
        <v>73</v>
      </c>
      <c r="Z226" s="165">
        <v>4</v>
      </c>
      <c r="AA226" s="165">
        <v>0</v>
      </c>
      <c r="AB226" s="165">
        <v>1</v>
      </c>
      <c r="AC226" s="165">
        <v>1</v>
      </c>
      <c r="AD226" s="165">
        <v>3</v>
      </c>
      <c r="AE226" s="165">
        <v>4</v>
      </c>
      <c r="AF226" s="165">
        <v>13</v>
      </c>
      <c r="AG226" s="165">
        <v>12.5</v>
      </c>
      <c r="AH226" s="165">
        <v>0</v>
      </c>
      <c r="AI226" s="165">
        <v>4.5</v>
      </c>
      <c r="AJ226" s="165">
        <v>5</v>
      </c>
      <c r="AK226" s="165">
        <v>14</v>
      </c>
      <c r="AL226" s="165">
        <v>15</v>
      </c>
      <c r="AM226" s="165">
        <v>51</v>
      </c>
      <c r="AN226" s="167">
        <f>tbl_operations[[#This Row],[Interview Styling Registrations]]+tbl_operations[[#This Row],[Confidence Styling Registrations]]</f>
        <v>5</v>
      </c>
      <c r="AO226" s="167">
        <f>tbl_operations[[#This Row],[Interview Styling Completed]]+tbl_operations[[#This Row],[Confidence Styling Completed]]</f>
        <v>4</v>
      </c>
      <c r="AP226" s="167">
        <f>tbl_operations[[#This Row],[Interview Styling Male]]+tbl_operations[[#This Row],[Confidence Styling Male]]</f>
        <v>1</v>
      </c>
      <c r="AQ226" s="167">
        <f>tbl_operations[[#This Row],[Interview Styling Female]]+tbl_operations[[#This Row],[Confidence Styling Female]]</f>
        <v>3</v>
      </c>
      <c r="AR226" s="167">
        <f>tbl_operations[[#This Row],[Interview Styling Non-Binary]]+tbl_operations[[#This Row],[Confidence Styling Non-Binary]]</f>
        <v>0</v>
      </c>
    </row>
    <row r="227" spans="1:44">
      <c r="A227" s="161" t="s">
        <v>30</v>
      </c>
      <c r="B227" s="162" t="s">
        <v>103</v>
      </c>
      <c r="C227" s="161" t="s">
        <v>97</v>
      </c>
      <c r="D227" s="163">
        <v>46338</v>
      </c>
      <c r="E227" s="164" t="str">
        <f t="shared" si="3"/>
        <v>Thursday</v>
      </c>
      <c r="F227" s="161">
        <v>0</v>
      </c>
      <c r="G227" s="161">
        <v>0</v>
      </c>
      <c r="H227" s="161">
        <v>0</v>
      </c>
      <c r="I227" s="161">
        <v>0</v>
      </c>
      <c r="J227" s="161">
        <v>0</v>
      </c>
      <c r="K227" s="161">
        <v>1</v>
      </c>
      <c r="L227" s="161">
        <v>1</v>
      </c>
      <c r="M227" s="161">
        <v>1</v>
      </c>
      <c r="N227" s="161">
        <v>0</v>
      </c>
      <c r="O227" s="161">
        <v>0</v>
      </c>
      <c r="P227" s="161">
        <v>1</v>
      </c>
      <c r="Q227" s="161">
        <v>0</v>
      </c>
      <c r="R227" s="161">
        <v>1</v>
      </c>
      <c r="S227" s="161">
        <v>0</v>
      </c>
      <c r="T227" s="165">
        <v>22.1</v>
      </c>
      <c r="U227" s="165">
        <v>0</v>
      </c>
      <c r="V227" s="161">
        <v>9</v>
      </c>
      <c r="W227" s="166">
        <v>223.27</v>
      </c>
      <c r="X227" s="161">
        <v>412</v>
      </c>
      <c r="Y227" s="161">
        <v>48</v>
      </c>
      <c r="Z227" s="165">
        <v>1</v>
      </c>
      <c r="AA227" s="165">
        <v>0</v>
      </c>
      <c r="AB227" s="165">
        <v>2</v>
      </c>
      <c r="AC227" s="165">
        <v>0</v>
      </c>
      <c r="AD227" s="165">
        <v>4</v>
      </c>
      <c r="AE227" s="165">
        <v>3</v>
      </c>
      <c r="AF227" s="165">
        <v>10</v>
      </c>
      <c r="AG227" s="165">
        <v>4.5</v>
      </c>
      <c r="AH227" s="165">
        <v>0</v>
      </c>
      <c r="AI227" s="165">
        <v>5</v>
      </c>
      <c r="AJ227" s="165">
        <v>0</v>
      </c>
      <c r="AK227" s="165">
        <v>17</v>
      </c>
      <c r="AL227" s="165">
        <v>14</v>
      </c>
      <c r="AM227" s="165">
        <v>40.5</v>
      </c>
      <c r="AN227" s="167">
        <f>tbl_operations[[#This Row],[Interview Styling Registrations]]+tbl_operations[[#This Row],[Confidence Styling Registrations]]</f>
        <v>1</v>
      </c>
      <c r="AO227" s="167">
        <f>tbl_operations[[#This Row],[Interview Styling Completed]]+tbl_operations[[#This Row],[Confidence Styling Completed]]</f>
        <v>1</v>
      </c>
      <c r="AP227" s="167">
        <f>tbl_operations[[#This Row],[Interview Styling Male]]+tbl_operations[[#This Row],[Confidence Styling Male]]</f>
        <v>1</v>
      </c>
      <c r="AQ227" s="167">
        <f>tbl_operations[[#This Row],[Interview Styling Female]]+tbl_operations[[#This Row],[Confidence Styling Female]]</f>
        <v>0</v>
      </c>
      <c r="AR227" s="167">
        <f>tbl_operations[[#This Row],[Interview Styling Non-Binary]]+tbl_operations[[#This Row],[Confidence Styling Non-Binary]]</f>
        <v>0</v>
      </c>
    </row>
    <row r="228" spans="1:44">
      <c r="A228" s="161" t="s">
        <v>30</v>
      </c>
      <c r="B228" s="162" t="s">
        <v>103</v>
      </c>
      <c r="C228" s="161" t="s">
        <v>97</v>
      </c>
      <c r="D228" s="163">
        <v>46339</v>
      </c>
      <c r="E228" s="164" t="str">
        <f t="shared" si="3"/>
        <v>Friday</v>
      </c>
      <c r="F228" s="161">
        <v>2</v>
      </c>
      <c r="G228" s="161">
        <v>2</v>
      </c>
      <c r="H228" s="161">
        <v>0</v>
      </c>
      <c r="I228" s="161">
        <v>2</v>
      </c>
      <c r="J228" s="161">
        <v>0</v>
      </c>
      <c r="K228" s="161">
        <v>2</v>
      </c>
      <c r="L228" s="161">
        <v>2</v>
      </c>
      <c r="M228" s="161">
        <v>1</v>
      </c>
      <c r="N228" s="161">
        <v>1</v>
      </c>
      <c r="O228" s="161">
        <v>0</v>
      </c>
      <c r="P228" s="161">
        <v>2</v>
      </c>
      <c r="Q228" s="161">
        <v>0</v>
      </c>
      <c r="R228" s="161">
        <v>0</v>
      </c>
      <c r="S228" s="161">
        <v>0</v>
      </c>
      <c r="T228" s="165">
        <v>53.1</v>
      </c>
      <c r="U228" s="165">
        <v>15.3</v>
      </c>
      <c r="V228" s="161">
        <v>6</v>
      </c>
      <c r="W228" s="166">
        <v>131.94</v>
      </c>
      <c r="X228" s="161">
        <v>870</v>
      </c>
      <c r="Y228" s="161">
        <v>133</v>
      </c>
      <c r="Z228" s="165">
        <v>2</v>
      </c>
      <c r="AA228" s="165">
        <v>0</v>
      </c>
      <c r="AB228" s="165">
        <v>0</v>
      </c>
      <c r="AC228" s="165">
        <v>0</v>
      </c>
      <c r="AD228" s="165">
        <v>4</v>
      </c>
      <c r="AE228" s="165">
        <v>3</v>
      </c>
      <c r="AF228" s="165">
        <v>9</v>
      </c>
      <c r="AG228" s="165">
        <v>7.5</v>
      </c>
      <c r="AH228" s="165">
        <v>0</v>
      </c>
      <c r="AI228" s="165">
        <v>0</v>
      </c>
      <c r="AJ228" s="165">
        <v>0</v>
      </c>
      <c r="AK228" s="165">
        <v>13.5</v>
      </c>
      <c r="AL228" s="165">
        <v>8.5</v>
      </c>
      <c r="AM228" s="165">
        <v>29.5</v>
      </c>
      <c r="AN228" s="167">
        <f>tbl_operations[[#This Row],[Interview Styling Registrations]]+tbl_operations[[#This Row],[Confidence Styling Registrations]]</f>
        <v>4</v>
      </c>
      <c r="AO228" s="167">
        <f>tbl_operations[[#This Row],[Interview Styling Completed]]+tbl_operations[[#This Row],[Confidence Styling Completed]]</f>
        <v>4</v>
      </c>
      <c r="AP228" s="167">
        <f>tbl_operations[[#This Row],[Interview Styling Male]]+tbl_operations[[#This Row],[Confidence Styling Male]]</f>
        <v>1</v>
      </c>
      <c r="AQ228" s="167">
        <f>tbl_operations[[#This Row],[Interview Styling Female]]+tbl_operations[[#This Row],[Confidence Styling Female]]</f>
        <v>3</v>
      </c>
      <c r="AR228" s="167">
        <f>tbl_operations[[#This Row],[Interview Styling Non-Binary]]+tbl_operations[[#This Row],[Confidence Styling Non-Binary]]</f>
        <v>0</v>
      </c>
    </row>
    <row r="229" spans="1:44">
      <c r="A229" s="161" t="s">
        <v>30</v>
      </c>
      <c r="B229" s="162" t="s">
        <v>103</v>
      </c>
      <c r="C229" s="161" t="s">
        <v>98</v>
      </c>
      <c r="D229" s="163">
        <v>46342</v>
      </c>
      <c r="E229" s="164" t="str">
        <f t="shared" si="3"/>
        <v>Monday</v>
      </c>
      <c r="F229" s="161">
        <v>3</v>
      </c>
      <c r="G229" s="161">
        <v>2</v>
      </c>
      <c r="H229" s="161">
        <v>1</v>
      </c>
      <c r="I229" s="161">
        <v>1</v>
      </c>
      <c r="J229" s="161">
        <v>0</v>
      </c>
      <c r="K229" s="161">
        <v>2</v>
      </c>
      <c r="L229" s="161">
        <v>1</v>
      </c>
      <c r="M229" s="161">
        <v>0</v>
      </c>
      <c r="N229" s="161">
        <v>1</v>
      </c>
      <c r="O229" s="161">
        <v>0</v>
      </c>
      <c r="P229" s="161">
        <v>0</v>
      </c>
      <c r="Q229" s="161">
        <v>0</v>
      </c>
      <c r="R229" s="161">
        <v>0</v>
      </c>
      <c r="S229" s="161">
        <v>0</v>
      </c>
      <c r="T229" s="165">
        <v>17.5</v>
      </c>
      <c r="U229" s="165">
        <v>0</v>
      </c>
      <c r="V229" s="161">
        <v>7</v>
      </c>
      <c r="W229" s="166">
        <v>193.9</v>
      </c>
      <c r="X229" s="161">
        <v>1389</v>
      </c>
      <c r="Y229" s="161">
        <v>182</v>
      </c>
      <c r="Z229" s="165">
        <v>1</v>
      </c>
      <c r="AA229" s="165">
        <v>1</v>
      </c>
      <c r="AB229" s="165">
        <v>1</v>
      </c>
      <c r="AC229" s="165">
        <v>0</v>
      </c>
      <c r="AD229" s="165">
        <v>2</v>
      </c>
      <c r="AE229" s="165">
        <v>4</v>
      </c>
      <c r="AF229" s="165">
        <v>9</v>
      </c>
      <c r="AG229" s="165">
        <v>5</v>
      </c>
      <c r="AH229" s="165">
        <v>5.5</v>
      </c>
      <c r="AI229" s="165">
        <v>2.5</v>
      </c>
      <c r="AJ229" s="165">
        <v>0</v>
      </c>
      <c r="AK229" s="165">
        <v>9.5</v>
      </c>
      <c r="AL229" s="165">
        <v>17.5</v>
      </c>
      <c r="AM229" s="165">
        <v>40</v>
      </c>
      <c r="AN229" s="167">
        <f>tbl_operations[[#This Row],[Interview Styling Registrations]]+tbl_operations[[#This Row],[Confidence Styling Registrations]]</f>
        <v>5</v>
      </c>
      <c r="AO229" s="167">
        <f>tbl_operations[[#This Row],[Interview Styling Completed]]+tbl_operations[[#This Row],[Confidence Styling Completed]]</f>
        <v>3</v>
      </c>
      <c r="AP229" s="167">
        <f>tbl_operations[[#This Row],[Interview Styling Male]]+tbl_operations[[#This Row],[Confidence Styling Male]]</f>
        <v>1</v>
      </c>
      <c r="AQ229" s="167">
        <f>tbl_operations[[#This Row],[Interview Styling Female]]+tbl_operations[[#This Row],[Confidence Styling Female]]</f>
        <v>2</v>
      </c>
      <c r="AR229" s="167">
        <f>tbl_operations[[#This Row],[Interview Styling Non-Binary]]+tbl_operations[[#This Row],[Confidence Styling Non-Binary]]</f>
        <v>0</v>
      </c>
    </row>
    <row r="230" spans="1:44">
      <c r="A230" s="161" t="s">
        <v>30</v>
      </c>
      <c r="B230" s="162" t="s">
        <v>103</v>
      </c>
      <c r="C230" s="161" t="s">
        <v>98</v>
      </c>
      <c r="D230" s="163">
        <v>46343</v>
      </c>
      <c r="E230" s="164" t="str">
        <f t="shared" si="3"/>
        <v>Tuesday</v>
      </c>
      <c r="F230" s="161">
        <v>0</v>
      </c>
      <c r="G230" s="161">
        <v>0</v>
      </c>
      <c r="H230" s="161">
        <v>0</v>
      </c>
      <c r="I230" s="161">
        <v>0</v>
      </c>
      <c r="J230" s="161">
        <v>0</v>
      </c>
      <c r="K230" s="161">
        <v>0</v>
      </c>
      <c r="L230" s="161">
        <v>0</v>
      </c>
      <c r="M230" s="161">
        <v>0</v>
      </c>
      <c r="N230" s="161">
        <v>0</v>
      </c>
      <c r="O230" s="161">
        <v>0</v>
      </c>
      <c r="P230" s="161">
        <v>2</v>
      </c>
      <c r="Q230" s="161">
        <v>0</v>
      </c>
      <c r="R230" s="161">
        <v>0</v>
      </c>
      <c r="S230" s="161">
        <v>1</v>
      </c>
      <c r="T230" s="165">
        <v>40.8</v>
      </c>
      <c r="U230" s="165">
        <v>5</v>
      </c>
      <c r="V230" s="161">
        <v>7</v>
      </c>
      <c r="W230" s="166">
        <v>156.59</v>
      </c>
      <c r="X230" s="161">
        <v>1777</v>
      </c>
      <c r="Y230" s="161">
        <v>122</v>
      </c>
      <c r="Z230" s="165">
        <v>1</v>
      </c>
      <c r="AA230" s="165">
        <v>2</v>
      </c>
      <c r="AB230" s="165">
        <v>2</v>
      </c>
      <c r="AC230" s="165">
        <v>1</v>
      </c>
      <c r="AD230" s="165">
        <v>3</v>
      </c>
      <c r="AE230" s="165">
        <v>3</v>
      </c>
      <c r="AF230" s="165">
        <v>12</v>
      </c>
      <c r="AG230" s="165">
        <v>4.5</v>
      </c>
      <c r="AH230" s="165">
        <v>5</v>
      </c>
      <c r="AI230" s="165">
        <v>5.5</v>
      </c>
      <c r="AJ230" s="165">
        <v>5</v>
      </c>
      <c r="AK230" s="165">
        <v>10</v>
      </c>
      <c r="AL230" s="165">
        <v>15</v>
      </c>
      <c r="AM230" s="165">
        <v>45</v>
      </c>
      <c r="AN230" s="167">
        <f>tbl_operations[[#This Row],[Interview Styling Registrations]]+tbl_operations[[#This Row],[Confidence Styling Registrations]]</f>
        <v>0</v>
      </c>
      <c r="AO230" s="167">
        <f>tbl_operations[[#This Row],[Interview Styling Completed]]+tbl_operations[[#This Row],[Confidence Styling Completed]]</f>
        <v>0</v>
      </c>
      <c r="AP230" s="167">
        <f>tbl_operations[[#This Row],[Interview Styling Male]]+tbl_operations[[#This Row],[Confidence Styling Male]]</f>
        <v>0</v>
      </c>
      <c r="AQ230" s="167">
        <f>tbl_operations[[#This Row],[Interview Styling Female]]+tbl_operations[[#This Row],[Confidence Styling Female]]</f>
        <v>0</v>
      </c>
      <c r="AR230" s="167">
        <f>tbl_operations[[#This Row],[Interview Styling Non-Binary]]+tbl_operations[[#This Row],[Confidence Styling Non-Binary]]</f>
        <v>0</v>
      </c>
    </row>
    <row r="231" spans="1:44">
      <c r="A231" s="161" t="s">
        <v>30</v>
      </c>
      <c r="B231" s="162" t="s">
        <v>103</v>
      </c>
      <c r="C231" s="161" t="s">
        <v>98</v>
      </c>
      <c r="D231" s="163">
        <v>46344</v>
      </c>
      <c r="E231" s="164" t="str">
        <f t="shared" si="3"/>
        <v>Wednesday</v>
      </c>
      <c r="F231" s="161">
        <v>0</v>
      </c>
      <c r="G231" s="161">
        <v>0</v>
      </c>
      <c r="H231" s="161">
        <v>0</v>
      </c>
      <c r="I231" s="161">
        <v>0</v>
      </c>
      <c r="J231" s="161">
        <v>0</v>
      </c>
      <c r="K231" s="161">
        <v>2</v>
      </c>
      <c r="L231" s="161">
        <v>1</v>
      </c>
      <c r="M231" s="161">
        <v>0</v>
      </c>
      <c r="N231" s="161">
        <v>1</v>
      </c>
      <c r="O231" s="161">
        <v>0</v>
      </c>
      <c r="P231" s="161">
        <v>0</v>
      </c>
      <c r="Q231" s="161">
        <v>0</v>
      </c>
      <c r="R231" s="161">
        <v>0</v>
      </c>
      <c r="S231" s="161">
        <v>0</v>
      </c>
      <c r="T231" s="165">
        <v>37.3</v>
      </c>
      <c r="U231" s="165">
        <v>17.3</v>
      </c>
      <c r="V231" s="161">
        <v>11</v>
      </c>
      <c r="W231" s="166">
        <v>206.2</v>
      </c>
      <c r="X231" s="161">
        <v>2054</v>
      </c>
      <c r="Y231" s="161">
        <v>149</v>
      </c>
      <c r="Z231" s="165">
        <v>4</v>
      </c>
      <c r="AA231" s="165">
        <v>0</v>
      </c>
      <c r="AB231" s="165">
        <v>2</v>
      </c>
      <c r="AC231" s="165">
        <v>0</v>
      </c>
      <c r="AD231" s="165">
        <v>5</v>
      </c>
      <c r="AE231" s="165">
        <v>1</v>
      </c>
      <c r="AF231" s="165">
        <v>12</v>
      </c>
      <c r="AG231" s="165">
        <v>17</v>
      </c>
      <c r="AH231" s="165">
        <v>0</v>
      </c>
      <c r="AI231" s="165">
        <v>7</v>
      </c>
      <c r="AJ231" s="165">
        <v>0</v>
      </c>
      <c r="AK231" s="165">
        <v>14.5</v>
      </c>
      <c r="AL231" s="165">
        <v>3.5</v>
      </c>
      <c r="AM231" s="165">
        <v>42</v>
      </c>
      <c r="AN231" s="167">
        <f>tbl_operations[[#This Row],[Interview Styling Registrations]]+tbl_operations[[#This Row],[Confidence Styling Registrations]]</f>
        <v>2</v>
      </c>
      <c r="AO231" s="167">
        <f>tbl_operations[[#This Row],[Interview Styling Completed]]+tbl_operations[[#This Row],[Confidence Styling Completed]]</f>
        <v>1</v>
      </c>
      <c r="AP231" s="167">
        <f>tbl_operations[[#This Row],[Interview Styling Male]]+tbl_operations[[#This Row],[Confidence Styling Male]]</f>
        <v>0</v>
      </c>
      <c r="AQ231" s="167">
        <f>tbl_operations[[#This Row],[Interview Styling Female]]+tbl_operations[[#This Row],[Confidence Styling Female]]</f>
        <v>1</v>
      </c>
      <c r="AR231" s="167">
        <f>tbl_operations[[#This Row],[Interview Styling Non-Binary]]+tbl_operations[[#This Row],[Confidence Styling Non-Binary]]</f>
        <v>0</v>
      </c>
    </row>
    <row r="232" spans="1:44">
      <c r="A232" s="161" t="s">
        <v>30</v>
      </c>
      <c r="B232" s="162" t="s">
        <v>103</v>
      </c>
      <c r="C232" s="161" t="s">
        <v>98</v>
      </c>
      <c r="D232" s="163">
        <v>46345</v>
      </c>
      <c r="E232" s="164" t="str">
        <f t="shared" si="3"/>
        <v>Thursday</v>
      </c>
      <c r="F232" s="161">
        <v>0</v>
      </c>
      <c r="G232" s="161">
        <v>0</v>
      </c>
      <c r="H232" s="161">
        <v>0</v>
      </c>
      <c r="I232" s="161">
        <v>0</v>
      </c>
      <c r="J232" s="161">
        <v>0</v>
      </c>
      <c r="K232" s="161">
        <v>1</v>
      </c>
      <c r="L232" s="161">
        <v>1</v>
      </c>
      <c r="M232" s="161">
        <v>1</v>
      </c>
      <c r="N232" s="161">
        <v>0</v>
      </c>
      <c r="O232" s="161">
        <v>0</v>
      </c>
      <c r="P232" s="161">
        <v>0</v>
      </c>
      <c r="Q232" s="161">
        <v>0</v>
      </c>
      <c r="R232" s="161">
        <v>0</v>
      </c>
      <c r="S232" s="161">
        <v>0</v>
      </c>
      <c r="T232" s="165">
        <v>47.4</v>
      </c>
      <c r="U232" s="165">
        <v>0</v>
      </c>
      <c r="V232" s="161">
        <v>8</v>
      </c>
      <c r="W232" s="166">
        <v>145.13</v>
      </c>
      <c r="X232" s="161">
        <v>1867</v>
      </c>
      <c r="Y232" s="161">
        <v>93</v>
      </c>
      <c r="Z232" s="165">
        <v>2</v>
      </c>
      <c r="AA232" s="165">
        <v>1</v>
      </c>
      <c r="AB232" s="165">
        <v>1</v>
      </c>
      <c r="AC232" s="165">
        <v>1</v>
      </c>
      <c r="AD232" s="165">
        <v>3</v>
      </c>
      <c r="AE232" s="165">
        <v>1</v>
      </c>
      <c r="AF232" s="165">
        <v>9</v>
      </c>
      <c r="AG232" s="165">
        <v>8.5</v>
      </c>
      <c r="AH232" s="165">
        <v>3.5</v>
      </c>
      <c r="AI232" s="165">
        <v>2.5</v>
      </c>
      <c r="AJ232" s="165">
        <v>2</v>
      </c>
      <c r="AK232" s="165">
        <v>8.5</v>
      </c>
      <c r="AL232" s="165">
        <v>3</v>
      </c>
      <c r="AM232" s="165">
        <v>28</v>
      </c>
      <c r="AN232" s="167">
        <f>tbl_operations[[#This Row],[Interview Styling Registrations]]+tbl_operations[[#This Row],[Confidence Styling Registrations]]</f>
        <v>1</v>
      </c>
      <c r="AO232" s="167">
        <f>tbl_operations[[#This Row],[Interview Styling Completed]]+tbl_operations[[#This Row],[Confidence Styling Completed]]</f>
        <v>1</v>
      </c>
      <c r="AP232" s="167">
        <f>tbl_operations[[#This Row],[Interview Styling Male]]+tbl_operations[[#This Row],[Confidence Styling Male]]</f>
        <v>1</v>
      </c>
      <c r="AQ232" s="167">
        <f>tbl_operations[[#This Row],[Interview Styling Female]]+tbl_operations[[#This Row],[Confidence Styling Female]]</f>
        <v>0</v>
      </c>
      <c r="AR232" s="167">
        <f>tbl_operations[[#This Row],[Interview Styling Non-Binary]]+tbl_operations[[#This Row],[Confidence Styling Non-Binary]]</f>
        <v>0</v>
      </c>
    </row>
    <row r="233" spans="1:44">
      <c r="A233" s="161" t="s">
        <v>30</v>
      </c>
      <c r="B233" s="162" t="s">
        <v>103</v>
      </c>
      <c r="C233" s="161" t="s">
        <v>98</v>
      </c>
      <c r="D233" s="163">
        <v>46346</v>
      </c>
      <c r="E233" s="164" t="str">
        <f t="shared" si="3"/>
        <v>Friday</v>
      </c>
      <c r="F233" s="161">
        <v>1</v>
      </c>
      <c r="G233" s="161">
        <v>1</v>
      </c>
      <c r="H233" s="161">
        <v>0</v>
      </c>
      <c r="I233" s="161">
        <v>1</v>
      </c>
      <c r="J233" s="161">
        <v>0</v>
      </c>
      <c r="K233" s="161">
        <v>1</v>
      </c>
      <c r="L233" s="161">
        <v>1</v>
      </c>
      <c r="M233" s="161">
        <v>0</v>
      </c>
      <c r="N233" s="161">
        <v>1</v>
      </c>
      <c r="O233" s="161">
        <v>0</v>
      </c>
      <c r="P233" s="161">
        <v>0</v>
      </c>
      <c r="Q233" s="161">
        <v>1</v>
      </c>
      <c r="R233" s="161">
        <v>1</v>
      </c>
      <c r="S233" s="161">
        <v>1</v>
      </c>
      <c r="T233" s="165">
        <v>32.6</v>
      </c>
      <c r="U233" s="165">
        <v>19.7</v>
      </c>
      <c r="V233" s="161">
        <v>16</v>
      </c>
      <c r="W233" s="166">
        <v>383.48</v>
      </c>
      <c r="X233" s="161">
        <v>495</v>
      </c>
      <c r="Y233" s="161">
        <v>77</v>
      </c>
      <c r="Z233" s="165">
        <v>2</v>
      </c>
      <c r="AA233" s="165">
        <v>0</v>
      </c>
      <c r="AB233" s="165">
        <v>2</v>
      </c>
      <c r="AC233" s="165">
        <v>2</v>
      </c>
      <c r="AD233" s="165">
        <v>1</v>
      </c>
      <c r="AE233" s="165">
        <v>3</v>
      </c>
      <c r="AF233" s="165">
        <v>10</v>
      </c>
      <c r="AG233" s="165">
        <v>7</v>
      </c>
      <c r="AH233" s="165">
        <v>0</v>
      </c>
      <c r="AI233" s="165">
        <v>9</v>
      </c>
      <c r="AJ233" s="165">
        <v>10.5</v>
      </c>
      <c r="AK233" s="165">
        <v>4</v>
      </c>
      <c r="AL233" s="165">
        <v>9</v>
      </c>
      <c r="AM233" s="165">
        <v>39.5</v>
      </c>
      <c r="AN233" s="167">
        <f>tbl_operations[[#This Row],[Interview Styling Registrations]]+tbl_operations[[#This Row],[Confidence Styling Registrations]]</f>
        <v>2</v>
      </c>
      <c r="AO233" s="167">
        <f>tbl_operations[[#This Row],[Interview Styling Completed]]+tbl_operations[[#This Row],[Confidence Styling Completed]]</f>
        <v>2</v>
      </c>
      <c r="AP233" s="167">
        <f>tbl_operations[[#This Row],[Interview Styling Male]]+tbl_operations[[#This Row],[Confidence Styling Male]]</f>
        <v>0</v>
      </c>
      <c r="AQ233" s="167">
        <f>tbl_operations[[#This Row],[Interview Styling Female]]+tbl_operations[[#This Row],[Confidence Styling Female]]</f>
        <v>2</v>
      </c>
      <c r="AR233" s="167">
        <f>tbl_operations[[#This Row],[Interview Styling Non-Binary]]+tbl_operations[[#This Row],[Confidence Styling Non-Binary]]</f>
        <v>0</v>
      </c>
    </row>
    <row r="234" spans="1:44">
      <c r="A234" s="161" t="s">
        <v>30</v>
      </c>
      <c r="B234" s="162" t="s">
        <v>103</v>
      </c>
      <c r="C234" s="161" t="s">
        <v>99</v>
      </c>
      <c r="D234" s="163">
        <v>46349</v>
      </c>
      <c r="E234" s="164" t="str">
        <f t="shared" si="3"/>
        <v>Monday</v>
      </c>
      <c r="F234" s="161">
        <v>2</v>
      </c>
      <c r="G234" s="161">
        <v>1</v>
      </c>
      <c r="H234" s="161">
        <v>0</v>
      </c>
      <c r="I234" s="161">
        <v>1</v>
      </c>
      <c r="J234" s="161">
        <v>0</v>
      </c>
      <c r="K234" s="161">
        <v>0</v>
      </c>
      <c r="L234" s="161">
        <v>0</v>
      </c>
      <c r="M234" s="161">
        <v>0</v>
      </c>
      <c r="N234" s="161">
        <v>0</v>
      </c>
      <c r="O234" s="161">
        <v>0</v>
      </c>
      <c r="P234" s="161">
        <v>0</v>
      </c>
      <c r="Q234" s="161">
        <v>1</v>
      </c>
      <c r="R234" s="161">
        <v>0</v>
      </c>
      <c r="S234" s="161">
        <v>1</v>
      </c>
      <c r="T234" s="165">
        <v>0</v>
      </c>
      <c r="U234" s="165">
        <v>0</v>
      </c>
      <c r="V234" s="161">
        <v>13</v>
      </c>
      <c r="W234" s="166">
        <v>376.57</v>
      </c>
      <c r="X234" s="161">
        <v>1792</v>
      </c>
      <c r="Y234" s="161">
        <v>243</v>
      </c>
      <c r="Z234" s="165">
        <v>4</v>
      </c>
      <c r="AA234" s="165">
        <v>0</v>
      </c>
      <c r="AB234" s="165">
        <v>1</v>
      </c>
      <c r="AC234" s="165">
        <v>0</v>
      </c>
      <c r="AD234" s="165">
        <v>3</v>
      </c>
      <c r="AE234" s="165">
        <v>4</v>
      </c>
      <c r="AF234" s="165">
        <v>12</v>
      </c>
      <c r="AG234" s="165">
        <v>15</v>
      </c>
      <c r="AH234" s="165">
        <v>0</v>
      </c>
      <c r="AI234" s="165">
        <v>5</v>
      </c>
      <c r="AJ234" s="165">
        <v>0</v>
      </c>
      <c r="AK234" s="165">
        <v>12</v>
      </c>
      <c r="AL234" s="165">
        <v>8.5</v>
      </c>
      <c r="AM234" s="165">
        <v>40.5</v>
      </c>
      <c r="AN234" s="167">
        <f>tbl_operations[[#This Row],[Interview Styling Registrations]]+tbl_operations[[#This Row],[Confidence Styling Registrations]]</f>
        <v>2</v>
      </c>
      <c r="AO234" s="167">
        <f>tbl_operations[[#This Row],[Interview Styling Completed]]+tbl_operations[[#This Row],[Confidence Styling Completed]]</f>
        <v>1</v>
      </c>
      <c r="AP234" s="167">
        <f>tbl_operations[[#This Row],[Interview Styling Male]]+tbl_operations[[#This Row],[Confidence Styling Male]]</f>
        <v>0</v>
      </c>
      <c r="AQ234" s="167">
        <f>tbl_operations[[#This Row],[Interview Styling Female]]+tbl_operations[[#This Row],[Confidence Styling Female]]</f>
        <v>1</v>
      </c>
      <c r="AR234" s="167">
        <f>tbl_operations[[#This Row],[Interview Styling Non-Binary]]+tbl_operations[[#This Row],[Confidence Styling Non-Binary]]</f>
        <v>0</v>
      </c>
    </row>
    <row r="235" spans="1:44">
      <c r="A235" s="161" t="s">
        <v>30</v>
      </c>
      <c r="B235" s="162" t="s">
        <v>103</v>
      </c>
      <c r="C235" s="161" t="s">
        <v>99</v>
      </c>
      <c r="D235" s="163">
        <v>46350</v>
      </c>
      <c r="E235" s="164" t="str">
        <f t="shared" si="3"/>
        <v>Tuesday</v>
      </c>
      <c r="F235" s="161">
        <v>2</v>
      </c>
      <c r="G235" s="161">
        <v>2</v>
      </c>
      <c r="H235" s="161">
        <v>0</v>
      </c>
      <c r="I235" s="161">
        <v>2</v>
      </c>
      <c r="J235" s="161">
        <v>0</v>
      </c>
      <c r="K235" s="161">
        <v>0</v>
      </c>
      <c r="L235" s="161">
        <v>0</v>
      </c>
      <c r="M235" s="161">
        <v>0</v>
      </c>
      <c r="N235" s="161">
        <v>0</v>
      </c>
      <c r="O235" s="161">
        <v>0</v>
      </c>
      <c r="P235" s="161">
        <v>1</v>
      </c>
      <c r="Q235" s="161">
        <v>0</v>
      </c>
      <c r="R235" s="161">
        <v>0</v>
      </c>
      <c r="S235" s="161">
        <v>0</v>
      </c>
      <c r="T235" s="165">
        <v>9.9</v>
      </c>
      <c r="U235" s="165">
        <v>17.7</v>
      </c>
      <c r="V235" s="161">
        <v>13</v>
      </c>
      <c r="W235" s="166">
        <v>224.83</v>
      </c>
      <c r="X235" s="161">
        <v>1517</v>
      </c>
      <c r="Y235" s="161">
        <v>206</v>
      </c>
      <c r="Z235" s="165">
        <v>4</v>
      </c>
      <c r="AA235" s="165">
        <v>1</v>
      </c>
      <c r="AB235" s="165">
        <v>0</v>
      </c>
      <c r="AC235" s="165">
        <v>2</v>
      </c>
      <c r="AD235" s="165">
        <v>4</v>
      </c>
      <c r="AE235" s="165">
        <v>2</v>
      </c>
      <c r="AF235" s="165">
        <v>13</v>
      </c>
      <c r="AG235" s="165">
        <v>17</v>
      </c>
      <c r="AH235" s="165">
        <v>4.5</v>
      </c>
      <c r="AI235" s="165">
        <v>0</v>
      </c>
      <c r="AJ235" s="165">
        <v>5.5</v>
      </c>
      <c r="AK235" s="165">
        <v>14</v>
      </c>
      <c r="AL235" s="165">
        <v>5.5</v>
      </c>
      <c r="AM235" s="165">
        <v>46.5</v>
      </c>
      <c r="AN235" s="167">
        <f>tbl_operations[[#This Row],[Interview Styling Registrations]]+tbl_operations[[#This Row],[Confidence Styling Registrations]]</f>
        <v>2</v>
      </c>
      <c r="AO235" s="167">
        <f>tbl_operations[[#This Row],[Interview Styling Completed]]+tbl_operations[[#This Row],[Confidence Styling Completed]]</f>
        <v>2</v>
      </c>
      <c r="AP235" s="167">
        <f>tbl_operations[[#This Row],[Interview Styling Male]]+tbl_operations[[#This Row],[Confidence Styling Male]]</f>
        <v>0</v>
      </c>
      <c r="AQ235" s="167">
        <f>tbl_operations[[#This Row],[Interview Styling Female]]+tbl_operations[[#This Row],[Confidence Styling Female]]</f>
        <v>2</v>
      </c>
      <c r="AR235" s="167">
        <f>tbl_operations[[#This Row],[Interview Styling Non-Binary]]+tbl_operations[[#This Row],[Confidence Styling Non-Binary]]</f>
        <v>0</v>
      </c>
    </row>
    <row r="236" spans="1:44">
      <c r="A236" s="161" t="s">
        <v>30</v>
      </c>
      <c r="B236" s="162" t="s">
        <v>103</v>
      </c>
      <c r="C236" s="161" t="s">
        <v>99</v>
      </c>
      <c r="D236" s="163">
        <v>46351</v>
      </c>
      <c r="E236" s="164" t="str">
        <f t="shared" si="3"/>
        <v>Wednesday</v>
      </c>
      <c r="F236" s="161">
        <v>4</v>
      </c>
      <c r="G236" s="161">
        <v>4</v>
      </c>
      <c r="H236" s="161">
        <v>1</v>
      </c>
      <c r="I236" s="161">
        <v>3</v>
      </c>
      <c r="J236" s="161">
        <v>0</v>
      </c>
      <c r="K236" s="161">
        <v>2</v>
      </c>
      <c r="L236" s="161">
        <v>1</v>
      </c>
      <c r="M236" s="161">
        <v>1</v>
      </c>
      <c r="N236" s="161">
        <v>0</v>
      </c>
      <c r="O236" s="161">
        <v>0</v>
      </c>
      <c r="P236" s="161">
        <v>1</v>
      </c>
      <c r="Q236" s="161">
        <v>0</v>
      </c>
      <c r="R236" s="161">
        <v>1</v>
      </c>
      <c r="S236" s="161">
        <v>1</v>
      </c>
      <c r="T236" s="165">
        <v>0</v>
      </c>
      <c r="U236" s="165">
        <v>0</v>
      </c>
      <c r="V236" s="161">
        <v>18</v>
      </c>
      <c r="W236" s="166">
        <v>281.96</v>
      </c>
      <c r="X236" s="161">
        <v>404</v>
      </c>
      <c r="Y236" s="161">
        <v>20</v>
      </c>
      <c r="Z236" s="165">
        <v>1</v>
      </c>
      <c r="AA236" s="165">
        <v>0</v>
      </c>
      <c r="AB236" s="165">
        <v>1</v>
      </c>
      <c r="AC236" s="165">
        <v>2</v>
      </c>
      <c r="AD236" s="165">
        <v>1</v>
      </c>
      <c r="AE236" s="165">
        <v>4</v>
      </c>
      <c r="AF236" s="165">
        <v>9</v>
      </c>
      <c r="AG236" s="165">
        <v>4</v>
      </c>
      <c r="AH236" s="165">
        <v>0</v>
      </c>
      <c r="AI236" s="165">
        <v>4.5</v>
      </c>
      <c r="AJ236" s="165">
        <v>10.5</v>
      </c>
      <c r="AK236" s="165">
        <v>3</v>
      </c>
      <c r="AL236" s="165">
        <v>17</v>
      </c>
      <c r="AM236" s="165">
        <v>39</v>
      </c>
      <c r="AN236" s="167">
        <f>tbl_operations[[#This Row],[Interview Styling Registrations]]+tbl_operations[[#This Row],[Confidence Styling Registrations]]</f>
        <v>6</v>
      </c>
      <c r="AO236" s="167">
        <f>tbl_operations[[#This Row],[Interview Styling Completed]]+tbl_operations[[#This Row],[Confidence Styling Completed]]</f>
        <v>5</v>
      </c>
      <c r="AP236" s="167">
        <f>tbl_operations[[#This Row],[Interview Styling Male]]+tbl_operations[[#This Row],[Confidence Styling Male]]</f>
        <v>2</v>
      </c>
      <c r="AQ236" s="167">
        <f>tbl_operations[[#This Row],[Interview Styling Female]]+tbl_operations[[#This Row],[Confidence Styling Female]]</f>
        <v>3</v>
      </c>
      <c r="AR236" s="167">
        <f>tbl_operations[[#This Row],[Interview Styling Non-Binary]]+tbl_operations[[#This Row],[Confidence Styling Non-Binary]]</f>
        <v>0</v>
      </c>
    </row>
    <row r="237" spans="1:44">
      <c r="A237" s="161" t="s">
        <v>30</v>
      </c>
      <c r="B237" s="162" t="s">
        <v>103</v>
      </c>
      <c r="C237" s="161" t="s">
        <v>99</v>
      </c>
      <c r="D237" s="163">
        <v>46352</v>
      </c>
      <c r="E237" s="164" t="str">
        <f t="shared" si="3"/>
        <v>Thursday</v>
      </c>
      <c r="F237" s="161">
        <v>0</v>
      </c>
      <c r="G237" s="161">
        <v>0</v>
      </c>
      <c r="H237" s="161">
        <v>0</v>
      </c>
      <c r="I237" s="161">
        <v>0</v>
      </c>
      <c r="J237" s="161">
        <v>0</v>
      </c>
      <c r="K237" s="161">
        <v>2</v>
      </c>
      <c r="L237" s="161">
        <v>2</v>
      </c>
      <c r="M237" s="161">
        <v>1</v>
      </c>
      <c r="N237" s="161">
        <v>1</v>
      </c>
      <c r="O237" s="161">
        <v>0</v>
      </c>
      <c r="P237" s="161">
        <v>2</v>
      </c>
      <c r="Q237" s="161">
        <v>0</v>
      </c>
      <c r="R237" s="161">
        <v>0</v>
      </c>
      <c r="S237" s="161">
        <v>0</v>
      </c>
      <c r="T237" s="165">
        <v>38.1</v>
      </c>
      <c r="U237" s="165">
        <v>21.9</v>
      </c>
      <c r="V237" s="161">
        <v>11</v>
      </c>
      <c r="W237" s="166">
        <v>274.07</v>
      </c>
      <c r="X237" s="161">
        <v>925</v>
      </c>
      <c r="Y237" s="161">
        <v>54</v>
      </c>
      <c r="Z237" s="165">
        <v>2</v>
      </c>
      <c r="AA237" s="165">
        <v>1</v>
      </c>
      <c r="AB237" s="165">
        <v>2</v>
      </c>
      <c r="AC237" s="165">
        <v>0</v>
      </c>
      <c r="AD237" s="165">
        <v>1</v>
      </c>
      <c r="AE237" s="165">
        <v>3</v>
      </c>
      <c r="AF237" s="165">
        <v>9</v>
      </c>
      <c r="AG237" s="165">
        <v>7</v>
      </c>
      <c r="AH237" s="165">
        <v>3</v>
      </c>
      <c r="AI237" s="165">
        <v>8.5</v>
      </c>
      <c r="AJ237" s="165">
        <v>0</v>
      </c>
      <c r="AK237" s="165">
        <v>3.5</v>
      </c>
      <c r="AL237" s="165">
        <v>11</v>
      </c>
      <c r="AM237" s="165">
        <v>33</v>
      </c>
      <c r="AN237" s="167">
        <f>tbl_operations[[#This Row],[Interview Styling Registrations]]+tbl_operations[[#This Row],[Confidence Styling Registrations]]</f>
        <v>2</v>
      </c>
      <c r="AO237" s="167">
        <f>tbl_operations[[#This Row],[Interview Styling Completed]]+tbl_operations[[#This Row],[Confidence Styling Completed]]</f>
        <v>2</v>
      </c>
      <c r="AP237" s="167">
        <f>tbl_operations[[#This Row],[Interview Styling Male]]+tbl_operations[[#This Row],[Confidence Styling Male]]</f>
        <v>1</v>
      </c>
      <c r="AQ237" s="167">
        <f>tbl_operations[[#This Row],[Interview Styling Female]]+tbl_operations[[#This Row],[Confidence Styling Female]]</f>
        <v>1</v>
      </c>
      <c r="AR237" s="167">
        <f>tbl_operations[[#This Row],[Interview Styling Non-Binary]]+tbl_operations[[#This Row],[Confidence Styling Non-Binary]]</f>
        <v>0</v>
      </c>
    </row>
    <row r="238" spans="1:44">
      <c r="A238" s="161" t="s">
        <v>30</v>
      </c>
      <c r="B238" s="162" t="s">
        <v>103</v>
      </c>
      <c r="C238" s="161" t="s">
        <v>99</v>
      </c>
      <c r="D238" s="163">
        <v>46353</v>
      </c>
      <c r="E238" s="164" t="str">
        <f t="shared" si="3"/>
        <v>Friday</v>
      </c>
      <c r="F238" s="161">
        <v>3</v>
      </c>
      <c r="G238" s="161">
        <v>2</v>
      </c>
      <c r="H238" s="161">
        <v>1</v>
      </c>
      <c r="I238" s="161">
        <v>1</v>
      </c>
      <c r="J238" s="161">
        <v>0</v>
      </c>
      <c r="K238" s="161">
        <v>3</v>
      </c>
      <c r="L238" s="161">
        <v>3</v>
      </c>
      <c r="M238" s="161">
        <v>1</v>
      </c>
      <c r="N238" s="161">
        <v>2</v>
      </c>
      <c r="O238" s="161">
        <v>0</v>
      </c>
      <c r="P238" s="161">
        <v>2</v>
      </c>
      <c r="Q238" s="161">
        <v>0</v>
      </c>
      <c r="R238" s="161">
        <v>0</v>
      </c>
      <c r="S238" s="161">
        <v>0</v>
      </c>
      <c r="T238" s="165">
        <v>16.6</v>
      </c>
      <c r="U238" s="165">
        <v>9.6</v>
      </c>
      <c r="V238" s="161">
        <v>21</v>
      </c>
      <c r="W238" s="166">
        <v>353.66</v>
      </c>
      <c r="X238" s="161">
        <v>1645</v>
      </c>
      <c r="Y238" s="161">
        <v>87</v>
      </c>
      <c r="Z238" s="165">
        <v>4</v>
      </c>
      <c r="AA238" s="165">
        <v>1</v>
      </c>
      <c r="AB238" s="165">
        <v>2</v>
      </c>
      <c r="AC238" s="165">
        <v>0</v>
      </c>
      <c r="AD238" s="165">
        <v>1</v>
      </c>
      <c r="AE238" s="165">
        <v>3</v>
      </c>
      <c r="AF238" s="165">
        <v>11</v>
      </c>
      <c r="AG238" s="165">
        <v>13</v>
      </c>
      <c r="AH238" s="165">
        <v>4.5</v>
      </c>
      <c r="AI238" s="165">
        <v>11</v>
      </c>
      <c r="AJ238" s="165">
        <v>0</v>
      </c>
      <c r="AK238" s="165">
        <v>3</v>
      </c>
      <c r="AL238" s="165">
        <v>10</v>
      </c>
      <c r="AM238" s="165">
        <v>41.5</v>
      </c>
      <c r="AN238" s="167">
        <f>tbl_operations[[#This Row],[Interview Styling Registrations]]+tbl_operations[[#This Row],[Confidence Styling Registrations]]</f>
        <v>6</v>
      </c>
      <c r="AO238" s="167">
        <f>tbl_operations[[#This Row],[Interview Styling Completed]]+tbl_operations[[#This Row],[Confidence Styling Completed]]</f>
        <v>5</v>
      </c>
      <c r="AP238" s="167">
        <f>tbl_operations[[#This Row],[Interview Styling Male]]+tbl_operations[[#This Row],[Confidence Styling Male]]</f>
        <v>2</v>
      </c>
      <c r="AQ238" s="167">
        <f>tbl_operations[[#This Row],[Interview Styling Female]]+tbl_operations[[#This Row],[Confidence Styling Female]]</f>
        <v>3</v>
      </c>
      <c r="AR238" s="167">
        <f>tbl_operations[[#This Row],[Interview Styling Non-Binary]]+tbl_operations[[#This Row],[Confidence Styling Non-Binary]]</f>
        <v>0</v>
      </c>
    </row>
    <row r="239" spans="1:44">
      <c r="A239" s="161" t="s">
        <v>30</v>
      </c>
      <c r="B239" s="162" t="s">
        <v>103</v>
      </c>
      <c r="C239" s="161" t="s">
        <v>100</v>
      </c>
      <c r="D239" s="163">
        <v>46356</v>
      </c>
      <c r="E239" s="164" t="str">
        <f t="shared" si="3"/>
        <v>Monday</v>
      </c>
      <c r="F239" s="161">
        <v>1</v>
      </c>
      <c r="G239" s="161">
        <v>1</v>
      </c>
      <c r="H239" s="161">
        <v>0</v>
      </c>
      <c r="I239" s="161">
        <v>1</v>
      </c>
      <c r="J239" s="161">
        <v>0</v>
      </c>
      <c r="K239" s="161">
        <v>0</v>
      </c>
      <c r="L239" s="161">
        <v>0</v>
      </c>
      <c r="M239" s="161">
        <v>0</v>
      </c>
      <c r="N239" s="161">
        <v>0</v>
      </c>
      <c r="O239" s="161">
        <v>0</v>
      </c>
      <c r="P239" s="161">
        <v>1</v>
      </c>
      <c r="Q239" s="161">
        <v>0</v>
      </c>
      <c r="R239" s="161">
        <v>0</v>
      </c>
      <c r="S239" s="161">
        <v>0</v>
      </c>
      <c r="T239" s="165">
        <v>0</v>
      </c>
      <c r="U239" s="165">
        <v>0</v>
      </c>
      <c r="V239" s="161">
        <v>13</v>
      </c>
      <c r="W239" s="166">
        <v>219.3</v>
      </c>
      <c r="X239" s="161">
        <v>450</v>
      </c>
      <c r="Y239" s="161">
        <v>46</v>
      </c>
      <c r="Z239" s="165">
        <v>4</v>
      </c>
      <c r="AA239" s="165">
        <v>1</v>
      </c>
      <c r="AB239" s="165">
        <v>0</v>
      </c>
      <c r="AC239" s="165">
        <v>0</v>
      </c>
      <c r="AD239" s="165">
        <v>5</v>
      </c>
      <c r="AE239" s="165">
        <v>1</v>
      </c>
      <c r="AF239" s="165">
        <v>11</v>
      </c>
      <c r="AG239" s="165">
        <v>17.5</v>
      </c>
      <c r="AH239" s="165">
        <v>2.5</v>
      </c>
      <c r="AI239" s="165">
        <v>0</v>
      </c>
      <c r="AJ239" s="165">
        <v>0</v>
      </c>
      <c r="AK239" s="165">
        <v>23</v>
      </c>
      <c r="AL239" s="165">
        <v>5</v>
      </c>
      <c r="AM239" s="165">
        <v>48</v>
      </c>
      <c r="AN239" s="167">
        <f>tbl_operations[[#This Row],[Interview Styling Registrations]]+tbl_operations[[#This Row],[Confidence Styling Registrations]]</f>
        <v>1</v>
      </c>
      <c r="AO239" s="167">
        <f>tbl_operations[[#This Row],[Interview Styling Completed]]+tbl_operations[[#This Row],[Confidence Styling Completed]]</f>
        <v>1</v>
      </c>
      <c r="AP239" s="167">
        <f>tbl_operations[[#This Row],[Interview Styling Male]]+tbl_operations[[#This Row],[Confidence Styling Male]]</f>
        <v>0</v>
      </c>
      <c r="AQ239" s="167">
        <f>tbl_operations[[#This Row],[Interview Styling Female]]+tbl_operations[[#This Row],[Confidence Styling Female]]</f>
        <v>1</v>
      </c>
      <c r="AR239" s="167">
        <f>tbl_operations[[#This Row],[Interview Styling Non-Binary]]+tbl_operations[[#This Row],[Confidence Styling Non-Binary]]</f>
        <v>0</v>
      </c>
    </row>
    <row r="240" spans="1:44">
      <c r="A240" s="161" t="s">
        <v>31</v>
      </c>
      <c r="B240" s="162" t="s">
        <v>103</v>
      </c>
      <c r="C240" s="161" t="s">
        <v>96</v>
      </c>
      <c r="D240" s="163">
        <v>46357</v>
      </c>
      <c r="E240" s="164" t="str">
        <f t="shared" si="3"/>
        <v>Tuesday</v>
      </c>
      <c r="F240" s="161">
        <v>2</v>
      </c>
      <c r="G240" s="161">
        <v>1</v>
      </c>
      <c r="H240" s="161">
        <v>1</v>
      </c>
      <c r="I240" s="161">
        <v>0</v>
      </c>
      <c r="J240" s="161">
        <v>0</v>
      </c>
      <c r="K240" s="161">
        <v>2</v>
      </c>
      <c r="L240" s="161">
        <v>2</v>
      </c>
      <c r="M240" s="161">
        <v>0</v>
      </c>
      <c r="N240" s="161">
        <v>2</v>
      </c>
      <c r="O240" s="161">
        <v>0</v>
      </c>
      <c r="P240" s="161">
        <v>2</v>
      </c>
      <c r="Q240" s="161">
        <v>1</v>
      </c>
      <c r="R240" s="161">
        <v>0</v>
      </c>
      <c r="S240" s="161">
        <v>0</v>
      </c>
      <c r="T240" s="165">
        <v>36.2</v>
      </c>
      <c r="U240" s="165">
        <v>15.9</v>
      </c>
      <c r="V240" s="161">
        <v>14</v>
      </c>
      <c r="W240" s="166">
        <v>282.41</v>
      </c>
      <c r="X240" s="161">
        <v>1561</v>
      </c>
      <c r="Y240" s="161">
        <v>224</v>
      </c>
      <c r="Z240" s="165">
        <v>3</v>
      </c>
      <c r="AA240" s="165">
        <v>1</v>
      </c>
      <c r="AB240" s="165">
        <v>0</v>
      </c>
      <c r="AC240" s="165">
        <v>0</v>
      </c>
      <c r="AD240" s="165">
        <v>4</v>
      </c>
      <c r="AE240" s="165">
        <v>4</v>
      </c>
      <c r="AF240" s="165">
        <v>12</v>
      </c>
      <c r="AG240" s="165">
        <v>6.5</v>
      </c>
      <c r="AH240" s="165">
        <v>2.5</v>
      </c>
      <c r="AI240" s="165">
        <v>0</v>
      </c>
      <c r="AJ240" s="165">
        <v>0</v>
      </c>
      <c r="AK240" s="165">
        <v>13.5</v>
      </c>
      <c r="AL240" s="165">
        <v>12</v>
      </c>
      <c r="AM240" s="165">
        <v>34.5</v>
      </c>
      <c r="AN240" s="167">
        <f>tbl_operations[[#This Row],[Interview Styling Registrations]]+tbl_operations[[#This Row],[Confidence Styling Registrations]]</f>
        <v>4</v>
      </c>
      <c r="AO240" s="167">
        <f>tbl_operations[[#This Row],[Interview Styling Completed]]+tbl_operations[[#This Row],[Confidence Styling Completed]]</f>
        <v>3</v>
      </c>
      <c r="AP240" s="167">
        <f>tbl_operations[[#This Row],[Interview Styling Male]]+tbl_operations[[#This Row],[Confidence Styling Male]]</f>
        <v>1</v>
      </c>
      <c r="AQ240" s="167">
        <f>tbl_operations[[#This Row],[Interview Styling Female]]+tbl_operations[[#This Row],[Confidence Styling Female]]</f>
        <v>2</v>
      </c>
      <c r="AR240" s="167">
        <f>tbl_operations[[#This Row],[Interview Styling Non-Binary]]+tbl_operations[[#This Row],[Confidence Styling Non-Binary]]</f>
        <v>0</v>
      </c>
    </row>
    <row r="241" spans="1:44">
      <c r="A241" s="161" t="s">
        <v>31</v>
      </c>
      <c r="B241" s="162" t="s">
        <v>103</v>
      </c>
      <c r="C241" s="161" t="s">
        <v>96</v>
      </c>
      <c r="D241" s="163">
        <v>46358</v>
      </c>
      <c r="E241" s="164" t="str">
        <f t="shared" si="3"/>
        <v>Wednesday</v>
      </c>
      <c r="F241" s="161">
        <v>1</v>
      </c>
      <c r="G241" s="161">
        <v>1</v>
      </c>
      <c r="H241" s="161">
        <v>0</v>
      </c>
      <c r="I241" s="161">
        <v>1</v>
      </c>
      <c r="J241" s="161">
        <v>0</v>
      </c>
      <c r="K241" s="161">
        <v>2</v>
      </c>
      <c r="L241" s="161">
        <v>2</v>
      </c>
      <c r="M241" s="161">
        <v>0</v>
      </c>
      <c r="N241" s="161">
        <v>2</v>
      </c>
      <c r="O241" s="161">
        <v>0</v>
      </c>
      <c r="P241" s="161">
        <v>0</v>
      </c>
      <c r="Q241" s="161">
        <v>1</v>
      </c>
      <c r="R241" s="161">
        <v>1</v>
      </c>
      <c r="S241" s="161">
        <v>0</v>
      </c>
      <c r="T241" s="165">
        <v>0</v>
      </c>
      <c r="U241" s="165">
        <v>9.6</v>
      </c>
      <c r="V241" s="161">
        <v>12</v>
      </c>
      <c r="W241" s="166">
        <v>311.49</v>
      </c>
      <c r="X241" s="161">
        <v>799</v>
      </c>
      <c r="Y241" s="161">
        <v>44</v>
      </c>
      <c r="Z241" s="165">
        <v>3</v>
      </c>
      <c r="AA241" s="165">
        <v>0</v>
      </c>
      <c r="AB241" s="165">
        <v>2</v>
      </c>
      <c r="AC241" s="165">
        <v>2</v>
      </c>
      <c r="AD241" s="165">
        <v>2</v>
      </c>
      <c r="AE241" s="165">
        <v>2</v>
      </c>
      <c r="AF241" s="165">
        <v>11</v>
      </c>
      <c r="AG241" s="165">
        <v>7.5</v>
      </c>
      <c r="AH241" s="165">
        <v>0</v>
      </c>
      <c r="AI241" s="165">
        <v>7</v>
      </c>
      <c r="AJ241" s="165">
        <v>7.5</v>
      </c>
      <c r="AK241" s="165">
        <v>10.5</v>
      </c>
      <c r="AL241" s="165">
        <v>7.5</v>
      </c>
      <c r="AM241" s="165">
        <v>40</v>
      </c>
      <c r="AN241" s="167">
        <f>tbl_operations[[#This Row],[Interview Styling Registrations]]+tbl_operations[[#This Row],[Confidence Styling Registrations]]</f>
        <v>3</v>
      </c>
      <c r="AO241" s="167">
        <f>tbl_operations[[#This Row],[Interview Styling Completed]]+tbl_operations[[#This Row],[Confidence Styling Completed]]</f>
        <v>3</v>
      </c>
      <c r="AP241" s="167">
        <f>tbl_operations[[#This Row],[Interview Styling Male]]+tbl_operations[[#This Row],[Confidence Styling Male]]</f>
        <v>0</v>
      </c>
      <c r="AQ241" s="167">
        <f>tbl_operations[[#This Row],[Interview Styling Female]]+tbl_operations[[#This Row],[Confidence Styling Female]]</f>
        <v>3</v>
      </c>
      <c r="AR241" s="167">
        <f>tbl_operations[[#This Row],[Interview Styling Non-Binary]]+tbl_operations[[#This Row],[Confidence Styling Non-Binary]]</f>
        <v>0</v>
      </c>
    </row>
    <row r="242" spans="1:44">
      <c r="A242" s="161" t="s">
        <v>31</v>
      </c>
      <c r="B242" s="162" t="s">
        <v>103</v>
      </c>
      <c r="C242" s="161" t="s">
        <v>96</v>
      </c>
      <c r="D242" s="163">
        <v>46359</v>
      </c>
      <c r="E242" s="164" t="str">
        <f t="shared" si="3"/>
        <v>Thursday</v>
      </c>
      <c r="F242" s="161">
        <v>2</v>
      </c>
      <c r="G242" s="161">
        <v>1</v>
      </c>
      <c r="H242" s="161">
        <v>0</v>
      </c>
      <c r="I242" s="161">
        <v>1</v>
      </c>
      <c r="J242" s="161">
        <v>0</v>
      </c>
      <c r="K242" s="161">
        <v>3</v>
      </c>
      <c r="L242" s="161">
        <v>3</v>
      </c>
      <c r="M242" s="161">
        <v>0</v>
      </c>
      <c r="N242" s="161">
        <v>3</v>
      </c>
      <c r="O242" s="161">
        <v>0</v>
      </c>
      <c r="P242" s="161">
        <v>1</v>
      </c>
      <c r="Q242" s="161">
        <v>1</v>
      </c>
      <c r="R242" s="161">
        <v>0</v>
      </c>
      <c r="S242" s="161">
        <v>1</v>
      </c>
      <c r="T242" s="165">
        <v>9.6</v>
      </c>
      <c r="U242" s="165">
        <v>18.5</v>
      </c>
      <c r="V242" s="161">
        <v>17</v>
      </c>
      <c r="W242" s="166">
        <v>369.54</v>
      </c>
      <c r="X242" s="161">
        <v>1178</v>
      </c>
      <c r="Y242" s="161">
        <v>78</v>
      </c>
      <c r="Z242" s="165">
        <v>3</v>
      </c>
      <c r="AA242" s="165">
        <v>1</v>
      </c>
      <c r="AB242" s="165">
        <v>1</v>
      </c>
      <c r="AC242" s="165">
        <v>1</v>
      </c>
      <c r="AD242" s="165">
        <v>5</v>
      </c>
      <c r="AE242" s="165">
        <v>2</v>
      </c>
      <c r="AF242" s="165">
        <v>13</v>
      </c>
      <c r="AG242" s="165">
        <v>14</v>
      </c>
      <c r="AH242" s="165">
        <v>2.5</v>
      </c>
      <c r="AI242" s="165">
        <v>4.5</v>
      </c>
      <c r="AJ242" s="165">
        <v>4</v>
      </c>
      <c r="AK242" s="165">
        <v>11.5</v>
      </c>
      <c r="AL242" s="165">
        <v>7.5</v>
      </c>
      <c r="AM242" s="165">
        <v>44</v>
      </c>
      <c r="AN242" s="167">
        <f>tbl_operations[[#This Row],[Interview Styling Registrations]]+tbl_operations[[#This Row],[Confidence Styling Registrations]]</f>
        <v>5</v>
      </c>
      <c r="AO242" s="167">
        <f>tbl_operations[[#This Row],[Interview Styling Completed]]+tbl_operations[[#This Row],[Confidence Styling Completed]]</f>
        <v>4</v>
      </c>
      <c r="AP242" s="167">
        <f>tbl_operations[[#This Row],[Interview Styling Male]]+tbl_operations[[#This Row],[Confidence Styling Male]]</f>
        <v>0</v>
      </c>
      <c r="AQ242" s="167">
        <f>tbl_operations[[#This Row],[Interview Styling Female]]+tbl_operations[[#This Row],[Confidence Styling Female]]</f>
        <v>4</v>
      </c>
      <c r="AR242" s="167">
        <f>tbl_operations[[#This Row],[Interview Styling Non-Binary]]+tbl_operations[[#This Row],[Confidence Styling Non-Binary]]</f>
        <v>0</v>
      </c>
    </row>
    <row r="243" spans="1:44">
      <c r="A243" s="161" t="s">
        <v>31</v>
      </c>
      <c r="B243" s="162" t="s">
        <v>103</v>
      </c>
      <c r="C243" s="161" t="s">
        <v>96</v>
      </c>
      <c r="D243" s="163">
        <v>46360</v>
      </c>
      <c r="E243" s="164" t="str">
        <f t="shared" si="3"/>
        <v>Friday</v>
      </c>
      <c r="F243" s="161">
        <v>1</v>
      </c>
      <c r="G243" s="161">
        <v>1</v>
      </c>
      <c r="H243" s="161">
        <v>0</v>
      </c>
      <c r="I243" s="161">
        <v>1</v>
      </c>
      <c r="J243" s="161">
        <v>0</v>
      </c>
      <c r="K243" s="161">
        <v>2</v>
      </c>
      <c r="L243" s="161">
        <v>2</v>
      </c>
      <c r="M243" s="161">
        <v>1</v>
      </c>
      <c r="N243" s="161">
        <v>1</v>
      </c>
      <c r="O243" s="161">
        <v>0</v>
      </c>
      <c r="P243" s="161">
        <v>1</v>
      </c>
      <c r="Q243" s="161">
        <v>0</v>
      </c>
      <c r="R243" s="161">
        <v>1</v>
      </c>
      <c r="S243" s="161">
        <v>0</v>
      </c>
      <c r="T243" s="165">
        <v>32.4</v>
      </c>
      <c r="U243" s="165">
        <v>0</v>
      </c>
      <c r="V243" s="161">
        <v>8</v>
      </c>
      <c r="W243" s="166">
        <v>109.64</v>
      </c>
      <c r="X243" s="161">
        <v>1277</v>
      </c>
      <c r="Y243" s="161">
        <v>138</v>
      </c>
      <c r="Z243" s="165">
        <v>4</v>
      </c>
      <c r="AA243" s="165">
        <v>0</v>
      </c>
      <c r="AB243" s="165">
        <v>1</v>
      </c>
      <c r="AC243" s="165">
        <v>0</v>
      </c>
      <c r="AD243" s="165">
        <v>1</v>
      </c>
      <c r="AE243" s="165">
        <v>2</v>
      </c>
      <c r="AF243" s="165">
        <v>8</v>
      </c>
      <c r="AG243" s="165">
        <v>17</v>
      </c>
      <c r="AH243" s="165">
        <v>0</v>
      </c>
      <c r="AI243" s="165">
        <v>4</v>
      </c>
      <c r="AJ243" s="165">
        <v>0</v>
      </c>
      <c r="AK243" s="165">
        <v>5</v>
      </c>
      <c r="AL243" s="165">
        <v>10</v>
      </c>
      <c r="AM243" s="165">
        <v>36</v>
      </c>
      <c r="AN243" s="167">
        <f>tbl_operations[[#This Row],[Interview Styling Registrations]]+tbl_operations[[#This Row],[Confidence Styling Registrations]]</f>
        <v>3</v>
      </c>
      <c r="AO243" s="167">
        <f>tbl_operations[[#This Row],[Interview Styling Completed]]+tbl_operations[[#This Row],[Confidence Styling Completed]]</f>
        <v>3</v>
      </c>
      <c r="AP243" s="167">
        <f>tbl_operations[[#This Row],[Interview Styling Male]]+tbl_operations[[#This Row],[Confidence Styling Male]]</f>
        <v>1</v>
      </c>
      <c r="AQ243" s="167">
        <f>tbl_operations[[#This Row],[Interview Styling Female]]+tbl_operations[[#This Row],[Confidence Styling Female]]</f>
        <v>2</v>
      </c>
      <c r="AR243" s="167">
        <f>tbl_operations[[#This Row],[Interview Styling Non-Binary]]+tbl_operations[[#This Row],[Confidence Styling Non-Binary]]</f>
        <v>0</v>
      </c>
    </row>
    <row r="244" spans="1:44">
      <c r="A244" s="161" t="s">
        <v>31</v>
      </c>
      <c r="B244" s="162" t="s">
        <v>103</v>
      </c>
      <c r="C244" s="161" t="s">
        <v>97</v>
      </c>
      <c r="D244" s="163">
        <v>46363</v>
      </c>
      <c r="E244" s="164" t="str">
        <f t="shared" si="3"/>
        <v>Monday</v>
      </c>
      <c r="F244" s="161">
        <v>0</v>
      </c>
      <c r="G244" s="161">
        <v>0</v>
      </c>
      <c r="H244" s="161">
        <v>0</v>
      </c>
      <c r="I244" s="161">
        <v>0</v>
      </c>
      <c r="J244" s="161">
        <v>0</v>
      </c>
      <c r="K244" s="161">
        <v>3</v>
      </c>
      <c r="L244" s="161">
        <v>3</v>
      </c>
      <c r="M244" s="161">
        <v>0</v>
      </c>
      <c r="N244" s="161">
        <v>3</v>
      </c>
      <c r="O244" s="161">
        <v>0</v>
      </c>
      <c r="P244" s="161">
        <v>0</v>
      </c>
      <c r="Q244" s="161">
        <v>0</v>
      </c>
      <c r="R244" s="161">
        <v>0</v>
      </c>
      <c r="S244" s="161">
        <v>0</v>
      </c>
      <c r="T244" s="165">
        <v>48.4</v>
      </c>
      <c r="U244" s="165">
        <v>0</v>
      </c>
      <c r="V244" s="161">
        <v>15</v>
      </c>
      <c r="W244" s="166">
        <v>246.52</v>
      </c>
      <c r="X244" s="161">
        <v>1471</v>
      </c>
      <c r="Y244" s="161">
        <v>121</v>
      </c>
      <c r="Z244" s="165">
        <v>2</v>
      </c>
      <c r="AA244" s="165">
        <v>2</v>
      </c>
      <c r="AB244" s="165">
        <v>2</v>
      </c>
      <c r="AC244" s="165">
        <v>1</v>
      </c>
      <c r="AD244" s="165">
        <v>3</v>
      </c>
      <c r="AE244" s="165">
        <v>3</v>
      </c>
      <c r="AF244" s="165">
        <v>13</v>
      </c>
      <c r="AG244" s="165">
        <v>10.5</v>
      </c>
      <c r="AH244" s="165">
        <v>4.5</v>
      </c>
      <c r="AI244" s="165">
        <v>7.5</v>
      </c>
      <c r="AJ244" s="165">
        <v>3.5</v>
      </c>
      <c r="AK244" s="165">
        <v>15</v>
      </c>
      <c r="AL244" s="165">
        <v>9</v>
      </c>
      <c r="AM244" s="165">
        <v>50</v>
      </c>
      <c r="AN244" s="167">
        <f>tbl_operations[[#This Row],[Interview Styling Registrations]]+tbl_operations[[#This Row],[Confidence Styling Registrations]]</f>
        <v>3</v>
      </c>
      <c r="AO244" s="167">
        <f>tbl_operations[[#This Row],[Interview Styling Completed]]+tbl_operations[[#This Row],[Confidence Styling Completed]]</f>
        <v>3</v>
      </c>
      <c r="AP244" s="167">
        <f>tbl_operations[[#This Row],[Interview Styling Male]]+tbl_operations[[#This Row],[Confidence Styling Male]]</f>
        <v>0</v>
      </c>
      <c r="AQ244" s="167">
        <f>tbl_operations[[#This Row],[Interview Styling Female]]+tbl_operations[[#This Row],[Confidence Styling Female]]</f>
        <v>3</v>
      </c>
      <c r="AR244" s="167">
        <f>tbl_operations[[#This Row],[Interview Styling Non-Binary]]+tbl_operations[[#This Row],[Confidence Styling Non-Binary]]</f>
        <v>0</v>
      </c>
    </row>
    <row r="245" spans="1:44">
      <c r="A245" s="161" t="s">
        <v>31</v>
      </c>
      <c r="B245" s="162" t="s">
        <v>103</v>
      </c>
      <c r="C245" s="161" t="s">
        <v>97</v>
      </c>
      <c r="D245" s="163">
        <v>46364</v>
      </c>
      <c r="E245" s="164" t="str">
        <f t="shared" si="3"/>
        <v>Tuesday</v>
      </c>
      <c r="F245" s="161">
        <v>0</v>
      </c>
      <c r="G245" s="161">
        <v>0</v>
      </c>
      <c r="H245" s="161">
        <v>0</v>
      </c>
      <c r="I245" s="161">
        <v>0</v>
      </c>
      <c r="J245" s="161">
        <v>0</v>
      </c>
      <c r="K245" s="161">
        <v>2</v>
      </c>
      <c r="L245" s="161">
        <v>1</v>
      </c>
      <c r="M245" s="161">
        <v>1</v>
      </c>
      <c r="N245" s="161">
        <v>0</v>
      </c>
      <c r="O245" s="161">
        <v>0</v>
      </c>
      <c r="P245" s="161">
        <v>1</v>
      </c>
      <c r="Q245" s="161">
        <v>1</v>
      </c>
      <c r="R245" s="161">
        <v>0</v>
      </c>
      <c r="S245" s="161">
        <v>0</v>
      </c>
      <c r="T245" s="165">
        <v>23</v>
      </c>
      <c r="U245" s="165">
        <v>0</v>
      </c>
      <c r="V245" s="161">
        <v>4</v>
      </c>
      <c r="W245" s="166">
        <v>90.23</v>
      </c>
      <c r="X245" s="161">
        <v>1110</v>
      </c>
      <c r="Y245" s="161">
        <v>83</v>
      </c>
      <c r="Z245" s="165">
        <v>2</v>
      </c>
      <c r="AA245" s="165">
        <v>1</v>
      </c>
      <c r="AB245" s="165">
        <v>1</v>
      </c>
      <c r="AC245" s="165">
        <v>0</v>
      </c>
      <c r="AD245" s="165">
        <v>2</v>
      </c>
      <c r="AE245" s="165">
        <v>1</v>
      </c>
      <c r="AF245" s="165">
        <v>7</v>
      </c>
      <c r="AG245" s="165">
        <v>9</v>
      </c>
      <c r="AH245" s="165">
        <v>5.5</v>
      </c>
      <c r="AI245" s="165">
        <v>2</v>
      </c>
      <c r="AJ245" s="165">
        <v>0</v>
      </c>
      <c r="AK245" s="165">
        <v>5.5</v>
      </c>
      <c r="AL245" s="165">
        <v>2</v>
      </c>
      <c r="AM245" s="165">
        <v>24</v>
      </c>
      <c r="AN245" s="167">
        <f>tbl_operations[[#This Row],[Interview Styling Registrations]]+tbl_operations[[#This Row],[Confidence Styling Registrations]]</f>
        <v>2</v>
      </c>
      <c r="AO245" s="167">
        <f>tbl_operations[[#This Row],[Interview Styling Completed]]+tbl_operations[[#This Row],[Confidence Styling Completed]]</f>
        <v>1</v>
      </c>
      <c r="AP245" s="167">
        <f>tbl_operations[[#This Row],[Interview Styling Male]]+tbl_operations[[#This Row],[Confidence Styling Male]]</f>
        <v>1</v>
      </c>
      <c r="AQ245" s="167">
        <f>tbl_operations[[#This Row],[Interview Styling Female]]+tbl_operations[[#This Row],[Confidence Styling Female]]</f>
        <v>0</v>
      </c>
      <c r="AR245" s="167">
        <f>tbl_operations[[#This Row],[Interview Styling Non-Binary]]+tbl_operations[[#This Row],[Confidence Styling Non-Binary]]</f>
        <v>0</v>
      </c>
    </row>
    <row r="246" spans="1:44">
      <c r="A246" s="161" t="s">
        <v>31</v>
      </c>
      <c r="B246" s="162" t="s">
        <v>103</v>
      </c>
      <c r="C246" s="161" t="s">
        <v>97</v>
      </c>
      <c r="D246" s="163">
        <v>46365</v>
      </c>
      <c r="E246" s="164" t="str">
        <f t="shared" si="3"/>
        <v>Wednesday</v>
      </c>
      <c r="F246" s="161">
        <v>1</v>
      </c>
      <c r="G246" s="161">
        <v>1</v>
      </c>
      <c r="H246" s="161">
        <v>1</v>
      </c>
      <c r="I246" s="161">
        <v>0</v>
      </c>
      <c r="J246" s="161">
        <v>0</v>
      </c>
      <c r="K246" s="161">
        <v>2</v>
      </c>
      <c r="L246" s="161">
        <v>2</v>
      </c>
      <c r="M246" s="161">
        <v>0</v>
      </c>
      <c r="N246" s="161">
        <v>2</v>
      </c>
      <c r="O246" s="161">
        <v>0</v>
      </c>
      <c r="P246" s="161">
        <v>0</v>
      </c>
      <c r="Q246" s="161">
        <v>0</v>
      </c>
      <c r="R246" s="161">
        <v>0</v>
      </c>
      <c r="S246" s="161">
        <v>0</v>
      </c>
      <c r="T246" s="165">
        <v>39.5</v>
      </c>
      <c r="U246" s="165">
        <v>0</v>
      </c>
      <c r="V246" s="161">
        <v>5</v>
      </c>
      <c r="W246" s="166">
        <v>170.77</v>
      </c>
      <c r="X246" s="161">
        <v>735</v>
      </c>
      <c r="Y246" s="161">
        <v>92</v>
      </c>
      <c r="Z246" s="165">
        <v>2</v>
      </c>
      <c r="AA246" s="165">
        <v>0</v>
      </c>
      <c r="AB246" s="165">
        <v>2</v>
      </c>
      <c r="AC246" s="165">
        <v>0</v>
      </c>
      <c r="AD246" s="165">
        <v>3</v>
      </c>
      <c r="AE246" s="165">
        <v>4</v>
      </c>
      <c r="AF246" s="165">
        <v>11</v>
      </c>
      <c r="AG246" s="165">
        <v>7</v>
      </c>
      <c r="AH246" s="165">
        <v>0</v>
      </c>
      <c r="AI246" s="165">
        <v>10.5</v>
      </c>
      <c r="AJ246" s="165">
        <v>0</v>
      </c>
      <c r="AK246" s="165">
        <v>6</v>
      </c>
      <c r="AL246" s="165">
        <v>10</v>
      </c>
      <c r="AM246" s="165">
        <v>33.5</v>
      </c>
      <c r="AN246" s="167">
        <f>tbl_operations[[#This Row],[Interview Styling Registrations]]+tbl_operations[[#This Row],[Confidence Styling Registrations]]</f>
        <v>3</v>
      </c>
      <c r="AO246" s="167">
        <f>tbl_operations[[#This Row],[Interview Styling Completed]]+tbl_operations[[#This Row],[Confidence Styling Completed]]</f>
        <v>3</v>
      </c>
      <c r="AP246" s="167">
        <f>tbl_operations[[#This Row],[Interview Styling Male]]+tbl_operations[[#This Row],[Confidence Styling Male]]</f>
        <v>1</v>
      </c>
      <c r="AQ246" s="167">
        <f>tbl_operations[[#This Row],[Interview Styling Female]]+tbl_operations[[#This Row],[Confidence Styling Female]]</f>
        <v>2</v>
      </c>
      <c r="AR246" s="167">
        <f>tbl_operations[[#This Row],[Interview Styling Non-Binary]]+tbl_operations[[#This Row],[Confidence Styling Non-Binary]]</f>
        <v>0</v>
      </c>
    </row>
    <row r="247" spans="1:44">
      <c r="A247" s="161" t="s">
        <v>31</v>
      </c>
      <c r="B247" s="162" t="s">
        <v>103</v>
      </c>
      <c r="C247" s="161" t="s">
        <v>97</v>
      </c>
      <c r="D247" s="163">
        <v>46366</v>
      </c>
      <c r="E247" s="164" t="str">
        <f t="shared" si="3"/>
        <v>Thursday</v>
      </c>
      <c r="F247" s="161">
        <v>2</v>
      </c>
      <c r="G247" s="161">
        <v>1</v>
      </c>
      <c r="H247" s="161">
        <v>0</v>
      </c>
      <c r="I247" s="161">
        <v>1</v>
      </c>
      <c r="J247" s="161">
        <v>0</v>
      </c>
      <c r="K247" s="161">
        <v>3</v>
      </c>
      <c r="L247" s="161">
        <v>2</v>
      </c>
      <c r="M247" s="161">
        <v>1</v>
      </c>
      <c r="N247" s="161">
        <v>1</v>
      </c>
      <c r="O247" s="161">
        <v>0</v>
      </c>
      <c r="P247" s="161">
        <v>1</v>
      </c>
      <c r="Q247" s="161">
        <v>1</v>
      </c>
      <c r="R247" s="161">
        <v>0</v>
      </c>
      <c r="S247" s="161">
        <v>0</v>
      </c>
      <c r="T247" s="165">
        <v>25.7</v>
      </c>
      <c r="U247" s="165">
        <v>0</v>
      </c>
      <c r="V247" s="161">
        <v>10</v>
      </c>
      <c r="W247" s="166">
        <v>201.51</v>
      </c>
      <c r="X247" s="161">
        <v>431</v>
      </c>
      <c r="Y247" s="161">
        <v>9</v>
      </c>
      <c r="Z247" s="165">
        <v>2</v>
      </c>
      <c r="AA247" s="165">
        <v>2</v>
      </c>
      <c r="AB247" s="165">
        <v>1</v>
      </c>
      <c r="AC247" s="165">
        <v>0</v>
      </c>
      <c r="AD247" s="165">
        <v>4</v>
      </c>
      <c r="AE247" s="165">
        <v>3</v>
      </c>
      <c r="AF247" s="165">
        <v>12</v>
      </c>
      <c r="AG247" s="165">
        <v>8.5</v>
      </c>
      <c r="AH247" s="165">
        <v>8.5</v>
      </c>
      <c r="AI247" s="165">
        <v>3</v>
      </c>
      <c r="AJ247" s="165">
        <v>0</v>
      </c>
      <c r="AK247" s="165">
        <v>19</v>
      </c>
      <c r="AL247" s="165">
        <v>13.5</v>
      </c>
      <c r="AM247" s="165">
        <v>52.5</v>
      </c>
      <c r="AN247" s="167">
        <f>tbl_operations[[#This Row],[Interview Styling Registrations]]+tbl_operations[[#This Row],[Confidence Styling Registrations]]</f>
        <v>5</v>
      </c>
      <c r="AO247" s="167">
        <f>tbl_operations[[#This Row],[Interview Styling Completed]]+tbl_operations[[#This Row],[Confidence Styling Completed]]</f>
        <v>3</v>
      </c>
      <c r="AP247" s="167">
        <f>tbl_operations[[#This Row],[Interview Styling Male]]+tbl_operations[[#This Row],[Confidence Styling Male]]</f>
        <v>1</v>
      </c>
      <c r="AQ247" s="167">
        <f>tbl_operations[[#This Row],[Interview Styling Female]]+tbl_operations[[#This Row],[Confidence Styling Female]]</f>
        <v>2</v>
      </c>
      <c r="AR247" s="167">
        <f>tbl_operations[[#This Row],[Interview Styling Non-Binary]]+tbl_operations[[#This Row],[Confidence Styling Non-Binary]]</f>
        <v>0</v>
      </c>
    </row>
    <row r="248" spans="1:44">
      <c r="A248" s="161" t="s">
        <v>31</v>
      </c>
      <c r="B248" s="162" t="s">
        <v>103</v>
      </c>
      <c r="C248" s="161" t="s">
        <v>97</v>
      </c>
      <c r="D248" s="163">
        <v>46367</v>
      </c>
      <c r="E248" s="164" t="str">
        <f t="shared" si="3"/>
        <v>Friday</v>
      </c>
      <c r="F248" s="161">
        <v>1</v>
      </c>
      <c r="G248" s="161">
        <v>1</v>
      </c>
      <c r="H248" s="161">
        <v>1</v>
      </c>
      <c r="I248" s="161">
        <v>0</v>
      </c>
      <c r="J248" s="161">
        <v>0</v>
      </c>
      <c r="K248" s="161">
        <v>2</v>
      </c>
      <c r="L248" s="161">
        <v>2</v>
      </c>
      <c r="M248" s="161">
        <v>0</v>
      </c>
      <c r="N248" s="161">
        <v>2</v>
      </c>
      <c r="O248" s="161">
        <v>0</v>
      </c>
      <c r="P248" s="161">
        <v>1</v>
      </c>
      <c r="Q248" s="161">
        <v>0</v>
      </c>
      <c r="R248" s="161">
        <v>0</v>
      </c>
      <c r="S248" s="161">
        <v>0</v>
      </c>
      <c r="T248" s="165">
        <v>17.1</v>
      </c>
      <c r="U248" s="165">
        <v>0</v>
      </c>
      <c r="V248" s="161">
        <v>13</v>
      </c>
      <c r="W248" s="166">
        <v>164.24</v>
      </c>
      <c r="X248" s="161">
        <v>1204</v>
      </c>
      <c r="Y248" s="161">
        <v>155</v>
      </c>
      <c r="Z248" s="165">
        <v>3</v>
      </c>
      <c r="AA248" s="165">
        <v>1</v>
      </c>
      <c r="AB248" s="165">
        <v>2</v>
      </c>
      <c r="AC248" s="165">
        <v>1</v>
      </c>
      <c r="AD248" s="165">
        <v>4</v>
      </c>
      <c r="AE248" s="165">
        <v>2</v>
      </c>
      <c r="AF248" s="165">
        <v>13</v>
      </c>
      <c r="AG248" s="165">
        <v>7.5</v>
      </c>
      <c r="AH248" s="165">
        <v>5.5</v>
      </c>
      <c r="AI248" s="165">
        <v>6</v>
      </c>
      <c r="AJ248" s="165">
        <v>3</v>
      </c>
      <c r="AK248" s="165">
        <v>13</v>
      </c>
      <c r="AL248" s="165">
        <v>10.5</v>
      </c>
      <c r="AM248" s="165">
        <v>45.5</v>
      </c>
      <c r="AN248" s="167">
        <f>tbl_operations[[#This Row],[Interview Styling Registrations]]+tbl_operations[[#This Row],[Confidence Styling Registrations]]</f>
        <v>3</v>
      </c>
      <c r="AO248" s="167">
        <f>tbl_operations[[#This Row],[Interview Styling Completed]]+tbl_operations[[#This Row],[Confidence Styling Completed]]</f>
        <v>3</v>
      </c>
      <c r="AP248" s="167">
        <f>tbl_operations[[#This Row],[Interview Styling Male]]+tbl_operations[[#This Row],[Confidence Styling Male]]</f>
        <v>1</v>
      </c>
      <c r="AQ248" s="167">
        <f>tbl_operations[[#This Row],[Interview Styling Female]]+tbl_operations[[#This Row],[Confidence Styling Female]]</f>
        <v>2</v>
      </c>
      <c r="AR248" s="167">
        <f>tbl_operations[[#This Row],[Interview Styling Non-Binary]]+tbl_operations[[#This Row],[Confidence Styling Non-Binary]]</f>
        <v>0</v>
      </c>
    </row>
    <row r="249" spans="1:44">
      <c r="A249" s="161" t="s">
        <v>31</v>
      </c>
      <c r="B249" s="162" t="s">
        <v>103</v>
      </c>
      <c r="C249" s="161" t="s">
        <v>98</v>
      </c>
      <c r="D249" s="163">
        <v>46370</v>
      </c>
      <c r="E249" s="164" t="str">
        <f t="shared" si="3"/>
        <v>Monday</v>
      </c>
      <c r="F249" s="161">
        <v>2</v>
      </c>
      <c r="G249" s="161">
        <v>2</v>
      </c>
      <c r="H249" s="161">
        <v>1</v>
      </c>
      <c r="I249" s="161">
        <v>1</v>
      </c>
      <c r="J249" s="161">
        <v>0</v>
      </c>
      <c r="K249" s="161">
        <v>0</v>
      </c>
      <c r="L249" s="161">
        <v>0</v>
      </c>
      <c r="M249" s="161">
        <v>0</v>
      </c>
      <c r="N249" s="161">
        <v>0</v>
      </c>
      <c r="O249" s="161">
        <v>0</v>
      </c>
      <c r="P249" s="161">
        <v>0</v>
      </c>
      <c r="Q249" s="161">
        <v>0</v>
      </c>
      <c r="R249" s="161">
        <v>1</v>
      </c>
      <c r="S249" s="161">
        <v>0</v>
      </c>
      <c r="T249" s="165">
        <v>36.5</v>
      </c>
      <c r="U249" s="165">
        <v>0</v>
      </c>
      <c r="V249" s="161">
        <v>15</v>
      </c>
      <c r="W249" s="166">
        <v>389.66</v>
      </c>
      <c r="X249" s="161">
        <v>1085</v>
      </c>
      <c r="Y249" s="161">
        <v>109</v>
      </c>
      <c r="Z249" s="165">
        <v>3</v>
      </c>
      <c r="AA249" s="165">
        <v>1</v>
      </c>
      <c r="AB249" s="165">
        <v>0</v>
      </c>
      <c r="AC249" s="165">
        <v>0</v>
      </c>
      <c r="AD249" s="165">
        <v>2</v>
      </c>
      <c r="AE249" s="165">
        <v>1</v>
      </c>
      <c r="AF249" s="165">
        <v>7</v>
      </c>
      <c r="AG249" s="165">
        <v>10.5</v>
      </c>
      <c r="AH249" s="165">
        <v>3.5</v>
      </c>
      <c r="AI249" s="165">
        <v>0</v>
      </c>
      <c r="AJ249" s="165">
        <v>0</v>
      </c>
      <c r="AK249" s="165">
        <v>8</v>
      </c>
      <c r="AL249" s="165">
        <v>3</v>
      </c>
      <c r="AM249" s="165">
        <v>25</v>
      </c>
      <c r="AN249" s="167">
        <f>tbl_operations[[#This Row],[Interview Styling Registrations]]+tbl_operations[[#This Row],[Confidence Styling Registrations]]</f>
        <v>2</v>
      </c>
      <c r="AO249" s="167">
        <f>tbl_operations[[#This Row],[Interview Styling Completed]]+tbl_operations[[#This Row],[Confidence Styling Completed]]</f>
        <v>2</v>
      </c>
      <c r="AP249" s="167">
        <f>tbl_operations[[#This Row],[Interview Styling Male]]+tbl_operations[[#This Row],[Confidence Styling Male]]</f>
        <v>1</v>
      </c>
      <c r="AQ249" s="167">
        <f>tbl_operations[[#This Row],[Interview Styling Female]]+tbl_operations[[#This Row],[Confidence Styling Female]]</f>
        <v>1</v>
      </c>
      <c r="AR249" s="167">
        <f>tbl_operations[[#This Row],[Interview Styling Non-Binary]]+tbl_operations[[#This Row],[Confidence Styling Non-Binary]]</f>
        <v>0</v>
      </c>
    </row>
    <row r="250" spans="1:44">
      <c r="A250" s="161" t="s">
        <v>31</v>
      </c>
      <c r="B250" s="162" t="s">
        <v>103</v>
      </c>
      <c r="C250" s="161" t="s">
        <v>98</v>
      </c>
      <c r="D250" s="163">
        <v>46371</v>
      </c>
      <c r="E250" s="164" t="str">
        <f t="shared" si="3"/>
        <v>Tuesday</v>
      </c>
      <c r="F250" s="161">
        <v>0</v>
      </c>
      <c r="G250" s="161">
        <v>0</v>
      </c>
      <c r="H250" s="161">
        <v>0</v>
      </c>
      <c r="I250" s="161">
        <v>0</v>
      </c>
      <c r="J250" s="161">
        <v>0</v>
      </c>
      <c r="K250" s="161">
        <v>1</v>
      </c>
      <c r="L250" s="161">
        <v>0</v>
      </c>
      <c r="M250" s="161">
        <v>0</v>
      </c>
      <c r="N250" s="161">
        <v>0</v>
      </c>
      <c r="O250" s="161">
        <v>0</v>
      </c>
      <c r="P250" s="161">
        <v>0</v>
      </c>
      <c r="Q250" s="161">
        <v>0</v>
      </c>
      <c r="R250" s="161">
        <v>0</v>
      </c>
      <c r="S250" s="161">
        <v>0</v>
      </c>
      <c r="T250" s="165">
        <v>18.6</v>
      </c>
      <c r="U250" s="165">
        <v>3.2</v>
      </c>
      <c r="V250" s="161">
        <v>6</v>
      </c>
      <c r="W250" s="166">
        <v>115.35</v>
      </c>
      <c r="X250" s="161">
        <v>993</v>
      </c>
      <c r="Y250" s="161">
        <v>57</v>
      </c>
      <c r="Z250" s="165">
        <v>3</v>
      </c>
      <c r="AA250" s="165">
        <v>0</v>
      </c>
      <c r="AB250" s="165">
        <v>0</v>
      </c>
      <c r="AC250" s="165">
        <v>2</v>
      </c>
      <c r="AD250" s="165">
        <v>2</v>
      </c>
      <c r="AE250" s="165">
        <v>1</v>
      </c>
      <c r="AF250" s="165">
        <v>8</v>
      </c>
      <c r="AG250" s="165">
        <v>10</v>
      </c>
      <c r="AH250" s="165">
        <v>0</v>
      </c>
      <c r="AI250" s="165">
        <v>0</v>
      </c>
      <c r="AJ250" s="165">
        <v>8</v>
      </c>
      <c r="AK250" s="165">
        <v>6.5</v>
      </c>
      <c r="AL250" s="165">
        <v>4</v>
      </c>
      <c r="AM250" s="165">
        <v>28.5</v>
      </c>
      <c r="AN250" s="167">
        <f>tbl_operations[[#This Row],[Interview Styling Registrations]]+tbl_operations[[#This Row],[Confidence Styling Registrations]]</f>
        <v>1</v>
      </c>
      <c r="AO250" s="167">
        <f>tbl_operations[[#This Row],[Interview Styling Completed]]+tbl_operations[[#This Row],[Confidence Styling Completed]]</f>
        <v>0</v>
      </c>
      <c r="AP250" s="167">
        <f>tbl_operations[[#This Row],[Interview Styling Male]]+tbl_operations[[#This Row],[Confidence Styling Male]]</f>
        <v>0</v>
      </c>
      <c r="AQ250" s="167">
        <f>tbl_operations[[#This Row],[Interview Styling Female]]+tbl_operations[[#This Row],[Confidence Styling Female]]</f>
        <v>0</v>
      </c>
      <c r="AR250" s="167">
        <f>tbl_operations[[#This Row],[Interview Styling Non-Binary]]+tbl_operations[[#This Row],[Confidence Styling Non-Binary]]</f>
        <v>0</v>
      </c>
    </row>
    <row r="251" spans="1:44">
      <c r="A251" s="161" t="s">
        <v>31</v>
      </c>
      <c r="B251" s="162" t="s">
        <v>103</v>
      </c>
      <c r="C251" s="161" t="s">
        <v>98</v>
      </c>
      <c r="D251" s="163">
        <v>46372</v>
      </c>
      <c r="E251" s="164" t="str">
        <f t="shared" si="3"/>
        <v>Wednesday</v>
      </c>
      <c r="F251" s="161">
        <v>0</v>
      </c>
      <c r="G251" s="161">
        <v>0</v>
      </c>
      <c r="H251" s="161">
        <v>0</v>
      </c>
      <c r="I251" s="161">
        <v>0</v>
      </c>
      <c r="J251" s="161">
        <v>0</v>
      </c>
      <c r="K251" s="161">
        <v>2</v>
      </c>
      <c r="L251" s="161">
        <v>1</v>
      </c>
      <c r="M251" s="161">
        <v>1</v>
      </c>
      <c r="N251" s="161">
        <v>0</v>
      </c>
      <c r="O251" s="161">
        <v>0</v>
      </c>
      <c r="P251" s="161">
        <v>0</v>
      </c>
      <c r="Q251" s="161">
        <v>1</v>
      </c>
      <c r="R251" s="161">
        <v>0</v>
      </c>
      <c r="S251" s="161">
        <v>0</v>
      </c>
      <c r="T251" s="165">
        <v>21.2</v>
      </c>
      <c r="U251" s="165">
        <v>0</v>
      </c>
      <c r="V251" s="161">
        <v>6</v>
      </c>
      <c r="W251" s="166">
        <v>146.23</v>
      </c>
      <c r="X251" s="161">
        <v>1555</v>
      </c>
      <c r="Y251" s="161">
        <v>242</v>
      </c>
      <c r="Z251" s="165">
        <v>1</v>
      </c>
      <c r="AA251" s="165">
        <v>1</v>
      </c>
      <c r="AB251" s="165">
        <v>2</v>
      </c>
      <c r="AC251" s="165">
        <v>0</v>
      </c>
      <c r="AD251" s="165">
        <v>4</v>
      </c>
      <c r="AE251" s="165">
        <v>3</v>
      </c>
      <c r="AF251" s="165">
        <v>11</v>
      </c>
      <c r="AG251" s="165">
        <v>2</v>
      </c>
      <c r="AH251" s="165">
        <v>5</v>
      </c>
      <c r="AI251" s="165">
        <v>6</v>
      </c>
      <c r="AJ251" s="165">
        <v>0</v>
      </c>
      <c r="AK251" s="165">
        <v>12.5</v>
      </c>
      <c r="AL251" s="165">
        <v>10.5</v>
      </c>
      <c r="AM251" s="165">
        <v>36</v>
      </c>
      <c r="AN251" s="167">
        <f>tbl_operations[[#This Row],[Interview Styling Registrations]]+tbl_operations[[#This Row],[Confidence Styling Registrations]]</f>
        <v>2</v>
      </c>
      <c r="AO251" s="167">
        <f>tbl_operations[[#This Row],[Interview Styling Completed]]+tbl_operations[[#This Row],[Confidence Styling Completed]]</f>
        <v>1</v>
      </c>
      <c r="AP251" s="167">
        <f>tbl_operations[[#This Row],[Interview Styling Male]]+tbl_operations[[#This Row],[Confidence Styling Male]]</f>
        <v>1</v>
      </c>
      <c r="AQ251" s="167">
        <f>tbl_operations[[#This Row],[Interview Styling Female]]+tbl_operations[[#This Row],[Confidence Styling Female]]</f>
        <v>0</v>
      </c>
      <c r="AR251" s="167">
        <f>tbl_operations[[#This Row],[Interview Styling Non-Binary]]+tbl_operations[[#This Row],[Confidence Styling Non-Binary]]</f>
        <v>0</v>
      </c>
    </row>
    <row r="252" spans="1:44">
      <c r="A252" s="161" t="s">
        <v>31</v>
      </c>
      <c r="B252" s="162" t="s">
        <v>103</v>
      </c>
      <c r="C252" s="161" t="s">
        <v>98</v>
      </c>
      <c r="D252" s="163">
        <v>46373</v>
      </c>
      <c r="E252" s="164" t="str">
        <f t="shared" si="3"/>
        <v>Thursday</v>
      </c>
      <c r="F252" s="161">
        <v>4</v>
      </c>
      <c r="G252" s="161">
        <v>4</v>
      </c>
      <c r="H252" s="161">
        <v>1</v>
      </c>
      <c r="I252" s="161">
        <v>3</v>
      </c>
      <c r="J252" s="161">
        <v>0</v>
      </c>
      <c r="K252" s="161">
        <v>2</v>
      </c>
      <c r="L252" s="161">
        <v>1</v>
      </c>
      <c r="M252" s="161">
        <v>0</v>
      </c>
      <c r="N252" s="161">
        <v>1</v>
      </c>
      <c r="O252" s="161">
        <v>0</v>
      </c>
      <c r="P252" s="161">
        <v>2</v>
      </c>
      <c r="Q252" s="161">
        <v>0</v>
      </c>
      <c r="R252" s="161">
        <v>0</v>
      </c>
      <c r="S252" s="161">
        <v>0</v>
      </c>
      <c r="T252" s="165">
        <v>30.2</v>
      </c>
      <c r="U252" s="165">
        <v>0</v>
      </c>
      <c r="V252" s="161">
        <v>4</v>
      </c>
      <c r="W252" s="166">
        <v>85.17</v>
      </c>
      <c r="X252" s="161">
        <v>312</v>
      </c>
      <c r="Y252" s="161">
        <v>10</v>
      </c>
      <c r="Z252" s="165">
        <v>3</v>
      </c>
      <c r="AA252" s="165">
        <v>1</v>
      </c>
      <c r="AB252" s="165">
        <v>2</v>
      </c>
      <c r="AC252" s="165">
        <v>0</v>
      </c>
      <c r="AD252" s="165">
        <v>3</v>
      </c>
      <c r="AE252" s="165">
        <v>2</v>
      </c>
      <c r="AF252" s="165">
        <v>11</v>
      </c>
      <c r="AG252" s="165">
        <v>13</v>
      </c>
      <c r="AH252" s="165">
        <v>5</v>
      </c>
      <c r="AI252" s="165">
        <v>7</v>
      </c>
      <c r="AJ252" s="165">
        <v>0</v>
      </c>
      <c r="AK252" s="165">
        <v>11.5</v>
      </c>
      <c r="AL252" s="165">
        <v>10</v>
      </c>
      <c r="AM252" s="165">
        <v>46.5</v>
      </c>
      <c r="AN252" s="167">
        <f>tbl_operations[[#This Row],[Interview Styling Registrations]]+tbl_operations[[#This Row],[Confidence Styling Registrations]]</f>
        <v>6</v>
      </c>
      <c r="AO252" s="167">
        <f>tbl_operations[[#This Row],[Interview Styling Completed]]+tbl_operations[[#This Row],[Confidence Styling Completed]]</f>
        <v>5</v>
      </c>
      <c r="AP252" s="167">
        <f>tbl_operations[[#This Row],[Interview Styling Male]]+tbl_operations[[#This Row],[Confidence Styling Male]]</f>
        <v>1</v>
      </c>
      <c r="AQ252" s="167">
        <f>tbl_operations[[#This Row],[Interview Styling Female]]+tbl_operations[[#This Row],[Confidence Styling Female]]</f>
        <v>4</v>
      </c>
      <c r="AR252" s="167">
        <f>tbl_operations[[#This Row],[Interview Styling Non-Binary]]+tbl_operations[[#This Row],[Confidence Styling Non-Binary]]</f>
        <v>0</v>
      </c>
    </row>
    <row r="253" spans="1:44">
      <c r="A253" s="161" t="s">
        <v>31</v>
      </c>
      <c r="B253" s="162" t="s">
        <v>103</v>
      </c>
      <c r="C253" s="161" t="s">
        <v>98</v>
      </c>
      <c r="D253" s="163">
        <v>46374</v>
      </c>
      <c r="E253" s="164" t="str">
        <f t="shared" si="3"/>
        <v>Friday</v>
      </c>
      <c r="F253" s="161">
        <v>1</v>
      </c>
      <c r="G253" s="161">
        <v>1</v>
      </c>
      <c r="H253" s="161">
        <v>1</v>
      </c>
      <c r="I253" s="161">
        <v>0</v>
      </c>
      <c r="J253" s="161">
        <v>0</v>
      </c>
      <c r="K253" s="161">
        <v>3</v>
      </c>
      <c r="L253" s="161">
        <v>2</v>
      </c>
      <c r="M253" s="161">
        <v>1</v>
      </c>
      <c r="N253" s="161">
        <v>1</v>
      </c>
      <c r="O253" s="161">
        <v>0</v>
      </c>
      <c r="P253" s="161">
        <v>0</v>
      </c>
      <c r="Q253" s="161">
        <v>1</v>
      </c>
      <c r="R253" s="161">
        <v>0</v>
      </c>
      <c r="S253" s="161">
        <v>0</v>
      </c>
      <c r="T253" s="165">
        <v>24.1</v>
      </c>
      <c r="U253" s="165">
        <v>0</v>
      </c>
      <c r="V253" s="161">
        <v>13</v>
      </c>
      <c r="W253" s="166">
        <v>326.58</v>
      </c>
      <c r="X253" s="161">
        <v>254</v>
      </c>
      <c r="Y253" s="161">
        <v>20</v>
      </c>
      <c r="Z253" s="165">
        <v>1</v>
      </c>
      <c r="AA253" s="165">
        <v>0</v>
      </c>
      <c r="AB253" s="165">
        <v>1</v>
      </c>
      <c r="AC253" s="165">
        <v>0</v>
      </c>
      <c r="AD253" s="165">
        <v>1</v>
      </c>
      <c r="AE253" s="165">
        <v>4</v>
      </c>
      <c r="AF253" s="165">
        <v>7</v>
      </c>
      <c r="AG253" s="165">
        <v>4</v>
      </c>
      <c r="AH253" s="165">
        <v>0</v>
      </c>
      <c r="AI253" s="165">
        <v>5.5</v>
      </c>
      <c r="AJ253" s="165">
        <v>0</v>
      </c>
      <c r="AK253" s="165">
        <v>4.5</v>
      </c>
      <c r="AL253" s="165">
        <v>9.5</v>
      </c>
      <c r="AM253" s="165">
        <v>23.5</v>
      </c>
      <c r="AN253" s="167">
        <f>tbl_operations[[#This Row],[Interview Styling Registrations]]+tbl_operations[[#This Row],[Confidence Styling Registrations]]</f>
        <v>4</v>
      </c>
      <c r="AO253" s="167">
        <f>tbl_operations[[#This Row],[Interview Styling Completed]]+tbl_operations[[#This Row],[Confidence Styling Completed]]</f>
        <v>3</v>
      </c>
      <c r="AP253" s="167">
        <f>tbl_operations[[#This Row],[Interview Styling Male]]+tbl_operations[[#This Row],[Confidence Styling Male]]</f>
        <v>2</v>
      </c>
      <c r="AQ253" s="167">
        <f>tbl_operations[[#This Row],[Interview Styling Female]]+tbl_operations[[#This Row],[Confidence Styling Female]]</f>
        <v>1</v>
      </c>
      <c r="AR253" s="167">
        <f>tbl_operations[[#This Row],[Interview Styling Non-Binary]]+tbl_operations[[#This Row],[Confidence Styling Non-Binary]]</f>
        <v>0</v>
      </c>
    </row>
    <row r="254" spans="1:44">
      <c r="A254" s="161" t="s">
        <v>31</v>
      </c>
      <c r="B254" s="162" t="s">
        <v>103</v>
      </c>
      <c r="C254" s="161" t="s">
        <v>99</v>
      </c>
      <c r="D254" s="163">
        <v>46377</v>
      </c>
      <c r="E254" s="164" t="str">
        <f t="shared" si="3"/>
        <v>Monday</v>
      </c>
      <c r="F254" s="161">
        <v>1</v>
      </c>
      <c r="G254" s="161">
        <v>1</v>
      </c>
      <c r="H254" s="161">
        <v>1</v>
      </c>
      <c r="I254" s="161">
        <v>0</v>
      </c>
      <c r="J254" s="161">
        <v>0</v>
      </c>
      <c r="K254" s="161">
        <v>0</v>
      </c>
      <c r="L254" s="161">
        <v>0</v>
      </c>
      <c r="M254" s="161">
        <v>0</v>
      </c>
      <c r="N254" s="161">
        <v>0</v>
      </c>
      <c r="O254" s="161">
        <v>0</v>
      </c>
      <c r="P254" s="161">
        <v>0</v>
      </c>
      <c r="Q254" s="161">
        <v>0</v>
      </c>
      <c r="R254" s="161">
        <v>0</v>
      </c>
      <c r="S254" s="161">
        <v>1</v>
      </c>
      <c r="T254" s="165">
        <v>22.3</v>
      </c>
      <c r="U254" s="165">
        <v>2.4</v>
      </c>
      <c r="V254" s="161">
        <v>11</v>
      </c>
      <c r="W254" s="166">
        <v>201.71</v>
      </c>
      <c r="X254" s="161">
        <v>320</v>
      </c>
      <c r="Y254" s="161">
        <v>42</v>
      </c>
      <c r="Z254" s="165">
        <v>4</v>
      </c>
      <c r="AA254" s="165">
        <v>2</v>
      </c>
      <c r="AB254" s="165">
        <v>1</v>
      </c>
      <c r="AC254" s="165">
        <v>2</v>
      </c>
      <c r="AD254" s="165">
        <v>4</v>
      </c>
      <c r="AE254" s="165">
        <v>1</v>
      </c>
      <c r="AF254" s="165">
        <v>14</v>
      </c>
      <c r="AG254" s="165">
        <v>12.5</v>
      </c>
      <c r="AH254" s="165">
        <v>6</v>
      </c>
      <c r="AI254" s="165">
        <v>5.5</v>
      </c>
      <c r="AJ254" s="165">
        <v>8.5</v>
      </c>
      <c r="AK254" s="165">
        <v>11</v>
      </c>
      <c r="AL254" s="165">
        <v>2.5</v>
      </c>
      <c r="AM254" s="165">
        <v>46</v>
      </c>
      <c r="AN254" s="167">
        <f>tbl_operations[[#This Row],[Interview Styling Registrations]]+tbl_operations[[#This Row],[Confidence Styling Registrations]]</f>
        <v>1</v>
      </c>
      <c r="AO254" s="167">
        <f>tbl_operations[[#This Row],[Interview Styling Completed]]+tbl_operations[[#This Row],[Confidence Styling Completed]]</f>
        <v>1</v>
      </c>
      <c r="AP254" s="167">
        <f>tbl_operations[[#This Row],[Interview Styling Male]]+tbl_operations[[#This Row],[Confidence Styling Male]]</f>
        <v>1</v>
      </c>
      <c r="AQ254" s="167">
        <f>tbl_operations[[#This Row],[Interview Styling Female]]+tbl_operations[[#This Row],[Confidence Styling Female]]</f>
        <v>0</v>
      </c>
      <c r="AR254" s="167">
        <f>tbl_operations[[#This Row],[Interview Styling Non-Binary]]+tbl_operations[[#This Row],[Confidence Styling Non-Binary]]</f>
        <v>0</v>
      </c>
    </row>
    <row r="255" spans="1:44">
      <c r="A255" s="161" t="s">
        <v>31</v>
      </c>
      <c r="B255" s="162" t="s">
        <v>103</v>
      </c>
      <c r="C255" s="161" t="s">
        <v>99</v>
      </c>
      <c r="D255" s="163">
        <v>46378</v>
      </c>
      <c r="E255" s="164" t="str">
        <f t="shared" si="3"/>
        <v>Tuesday</v>
      </c>
      <c r="F255" s="161">
        <v>1</v>
      </c>
      <c r="G255" s="161">
        <v>0</v>
      </c>
      <c r="H255" s="161">
        <v>0</v>
      </c>
      <c r="I255" s="161">
        <v>0</v>
      </c>
      <c r="J255" s="161">
        <v>0</v>
      </c>
      <c r="K255" s="161">
        <v>1</v>
      </c>
      <c r="L255" s="161">
        <v>0</v>
      </c>
      <c r="M255" s="161">
        <v>0</v>
      </c>
      <c r="N255" s="161">
        <v>0</v>
      </c>
      <c r="O255" s="161">
        <v>0</v>
      </c>
      <c r="P255" s="161">
        <v>2</v>
      </c>
      <c r="Q255" s="161">
        <v>1</v>
      </c>
      <c r="R255" s="161">
        <v>0</v>
      </c>
      <c r="S255" s="161">
        <v>0</v>
      </c>
      <c r="T255" s="165">
        <v>0</v>
      </c>
      <c r="U255" s="165">
        <v>0</v>
      </c>
      <c r="V255" s="161">
        <v>18</v>
      </c>
      <c r="W255" s="166">
        <v>388.67</v>
      </c>
      <c r="X255" s="161">
        <v>1199</v>
      </c>
      <c r="Y255" s="161">
        <v>174</v>
      </c>
      <c r="Z255" s="165">
        <v>1</v>
      </c>
      <c r="AA255" s="165">
        <v>0</v>
      </c>
      <c r="AB255" s="165">
        <v>1</v>
      </c>
      <c r="AC255" s="165">
        <v>0</v>
      </c>
      <c r="AD255" s="165">
        <v>5</v>
      </c>
      <c r="AE255" s="165">
        <v>3</v>
      </c>
      <c r="AF255" s="165">
        <v>10</v>
      </c>
      <c r="AG255" s="165">
        <v>5</v>
      </c>
      <c r="AH255" s="165">
        <v>0</v>
      </c>
      <c r="AI255" s="165">
        <v>3.5</v>
      </c>
      <c r="AJ255" s="165">
        <v>0</v>
      </c>
      <c r="AK255" s="165">
        <v>26</v>
      </c>
      <c r="AL255" s="165">
        <v>12.5</v>
      </c>
      <c r="AM255" s="165">
        <v>47</v>
      </c>
      <c r="AN255" s="167">
        <f>tbl_operations[[#This Row],[Interview Styling Registrations]]+tbl_operations[[#This Row],[Confidence Styling Registrations]]</f>
        <v>2</v>
      </c>
      <c r="AO255" s="167">
        <f>tbl_operations[[#This Row],[Interview Styling Completed]]+tbl_operations[[#This Row],[Confidence Styling Completed]]</f>
        <v>0</v>
      </c>
      <c r="AP255" s="167">
        <f>tbl_operations[[#This Row],[Interview Styling Male]]+tbl_operations[[#This Row],[Confidence Styling Male]]</f>
        <v>0</v>
      </c>
      <c r="AQ255" s="167">
        <f>tbl_operations[[#This Row],[Interview Styling Female]]+tbl_operations[[#This Row],[Confidence Styling Female]]</f>
        <v>0</v>
      </c>
      <c r="AR255" s="167">
        <f>tbl_operations[[#This Row],[Interview Styling Non-Binary]]+tbl_operations[[#This Row],[Confidence Styling Non-Binary]]</f>
        <v>0</v>
      </c>
    </row>
    <row r="256" spans="1:44">
      <c r="A256" s="161" t="s">
        <v>31</v>
      </c>
      <c r="B256" s="162" t="s">
        <v>103</v>
      </c>
      <c r="C256" s="161" t="s">
        <v>99</v>
      </c>
      <c r="D256" s="163">
        <v>46379</v>
      </c>
      <c r="E256" s="164" t="str">
        <f t="shared" si="3"/>
        <v>Wednesday</v>
      </c>
      <c r="F256" s="161">
        <v>3</v>
      </c>
      <c r="G256" s="161">
        <v>3</v>
      </c>
      <c r="H256" s="161">
        <v>1</v>
      </c>
      <c r="I256" s="161">
        <v>2</v>
      </c>
      <c r="J256" s="161">
        <v>0</v>
      </c>
      <c r="K256" s="161">
        <v>0</v>
      </c>
      <c r="L256" s="161">
        <v>0</v>
      </c>
      <c r="M256" s="161">
        <v>0</v>
      </c>
      <c r="N256" s="161">
        <v>0</v>
      </c>
      <c r="O256" s="161">
        <v>0</v>
      </c>
      <c r="P256" s="161">
        <v>2</v>
      </c>
      <c r="Q256" s="161">
        <v>0</v>
      </c>
      <c r="R256" s="161">
        <v>0</v>
      </c>
      <c r="S256" s="161">
        <v>0</v>
      </c>
      <c r="T256" s="165">
        <v>47.6</v>
      </c>
      <c r="U256" s="165">
        <v>0</v>
      </c>
      <c r="V256" s="161">
        <v>6</v>
      </c>
      <c r="W256" s="166">
        <v>203.56</v>
      </c>
      <c r="X256" s="161">
        <v>1372</v>
      </c>
      <c r="Y256" s="161">
        <v>35</v>
      </c>
      <c r="Z256" s="165">
        <v>2</v>
      </c>
      <c r="AA256" s="165">
        <v>0</v>
      </c>
      <c r="AB256" s="165">
        <v>1</v>
      </c>
      <c r="AC256" s="165">
        <v>2</v>
      </c>
      <c r="AD256" s="165">
        <v>1</v>
      </c>
      <c r="AE256" s="165">
        <v>1</v>
      </c>
      <c r="AF256" s="165">
        <v>7</v>
      </c>
      <c r="AG256" s="165">
        <v>6</v>
      </c>
      <c r="AH256" s="165">
        <v>0</v>
      </c>
      <c r="AI256" s="165">
        <v>2.5</v>
      </c>
      <c r="AJ256" s="165">
        <v>8.5</v>
      </c>
      <c r="AK256" s="165">
        <v>3</v>
      </c>
      <c r="AL256" s="165">
        <v>5.5</v>
      </c>
      <c r="AM256" s="165">
        <v>25.5</v>
      </c>
      <c r="AN256" s="167">
        <f>tbl_operations[[#This Row],[Interview Styling Registrations]]+tbl_operations[[#This Row],[Confidence Styling Registrations]]</f>
        <v>3</v>
      </c>
      <c r="AO256" s="167">
        <f>tbl_operations[[#This Row],[Interview Styling Completed]]+tbl_operations[[#This Row],[Confidence Styling Completed]]</f>
        <v>3</v>
      </c>
      <c r="AP256" s="167">
        <f>tbl_operations[[#This Row],[Interview Styling Male]]+tbl_operations[[#This Row],[Confidence Styling Male]]</f>
        <v>1</v>
      </c>
      <c r="AQ256" s="167">
        <f>tbl_operations[[#This Row],[Interview Styling Female]]+tbl_operations[[#This Row],[Confidence Styling Female]]</f>
        <v>2</v>
      </c>
      <c r="AR256" s="167">
        <f>tbl_operations[[#This Row],[Interview Styling Non-Binary]]+tbl_operations[[#This Row],[Confidence Styling Non-Binary]]</f>
        <v>0</v>
      </c>
    </row>
    <row r="257" spans="1:44">
      <c r="A257" s="161" t="s">
        <v>31</v>
      </c>
      <c r="B257" s="162" t="s">
        <v>103</v>
      </c>
      <c r="C257" s="161" t="s">
        <v>99</v>
      </c>
      <c r="D257" s="163">
        <v>46380</v>
      </c>
      <c r="E257" s="164" t="str">
        <f t="shared" si="3"/>
        <v>Thursday</v>
      </c>
      <c r="F257" s="161">
        <v>1</v>
      </c>
      <c r="G257" s="161">
        <v>0</v>
      </c>
      <c r="H257" s="161">
        <v>0</v>
      </c>
      <c r="I257" s="161">
        <v>0</v>
      </c>
      <c r="J257" s="161">
        <v>0</v>
      </c>
      <c r="K257" s="161">
        <v>2</v>
      </c>
      <c r="L257" s="161">
        <v>2</v>
      </c>
      <c r="M257" s="161">
        <v>0</v>
      </c>
      <c r="N257" s="161">
        <v>2</v>
      </c>
      <c r="O257" s="161">
        <v>0</v>
      </c>
      <c r="P257" s="161">
        <v>1</v>
      </c>
      <c r="Q257" s="161">
        <v>0</v>
      </c>
      <c r="R257" s="161">
        <v>0</v>
      </c>
      <c r="S257" s="161">
        <v>0</v>
      </c>
      <c r="T257" s="165">
        <v>30.2</v>
      </c>
      <c r="U257" s="165">
        <v>0</v>
      </c>
      <c r="V257" s="161">
        <v>14</v>
      </c>
      <c r="W257" s="166">
        <v>429.69</v>
      </c>
      <c r="X257" s="161">
        <v>1229</v>
      </c>
      <c r="Y257" s="161">
        <v>80</v>
      </c>
      <c r="Z257" s="165">
        <v>4</v>
      </c>
      <c r="AA257" s="165">
        <v>1</v>
      </c>
      <c r="AB257" s="165">
        <v>1</v>
      </c>
      <c r="AC257" s="165">
        <v>1</v>
      </c>
      <c r="AD257" s="165">
        <v>5</v>
      </c>
      <c r="AE257" s="165">
        <v>3</v>
      </c>
      <c r="AF257" s="165">
        <v>15</v>
      </c>
      <c r="AG257" s="165">
        <v>13</v>
      </c>
      <c r="AH257" s="165">
        <v>4.5</v>
      </c>
      <c r="AI257" s="165">
        <v>2</v>
      </c>
      <c r="AJ257" s="165">
        <v>2.5</v>
      </c>
      <c r="AK257" s="165">
        <v>24</v>
      </c>
      <c r="AL257" s="165">
        <v>10.5</v>
      </c>
      <c r="AM257" s="165">
        <v>56.5</v>
      </c>
      <c r="AN257" s="167">
        <f>tbl_operations[[#This Row],[Interview Styling Registrations]]+tbl_operations[[#This Row],[Confidence Styling Registrations]]</f>
        <v>3</v>
      </c>
      <c r="AO257" s="167">
        <f>tbl_operations[[#This Row],[Interview Styling Completed]]+tbl_operations[[#This Row],[Confidence Styling Completed]]</f>
        <v>2</v>
      </c>
      <c r="AP257" s="167">
        <f>tbl_operations[[#This Row],[Interview Styling Male]]+tbl_operations[[#This Row],[Confidence Styling Male]]</f>
        <v>0</v>
      </c>
      <c r="AQ257" s="167">
        <f>tbl_operations[[#This Row],[Interview Styling Female]]+tbl_operations[[#This Row],[Confidence Styling Female]]</f>
        <v>2</v>
      </c>
      <c r="AR257" s="167">
        <f>tbl_operations[[#This Row],[Interview Styling Non-Binary]]+tbl_operations[[#This Row],[Confidence Styling Non-Binary]]</f>
        <v>0</v>
      </c>
    </row>
    <row r="258" spans="1:44">
      <c r="A258" s="161" t="s">
        <v>31</v>
      </c>
      <c r="B258" s="162" t="s">
        <v>103</v>
      </c>
      <c r="C258" s="161" t="s">
        <v>99</v>
      </c>
      <c r="D258" s="163">
        <v>46381</v>
      </c>
      <c r="E258" s="164" t="str">
        <f>TEXT(D258,"dddd")</f>
        <v>Friday</v>
      </c>
      <c r="F258" s="161">
        <v>3</v>
      </c>
      <c r="G258" s="161">
        <v>3</v>
      </c>
      <c r="H258" s="161">
        <v>0</v>
      </c>
      <c r="I258" s="161">
        <v>3</v>
      </c>
      <c r="J258" s="161">
        <v>0</v>
      </c>
      <c r="K258" s="161">
        <v>3</v>
      </c>
      <c r="L258" s="161">
        <v>2</v>
      </c>
      <c r="M258" s="161">
        <v>1</v>
      </c>
      <c r="N258" s="161">
        <v>1</v>
      </c>
      <c r="O258" s="161">
        <v>0</v>
      </c>
      <c r="P258" s="161">
        <v>1</v>
      </c>
      <c r="Q258" s="161">
        <v>0</v>
      </c>
      <c r="R258" s="161">
        <v>0</v>
      </c>
      <c r="S258" s="161">
        <v>0</v>
      </c>
      <c r="T258" s="165">
        <v>49.9</v>
      </c>
      <c r="U258" s="165">
        <v>0</v>
      </c>
      <c r="V258" s="161">
        <v>22</v>
      </c>
      <c r="W258" s="166">
        <v>301.49</v>
      </c>
      <c r="X258" s="161">
        <v>680</v>
      </c>
      <c r="Y258" s="161">
        <v>23</v>
      </c>
      <c r="Z258" s="165">
        <v>4</v>
      </c>
      <c r="AA258" s="165">
        <v>1</v>
      </c>
      <c r="AB258" s="165">
        <v>2</v>
      </c>
      <c r="AC258" s="165">
        <v>2</v>
      </c>
      <c r="AD258" s="165">
        <v>5</v>
      </c>
      <c r="AE258" s="165">
        <v>4</v>
      </c>
      <c r="AF258" s="165">
        <v>18</v>
      </c>
      <c r="AG258" s="165">
        <v>10.5</v>
      </c>
      <c r="AH258" s="165">
        <v>2</v>
      </c>
      <c r="AI258" s="165">
        <v>5.5</v>
      </c>
      <c r="AJ258" s="165">
        <v>10.5</v>
      </c>
      <c r="AK258" s="165">
        <v>12</v>
      </c>
      <c r="AL258" s="165">
        <v>18</v>
      </c>
      <c r="AM258" s="165">
        <v>58.5</v>
      </c>
      <c r="AN258" s="167">
        <f>tbl_operations[[#This Row],[Interview Styling Registrations]]+tbl_operations[[#This Row],[Confidence Styling Registrations]]</f>
        <v>6</v>
      </c>
      <c r="AO258" s="167">
        <f>tbl_operations[[#This Row],[Interview Styling Completed]]+tbl_operations[[#This Row],[Confidence Styling Completed]]</f>
        <v>5</v>
      </c>
      <c r="AP258" s="167">
        <f>tbl_operations[[#This Row],[Interview Styling Male]]+tbl_operations[[#This Row],[Confidence Styling Male]]</f>
        <v>1</v>
      </c>
      <c r="AQ258" s="167">
        <f>tbl_operations[[#This Row],[Interview Styling Female]]+tbl_operations[[#This Row],[Confidence Styling Female]]</f>
        <v>4</v>
      </c>
      <c r="AR258" s="167">
        <f>tbl_operations[[#This Row],[Interview Styling Non-Binary]]+tbl_operations[[#This Row],[Confidence Styling Non-Binary]]</f>
        <v>0</v>
      </c>
    </row>
    <row r="259" spans="1:44">
      <c r="A259" s="161" t="s">
        <v>31</v>
      </c>
      <c r="B259" s="162" t="s">
        <v>103</v>
      </c>
      <c r="C259" s="161" t="s">
        <v>100</v>
      </c>
      <c r="D259" s="163">
        <v>46384</v>
      </c>
      <c r="E259" s="164" t="str">
        <f>TEXT(D259,"dddd")</f>
        <v>Monday</v>
      </c>
      <c r="F259" s="161">
        <v>1</v>
      </c>
      <c r="G259" s="161">
        <v>1</v>
      </c>
      <c r="H259" s="161">
        <v>0</v>
      </c>
      <c r="I259" s="161">
        <v>1</v>
      </c>
      <c r="J259" s="161">
        <v>0</v>
      </c>
      <c r="K259" s="161">
        <v>0</v>
      </c>
      <c r="L259" s="161">
        <v>0</v>
      </c>
      <c r="M259" s="161">
        <v>0</v>
      </c>
      <c r="N259" s="161">
        <v>0</v>
      </c>
      <c r="O259" s="161">
        <v>0</v>
      </c>
      <c r="P259" s="161">
        <v>0</v>
      </c>
      <c r="Q259" s="161">
        <v>0</v>
      </c>
      <c r="R259" s="161">
        <v>0</v>
      </c>
      <c r="S259" s="161">
        <v>0</v>
      </c>
      <c r="T259" s="165">
        <v>39.2</v>
      </c>
      <c r="U259" s="165">
        <v>7.7</v>
      </c>
      <c r="V259" s="161">
        <v>3</v>
      </c>
      <c r="W259" s="166">
        <v>83.46</v>
      </c>
      <c r="X259" s="161">
        <v>1788</v>
      </c>
      <c r="Y259" s="161">
        <v>144</v>
      </c>
      <c r="Z259" s="165">
        <v>1</v>
      </c>
      <c r="AA259" s="165">
        <v>0</v>
      </c>
      <c r="AB259" s="165">
        <v>2</v>
      </c>
      <c r="AC259" s="165">
        <v>1</v>
      </c>
      <c r="AD259" s="165">
        <v>4</v>
      </c>
      <c r="AE259" s="165">
        <v>4</v>
      </c>
      <c r="AF259" s="165">
        <v>12</v>
      </c>
      <c r="AG259" s="165">
        <v>3</v>
      </c>
      <c r="AH259" s="165">
        <v>0</v>
      </c>
      <c r="AI259" s="165">
        <v>7.5</v>
      </c>
      <c r="AJ259" s="165">
        <v>3.5</v>
      </c>
      <c r="AK259" s="165">
        <v>11</v>
      </c>
      <c r="AL259" s="165">
        <v>21</v>
      </c>
      <c r="AM259" s="165">
        <v>46</v>
      </c>
      <c r="AN259" s="167">
        <f>tbl_operations[[#This Row],[Interview Styling Registrations]]+tbl_operations[[#This Row],[Confidence Styling Registrations]]</f>
        <v>1</v>
      </c>
      <c r="AO259" s="167">
        <f>tbl_operations[[#This Row],[Interview Styling Completed]]+tbl_operations[[#This Row],[Confidence Styling Completed]]</f>
        <v>1</v>
      </c>
      <c r="AP259" s="167">
        <f>tbl_operations[[#This Row],[Interview Styling Male]]+tbl_operations[[#This Row],[Confidence Styling Male]]</f>
        <v>0</v>
      </c>
      <c r="AQ259" s="167">
        <f>tbl_operations[[#This Row],[Interview Styling Female]]+tbl_operations[[#This Row],[Confidence Styling Female]]</f>
        <v>1</v>
      </c>
      <c r="AR259" s="167">
        <f>tbl_operations[[#This Row],[Interview Styling Non-Binary]]+tbl_operations[[#This Row],[Confidence Styling Non-Binary]]</f>
        <v>0</v>
      </c>
    </row>
    <row r="260" spans="1:44">
      <c r="A260" s="161" t="s">
        <v>31</v>
      </c>
      <c r="B260" s="162" t="s">
        <v>103</v>
      </c>
      <c r="C260" s="161" t="s">
        <v>100</v>
      </c>
      <c r="D260" s="163">
        <v>46385</v>
      </c>
      <c r="E260" s="164" t="str">
        <f>TEXT(D260,"dddd")</f>
        <v>Tuesday</v>
      </c>
      <c r="F260" s="161">
        <v>2</v>
      </c>
      <c r="G260" s="161">
        <v>1</v>
      </c>
      <c r="H260" s="161">
        <v>1</v>
      </c>
      <c r="I260" s="161">
        <v>0</v>
      </c>
      <c r="J260" s="161">
        <v>0</v>
      </c>
      <c r="K260" s="161">
        <v>2</v>
      </c>
      <c r="L260" s="161">
        <v>1</v>
      </c>
      <c r="M260" s="161">
        <v>1</v>
      </c>
      <c r="N260" s="161">
        <v>0</v>
      </c>
      <c r="O260" s="161">
        <v>0</v>
      </c>
      <c r="P260" s="161">
        <v>0</v>
      </c>
      <c r="Q260" s="161">
        <v>0</v>
      </c>
      <c r="R260" s="161">
        <v>0</v>
      </c>
      <c r="S260" s="161">
        <v>0</v>
      </c>
      <c r="T260" s="165">
        <v>0</v>
      </c>
      <c r="U260" s="165">
        <v>0</v>
      </c>
      <c r="V260" s="161">
        <v>11</v>
      </c>
      <c r="W260" s="166">
        <v>250.42</v>
      </c>
      <c r="X260" s="161">
        <v>1490</v>
      </c>
      <c r="Y260" s="161">
        <v>176</v>
      </c>
      <c r="Z260" s="165">
        <v>2</v>
      </c>
      <c r="AA260" s="165">
        <v>1</v>
      </c>
      <c r="AB260" s="165">
        <v>1</v>
      </c>
      <c r="AC260" s="165">
        <v>0</v>
      </c>
      <c r="AD260" s="165">
        <v>3</v>
      </c>
      <c r="AE260" s="165">
        <v>1</v>
      </c>
      <c r="AF260" s="165">
        <v>8</v>
      </c>
      <c r="AG260" s="165">
        <v>4.5</v>
      </c>
      <c r="AH260" s="165">
        <v>3</v>
      </c>
      <c r="AI260" s="165">
        <v>4</v>
      </c>
      <c r="AJ260" s="165">
        <v>0</v>
      </c>
      <c r="AK260" s="165">
        <v>7</v>
      </c>
      <c r="AL260" s="165">
        <v>5</v>
      </c>
      <c r="AM260" s="165">
        <v>23.5</v>
      </c>
      <c r="AN260" s="167">
        <f>tbl_operations[[#This Row],[Interview Styling Registrations]]+tbl_operations[[#This Row],[Confidence Styling Registrations]]</f>
        <v>4</v>
      </c>
      <c r="AO260" s="167">
        <f>tbl_operations[[#This Row],[Interview Styling Completed]]+tbl_operations[[#This Row],[Confidence Styling Completed]]</f>
        <v>2</v>
      </c>
      <c r="AP260" s="167">
        <f>tbl_operations[[#This Row],[Interview Styling Male]]+tbl_operations[[#This Row],[Confidence Styling Male]]</f>
        <v>2</v>
      </c>
      <c r="AQ260" s="167">
        <f>tbl_operations[[#This Row],[Interview Styling Female]]+tbl_operations[[#This Row],[Confidence Styling Female]]</f>
        <v>0</v>
      </c>
      <c r="AR260" s="167">
        <f>tbl_operations[[#This Row],[Interview Styling Non-Binary]]+tbl_operations[[#This Row],[Confidence Styling Non-Binary]]</f>
        <v>0</v>
      </c>
    </row>
    <row r="261" spans="1:44">
      <c r="A261" s="161" t="s">
        <v>31</v>
      </c>
      <c r="B261" s="162" t="s">
        <v>103</v>
      </c>
      <c r="C261" s="161" t="s">
        <v>100</v>
      </c>
      <c r="D261" s="163">
        <v>46386</v>
      </c>
      <c r="E261" s="164" t="str">
        <f>TEXT(D261,"dddd")</f>
        <v>Wednesday</v>
      </c>
      <c r="F261" s="161">
        <v>1</v>
      </c>
      <c r="G261" s="161">
        <v>0</v>
      </c>
      <c r="H261" s="161">
        <v>0</v>
      </c>
      <c r="I261" s="161">
        <v>0</v>
      </c>
      <c r="J261" s="161">
        <v>0</v>
      </c>
      <c r="K261" s="161">
        <v>0</v>
      </c>
      <c r="L261" s="161">
        <v>0</v>
      </c>
      <c r="M261" s="161">
        <v>0</v>
      </c>
      <c r="N261" s="161">
        <v>0</v>
      </c>
      <c r="O261" s="161">
        <v>0</v>
      </c>
      <c r="P261" s="161">
        <v>0</v>
      </c>
      <c r="Q261" s="161">
        <v>1</v>
      </c>
      <c r="R261" s="161">
        <v>0</v>
      </c>
      <c r="S261" s="161">
        <v>0</v>
      </c>
      <c r="T261" s="165">
        <v>0</v>
      </c>
      <c r="U261" s="165">
        <v>0</v>
      </c>
      <c r="V261" s="161">
        <v>12</v>
      </c>
      <c r="W261" s="166">
        <v>322.49</v>
      </c>
      <c r="X261" s="161">
        <v>1023</v>
      </c>
      <c r="Y261" s="161">
        <v>26</v>
      </c>
      <c r="Z261" s="165">
        <v>4</v>
      </c>
      <c r="AA261" s="165">
        <v>0</v>
      </c>
      <c r="AB261" s="165">
        <v>1</v>
      </c>
      <c r="AC261" s="165">
        <v>0</v>
      </c>
      <c r="AD261" s="165">
        <v>4</v>
      </c>
      <c r="AE261" s="165">
        <v>4</v>
      </c>
      <c r="AF261" s="165">
        <v>13</v>
      </c>
      <c r="AG261" s="165">
        <v>11</v>
      </c>
      <c r="AH261" s="165">
        <v>0</v>
      </c>
      <c r="AI261" s="165">
        <v>5</v>
      </c>
      <c r="AJ261" s="165">
        <v>0</v>
      </c>
      <c r="AK261" s="165">
        <v>17</v>
      </c>
      <c r="AL261" s="165">
        <v>20</v>
      </c>
      <c r="AM261" s="165">
        <v>53</v>
      </c>
      <c r="AN261" s="167">
        <f>tbl_operations[[#This Row],[Interview Styling Registrations]]+tbl_operations[[#This Row],[Confidence Styling Registrations]]</f>
        <v>1</v>
      </c>
      <c r="AO261" s="167">
        <f>tbl_operations[[#This Row],[Interview Styling Completed]]+tbl_operations[[#This Row],[Confidence Styling Completed]]</f>
        <v>0</v>
      </c>
      <c r="AP261" s="167">
        <f>tbl_operations[[#This Row],[Interview Styling Male]]+tbl_operations[[#This Row],[Confidence Styling Male]]</f>
        <v>0</v>
      </c>
      <c r="AQ261" s="167">
        <f>tbl_operations[[#This Row],[Interview Styling Female]]+tbl_operations[[#This Row],[Confidence Styling Female]]</f>
        <v>0</v>
      </c>
      <c r="AR261" s="167">
        <f>tbl_operations[[#This Row],[Interview Styling Non-Binary]]+tbl_operations[[#This Row],[Confidence Styling Non-Binary]]</f>
        <v>0</v>
      </c>
    </row>
    <row r="262" spans="1:44">
      <c r="A262" s="161" t="s">
        <v>31</v>
      </c>
      <c r="B262" s="162" t="s">
        <v>103</v>
      </c>
      <c r="C262" s="161" t="s">
        <v>100</v>
      </c>
      <c r="D262" s="163">
        <v>46387</v>
      </c>
      <c r="E262" s="164" t="str">
        <f>TEXT(D262,"dddd")</f>
        <v>Thursday</v>
      </c>
      <c r="F262" s="161">
        <v>3</v>
      </c>
      <c r="G262" s="161">
        <v>2</v>
      </c>
      <c r="H262" s="161">
        <v>0</v>
      </c>
      <c r="I262" s="161">
        <v>2</v>
      </c>
      <c r="J262" s="161">
        <v>0</v>
      </c>
      <c r="K262" s="161">
        <v>2</v>
      </c>
      <c r="L262" s="161">
        <v>2</v>
      </c>
      <c r="M262" s="161">
        <v>0</v>
      </c>
      <c r="N262" s="161">
        <v>2</v>
      </c>
      <c r="O262" s="161">
        <v>0</v>
      </c>
      <c r="P262" s="161">
        <v>0</v>
      </c>
      <c r="Q262" s="161">
        <v>1</v>
      </c>
      <c r="R262" s="161">
        <v>0</v>
      </c>
      <c r="S262" s="161">
        <v>1</v>
      </c>
      <c r="T262" s="165">
        <v>12.9</v>
      </c>
      <c r="U262" s="165">
        <v>0</v>
      </c>
      <c r="V262" s="161">
        <v>14</v>
      </c>
      <c r="W262" s="166">
        <v>309.64</v>
      </c>
      <c r="X262" s="161">
        <v>1880</v>
      </c>
      <c r="Y262" s="161">
        <v>117</v>
      </c>
      <c r="Z262" s="165">
        <v>2</v>
      </c>
      <c r="AA262" s="165">
        <v>0</v>
      </c>
      <c r="AB262" s="165">
        <v>0</v>
      </c>
      <c r="AC262" s="165">
        <v>1</v>
      </c>
      <c r="AD262" s="165">
        <v>3</v>
      </c>
      <c r="AE262" s="165">
        <v>2</v>
      </c>
      <c r="AF262" s="165">
        <v>8</v>
      </c>
      <c r="AG262" s="165">
        <v>4.5</v>
      </c>
      <c r="AH262" s="165">
        <v>0</v>
      </c>
      <c r="AI262" s="165">
        <v>0</v>
      </c>
      <c r="AJ262" s="165">
        <v>5.5</v>
      </c>
      <c r="AK262" s="165">
        <v>10.5</v>
      </c>
      <c r="AL262" s="165">
        <v>7</v>
      </c>
      <c r="AM262" s="165">
        <v>27.5</v>
      </c>
      <c r="AN262" s="167">
        <f>tbl_operations[[#This Row],[Interview Styling Registrations]]+tbl_operations[[#This Row],[Confidence Styling Registrations]]</f>
        <v>5</v>
      </c>
      <c r="AO262" s="167">
        <f>tbl_operations[[#This Row],[Interview Styling Completed]]+tbl_operations[[#This Row],[Confidence Styling Completed]]</f>
        <v>4</v>
      </c>
      <c r="AP262" s="167">
        <f>tbl_operations[[#This Row],[Interview Styling Male]]+tbl_operations[[#This Row],[Confidence Styling Male]]</f>
        <v>0</v>
      </c>
      <c r="AQ262" s="167">
        <f>tbl_operations[[#This Row],[Interview Styling Female]]+tbl_operations[[#This Row],[Confidence Styling Female]]</f>
        <v>4</v>
      </c>
      <c r="AR262" s="167">
        <f>tbl_operations[[#This Row],[Interview Styling Non-Binary]]+tbl_operations[[#This Row],[Confidence Styling Non-Binary]]</f>
        <v>0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J78"/>
  <sheetViews>
    <sheetView workbookViewId="0">
      <selection activeCell="B14" sqref="B14"/>
    </sheetView>
  </sheetViews>
  <sheetFormatPr defaultColWidth="13.6923076923077" defaultRowHeight="16.8"/>
  <cols>
    <col min="1" max="1" width="3.68269230769231" style="2" customWidth="1"/>
    <col min="2" max="22" width="13.6923076923077" style="2" customWidth="1"/>
    <col min="23" max="23" width="13.6923076923077" style="5" customWidth="1"/>
    <col min="24" max="16384" width="13.6923076923077" style="2" customWidth="1"/>
  </cols>
  <sheetData>
    <row r="1" spans="2:36">
      <c r="E1" s="6" t="s">
        <v>104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2:36"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7.55"/>
    <row r="4" ht="17.55" spans="2:36">
      <c r="B4" s="3"/>
      <c r="C4" s="8" t="s">
        <v>105</v>
      </c>
      <c r="D4" s="9"/>
      <c r="E4" s="9"/>
      <c r="F4" s="9"/>
      <c r="G4" s="11"/>
      <c r="H4" s="15" t="s">
        <v>106</v>
      </c>
      <c r="I4" s="15"/>
      <c r="J4" s="15"/>
      <c r="K4" s="15"/>
      <c r="L4" s="15"/>
      <c r="M4" s="8" t="s">
        <v>107</v>
      </c>
      <c r="N4" s="9"/>
      <c r="O4" s="9"/>
      <c r="P4" s="11"/>
      <c r="Q4" s="9" t="s">
        <v>108</v>
      </c>
      <c r="R4" s="9"/>
      <c r="S4" s="12" t="s">
        <v>109</v>
      </c>
      <c r="T4" s="10"/>
      <c r="U4" s="8" t="s">
        <v>110</v>
      </c>
      <c r="V4" s="11"/>
      <c r="W4" s="12" t="s">
        <v>111</v>
      </c>
      <c r="X4" s="15"/>
      <c r="Y4" s="15"/>
      <c r="Z4" s="15"/>
      <c r="AA4" s="15"/>
      <c r="AB4" s="15"/>
      <c r="AC4" s="10"/>
      <c r="AD4" s="12" t="s">
        <v>112</v>
      </c>
      <c r="AE4" s="15"/>
      <c r="AF4" s="15"/>
      <c r="AG4" s="15"/>
      <c r="AH4" s="15"/>
      <c r="AI4" s="15"/>
      <c r="AJ4" s="10"/>
    </row>
    <row r="5" ht="17.55" spans="2:36">
      <c r="B5" s="119" t="s">
        <v>113</v>
      </c>
      <c r="C5" s="18" t="s">
        <v>47</v>
      </c>
      <c r="D5" s="19" t="s">
        <v>114</v>
      </c>
      <c r="E5" s="20" t="s">
        <v>40</v>
      </c>
      <c r="F5" s="20" t="s">
        <v>41</v>
      </c>
      <c r="G5" s="134" t="s">
        <v>42</v>
      </c>
      <c r="H5" s="22" t="s">
        <v>47</v>
      </c>
      <c r="I5" s="22" t="s">
        <v>114</v>
      </c>
      <c r="J5" s="23" t="s">
        <v>40</v>
      </c>
      <c r="K5" s="23" t="s">
        <v>41</v>
      </c>
      <c r="L5" s="24" t="s">
        <v>42</v>
      </c>
      <c r="M5" s="25" t="s">
        <v>47</v>
      </c>
      <c r="N5" s="23" t="s">
        <v>48</v>
      </c>
      <c r="O5" s="23" t="s">
        <v>49</v>
      </c>
      <c r="P5" s="26" t="s">
        <v>50</v>
      </c>
      <c r="Q5" s="19" t="s">
        <v>115</v>
      </c>
      <c r="R5" s="20" t="s">
        <v>116</v>
      </c>
      <c r="S5" s="18" t="s">
        <v>72</v>
      </c>
      <c r="T5" s="146" t="s">
        <v>73</v>
      </c>
      <c r="U5" s="19" t="s">
        <v>74</v>
      </c>
      <c r="V5" s="28" t="s">
        <v>75</v>
      </c>
      <c r="W5" s="25" t="s">
        <v>117</v>
      </c>
      <c r="X5" s="23" t="s">
        <v>118</v>
      </c>
      <c r="Y5" s="23" t="s">
        <v>119</v>
      </c>
      <c r="Z5" s="23" t="s">
        <v>110</v>
      </c>
      <c r="AA5" s="24" t="s">
        <v>120</v>
      </c>
      <c r="AB5" s="24" t="s">
        <v>121</v>
      </c>
      <c r="AC5" s="24" t="s">
        <v>39</v>
      </c>
      <c r="AD5" s="25" t="s">
        <v>117</v>
      </c>
      <c r="AE5" s="23" t="s">
        <v>118</v>
      </c>
      <c r="AF5" s="23" t="s">
        <v>122</v>
      </c>
      <c r="AG5" s="23" t="s">
        <v>110</v>
      </c>
      <c r="AH5" s="24" t="s">
        <v>120</v>
      </c>
      <c r="AI5" s="24" t="s">
        <v>121</v>
      </c>
      <c r="AJ5" s="26" t="s">
        <v>39</v>
      </c>
    </row>
    <row r="6" spans="2:36">
      <c r="B6" s="147" t="s">
        <v>20</v>
      </c>
      <c r="C6" s="31">
        <f>January!C36</f>
        <v>46</v>
      </c>
      <c r="D6" s="32">
        <f>January!D36</f>
        <v>39</v>
      </c>
      <c r="E6" s="32">
        <f>January!E36</f>
        <v>8</v>
      </c>
      <c r="F6" s="32">
        <f>January!F36</f>
        <v>31</v>
      </c>
      <c r="G6" s="33">
        <f>January!G36</f>
        <v>0</v>
      </c>
      <c r="H6" s="34">
        <f>January!H36</f>
        <v>33</v>
      </c>
      <c r="I6" s="31">
        <f>January!I36</f>
        <v>27</v>
      </c>
      <c r="J6" s="32">
        <f>January!J36</f>
        <v>7</v>
      </c>
      <c r="K6" s="32">
        <f>January!K36</f>
        <v>20</v>
      </c>
      <c r="L6" s="35">
        <f>January!L36</f>
        <v>0</v>
      </c>
      <c r="M6" s="36">
        <f>January!M36</f>
        <v>19</v>
      </c>
      <c r="N6" s="37">
        <f>January!N36</f>
        <v>6</v>
      </c>
      <c r="O6" s="37">
        <f>January!O36</f>
        <v>6</v>
      </c>
      <c r="P6" s="38">
        <f>January!P36</f>
        <v>2</v>
      </c>
      <c r="Q6" s="34">
        <f>January!Q36</f>
        <v>668</v>
      </c>
      <c r="R6" s="35">
        <f>January!R36</f>
        <v>139.5</v>
      </c>
      <c r="S6" s="31">
        <f>January!S36</f>
        <v>274</v>
      </c>
      <c r="T6" s="33">
        <f>January!T36</f>
        <v>6313.46</v>
      </c>
      <c r="U6" s="34">
        <f>January!U36</f>
        <v>27673</v>
      </c>
      <c r="V6" s="33">
        <f>January!V36</f>
        <v>2584</v>
      </c>
      <c r="W6" s="41">
        <f>January!W36</f>
        <v>61</v>
      </c>
      <c r="X6" s="37">
        <f>January!X36</f>
        <v>21</v>
      </c>
      <c r="Y6" s="37">
        <f>January!Y36</f>
        <v>24</v>
      </c>
      <c r="Z6" s="37">
        <f>January!Z36</f>
        <v>16</v>
      </c>
      <c r="AA6" s="37">
        <f>January!AA36</f>
        <v>66</v>
      </c>
      <c r="AB6" s="37">
        <f>January!AB36</f>
        <v>55</v>
      </c>
      <c r="AC6" s="43">
        <f>January!AC36</f>
        <v>243</v>
      </c>
      <c r="AD6" s="31">
        <f>January!AD36</f>
        <v>223</v>
      </c>
      <c r="AE6" s="32">
        <f>January!AE36</f>
        <v>82</v>
      </c>
      <c r="AF6" s="32">
        <f>January!AF36</f>
        <v>93.5</v>
      </c>
      <c r="AG6" s="32">
        <f>January!AG36</f>
        <v>62.5</v>
      </c>
      <c r="AH6" s="32">
        <f>January!AH36</f>
        <v>251.5</v>
      </c>
      <c r="AI6" s="32">
        <f>January!AI36</f>
        <v>218.5</v>
      </c>
      <c r="AJ6" s="33">
        <f>January!AJ36</f>
        <v>931</v>
      </c>
    </row>
    <row r="7" spans="2:36">
      <c r="B7" s="148" t="s">
        <v>21</v>
      </c>
      <c r="C7" s="49">
        <f>February!C36</f>
        <v>39</v>
      </c>
      <c r="D7" s="50">
        <f>February!D36</f>
        <v>32</v>
      </c>
      <c r="E7" s="50">
        <f>February!E36</f>
        <v>9</v>
      </c>
      <c r="F7" s="50">
        <f>February!F36</f>
        <v>23</v>
      </c>
      <c r="G7" s="51">
        <f>February!G36</f>
        <v>0</v>
      </c>
      <c r="H7" s="52">
        <f>February!H36</f>
        <v>30</v>
      </c>
      <c r="I7" s="50">
        <f>February!I36</f>
        <v>24</v>
      </c>
      <c r="J7" s="50">
        <f>February!J36</f>
        <v>6</v>
      </c>
      <c r="K7" s="50">
        <f>February!K36</f>
        <v>18</v>
      </c>
      <c r="L7" s="52">
        <f>February!L36</f>
        <v>0</v>
      </c>
      <c r="M7" s="49">
        <f>February!M36</f>
        <v>12</v>
      </c>
      <c r="N7" s="50">
        <f>February!N36</f>
        <v>6</v>
      </c>
      <c r="O7" s="50">
        <f>February!O36</f>
        <v>6</v>
      </c>
      <c r="P7" s="51">
        <f>February!P36</f>
        <v>3</v>
      </c>
      <c r="Q7" s="55">
        <f>February!Q36</f>
        <v>635.9</v>
      </c>
      <c r="R7" s="57">
        <f>February!R36</f>
        <v>78.8</v>
      </c>
      <c r="S7" s="49">
        <f>February!S36</f>
        <v>250</v>
      </c>
      <c r="T7" s="51">
        <f>February!T36</f>
        <v>5695.08</v>
      </c>
      <c r="U7" s="55">
        <f>February!U36</f>
        <v>23930</v>
      </c>
      <c r="V7" s="51">
        <f>February!V36</f>
        <v>2078</v>
      </c>
      <c r="W7" s="55">
        <f>February!W36</f>
        <v>42</v>
      </c>
      <c r="X7" s="50">
        <f>February!X36</f>
        <v>14</v>
      </c>
      <c r="Y7" s="50">
        <f>February!Y36</f>
        <v>20</v>
      </c>
      <c r="Z7" s="50">
        <f>February!Z36</f>
        <v>18</v>
      </c>
      <c r="AA7" s="50">
        <f>February!AA36</f>
        <v>70</v>
      </c>
      <c r="AB7" s="50">
        <f>February!AB36</f>
        <v>55</v>
      </c>
      <c r="AC7" s="57">
        <f>February!AC36</f>
        <v>219</v>
      </c>
      <c r="AD7" s="49">
        <f>February!AD36</f>
        <v>160.5</v>
      </c>
      <c r="AE7" s="50">
        <f>February!AE36</f>
        <v>61</v>
      </c>
      <c r="AF7" s="50">
        <f>February!AF36</f>
        <v>76</v>
      </c>
      <c r="AG7" s="50">
        <f>February!AG36</f>
        <v>61.5</v>
      </c>
      <c r="AH7" s="50">
        <f>February!AH36</f>
        <v>260.5</v>
      </c>
      <c r="AI7" s="50">
        <f>February!AI36</f>
        <v>206</v>
      </c>
      <c r="AJ7" s="51">
        <f>February!AJ36</f>
        <v>825.5</v>
      </c>
    </row>
    <row r="8" spans="2:36">
      <c r="B8" s="148" t="s">
        <v>22</v>
      </c>
      <c r="C8" s="49">
        <f>March!C36</f>
        <v>46</v>
      </c>
      <c r="D8" s="50">
        <f>March!D36</f>
        <v>42</v>
      </c>
      <c r="E8" s="50">
        <f>March!E36</f>
        <v>8</v>
      </c>
      <c r="F8" s="50">
        <f>March!F36</f>
        <v>33</v>
      </c>
      <c r="G8" s="51">
        <f>March!G36</f>
        <v>1</v>
      </c>
      <c r="H8" s="52">
        <f>March!H36</f>
        <v>37</v>
      </c>
      <c r="I8" s="50">
        <f>March!I36</f>
        <v>34</v>
      </c>
      <c r="J8" s="50">
        <f>March!J36</f>
        <v>14</v>
      </c>
      <c r="K8" s="50">
        <f>March!K36</f>
        <v>18</v>
      </c>
      <c r="L8" s="52">
        <f>March!L36</f>
        <v>2</v>
      </c>
      <c r="M8" s="61">
        <f>March!M36</f>
        <v>18</v>
      </c>
      <c r="N8" s="50">
        <f>March!N36</f>
        <v>6</v>
      </c>
      <c r="O8" s="50">
        <f>March!O36</f>
        <v>5</v>
      </c>
      <c r="P8" s="51">
        <f>March!P36</f>
        <v>1</v>
      </c>
      <c r="Q8" s="55">
        <f>March!Q36</f>
        <v>713.6</v>
      </c>
      <c r="R8" s="57">
        <f>March!R36</f>
        <v>51.8</v>
      </c>
      <c r="S8" s="49">
        <f>March!S36</f>
        <v>212</v>
      </c>
      <c r="T8" s="51">
        <f>March!T36</f>
        <v>4999.83</v>
      </c>
      <c r="U8" s="55">
        <f>March!U36</f>
        <v>25291</v>
      </c>
      <c r="V8" s="51">
        <f>March!V36</f>
        <v>2616</v>
      </c>
      <c r="W8" s="55">
        <f>March!W36</f>
        <v>58</v>
      </c>
      <c r="X8" s="50">
        <f>March!X36</f>
        <v>15</v>
      </c>
      <c r="Y8" s="50">
        <f>March!Y36</f>
        <v>30</v>
      </c>
      <c r="Z8" s="50">
        <f>March!Z36</f>
        <v>19</v>
      </c>
      <c r="AA8" s="50">
        <f>March!AA36</f>
        <v>67</v>
      </c>
      <c r="AB8" s="50">
        <f>March!AB36</f>
        <v>51</v>
      </c>
      <c r="AC8" s="57">
        <f>March!AC36</f>
        <v>240</v>
      </c>
      <c r="AD8" s="49">
        <f>March!AD36</f>
        <v>217.5</v>
      </c>
      <c r="AE8" s="50">
        <f>March!AE36</f>
        <v>55.5</v>
      </c>
      <c r="AF8" s="50">
        <f>March!AF36</f>
        <v>105.5</v>
      </c>
      <c r="AG8" s="50">
        <f>March!AG36</f>
        <v>70.5</v>
      </c>
      <c r="AH8" s="50">
        <f>March!AH36</f>
        <v>249</v>
      </c>
      <c r="AI8" s="50">
        <f>March!AI36</f>
        <v>178.5</v>
      </c>
      <c r="AJ8" s="51">
        <f>March!AJ36</f>
        <v>876.5</v>
      </c>
    </row>
    <row r="9" spans="2:36">
      <c r="B9" s="148" t="s">
        <v>23</v>
      </c>
      <c r="C9" s="49">
        <f>April!C36</f>
        <v>49</v>
      </c>
      <c r="D9" s="50">
        <f>April!D36</f>
        <v>45</v>
      </c>
      <c r="E9" s="50">
        <f>April!E36</f>
        <v>7</v>
      </c>
      <c r="F9" s="50">
        <f>April!F36</f>
        <v>38</v>
      </c>
      <c r="G9" s="51">
        <f>April!G36</f>
        <v>0</v>
      </c>
      <c r="H9" s="52">
        <f>April!H36</f>
        <v>25</v>
      </c>
      <c r="I9" s="50">
        <f>April!I36</f>
        <v>21</v>
      </c>
      <c r="J9" s="50">
        <f>April!J36</f>
        <v>8</v>
      </c>
      <c r="K9" s="50">
        <f>April!K36</f>
        <v>13</v>
      </c>
      <c r="L9" s="52">
        <f>April!L36</f>
        <v>0</v>
      </c>
      <c r="M9" s="61">
        <f>April!M36</f>
        <v>14</v>
      </c>
      <c r="N9" s="50">
        <f>April!N36</f>
        <v>4</v>
      </c>
      <c r="O9" s="50">
        <f>April!O36</f>
        <v>6</v>
      </c>
      <c r="P9" s="51">
        <f>April!P36</f>
        <v>1</v>
      </c>
      <c r="Q9" s="55">
        <f>April!Q36</f>
        <v>600.2</v>
      </c>
      <c r="R9" s="57">
        <f>April!R36</f>
        <v>102.1</v>
      </c>
      <c r="S9" s="49">
        <f>April!S36</f>
        <v>227</v>
      </c>
      <c r="T9" s="51">
        <f>April!T36</f>
        <v>4884</v>
      </c>
      <c r="U9" s="55">
        <f>April!U36</f>
        <v>27386</v>
      </c>
      <c r="V9" s="51">
        <f>April!V36</f>
        <v>1937</v>
      </c>
      <c r="W9" s="55">
        <f>April!W36</f>
        <v>57</v>
      </c>
      <c r="X9" s="50">
        <f>April!X36</f>
        <v>16</v>
      </c>
      <c r="Y9" s="50">
        <f>April!Y36</f>
        <v>23</v>
      </c>
      <c r="Z9" s="50">
        <f>April!Z36</f>
        <v>14</v>
      </c>
      <c r="AA9" s="50">
        <f>April!AA36</f>
        <v>60</v>
      </c>
      <c r="AB9" s="50">
        <f>April!AB36</f>
        <v>57</v>
      </c>
      <c r="AC9" s="57">
        <f>April!AC36</f>
        <v>227</v>
      </c>
      <c r="AD9" s="49">
        <f>April!AD36</f>
        <v>210</v>
      </c>
      <c r="AE9" s="50">
        <f>April!AE36</f>
        <v>59</v>
      </c>
      <c r="AF9" s="50">
        <f>April!AF36</f>
        <v>79</v>
      </c>
      <c r="AG9" s="50">
        <f>April!AG36</f>
        <v>51.5</v>
      </c>
      <c r="AH9" s="50">
        <f>April!AH36</f>
        <v>233.5</v>
      </c>
      <c r="AI9" s="50">
        <f>April!AI36</f>
        <v>219.5</v>
      </c>
      <c r="AJ9" s="51">
        <f>April!AJ36</f>
        <v>852.5</v>
      </c>
    </row>
    <row r="10" spans="2:36">
      <c r="B10" s="148" t="s">
        <v>24</v>
      </c>
      <c r="C10" s="49">
        <f>May!C36</f>
        <v>34</v>
      </c>
      <c r="D10" s="50">
        <f>May!D36</f>
        <v>29</v>
      </c>
      <c r="E10" s="50">
        <f>May!E36</f>
        <v>9</v>
      </c>
      <c r="F10" s="50">
        <f>May!F36</f>
        <v>20</v>
      </c>
      <c r="G10" s="51">
        <f>May!G36</f>
        <v>0</v>
      </c>
      <c r="H10" s="52">
        <f>May!H36</f>
        <v>35</v>
      </c>
      <c r="I10" s="50">
        <f>May!I36</f>
        <v>30</v>
      </c>
      <c r="J10" s="50">
        <f>May!J36</f>
        <v>8</v>
      </c>
      <c r="K10" s="50">
        <f>May!K36</f>
        <v>22</v>
      </c>
      <c r="L10" s="52">
        <f>May!L36</f>
        <v>0</v>
      </c>
      <c r="M10" s="61">
        <f>May!M36</f>
        <v>15</v>
      </c>
      <c r="N10" s="50">
        <f>May!N36</f>
        <v>4</v>
      </c>
      <c r="O10" s="50">
        <f>May!O36</f>
        <v>5</v>
      </c>
      <c r="P10" s="51">
        <f>May!P36</f>
        <v>3</v>
      </c>
      <c r="Q10" s="55">
        <f>May!Q36</f>
        <v>668.8</v>
      </c>
      <c r="R10" s="57">
        <f>May!R36</f>
        <v>100.4</v>
      </c>
      <c r="S10" s="49">
        <f>May!S36</f>
        <v>271</v>
      </c>
      <c r="T10" s="51">
        <f>May!T36</f>
        <v>5384.65</v>
      </c>
      <c r="U10" s="55">
        <f>May!U36</f>
        <v>22175</v>
      </c>
      <c r="V10" s="51">
        <f>May!V36</f>
        <v>1962</v>
      </c>
      <c r="W10" s="55">
        <f>May!W36</f>
        <v>49</v>
      </c>
      <c r="X10" s="50">
        <f>May!X36</f>
        <v>19</v>
      </c>
      <c r="Y10" s="50">
        <f>May!Y36</f>
        <v>23</v>
      </c>
      <c r="Z10" s="50">
        <f>May!Z36</f>
        <v>12</v>
      </c>
      <c r="AA10" s="50">
        <f>May!AA36</f>
        <v>64</v>
      </c>
      <c r="AB10" s="50">
        <f>May!AB36</f>
        <v>52</v>
      </c>
      <c r="AC10" s="57">
        <f>May!AC36</f>
        <v>219</v>
      </c>
      <c r="AD10" s="49">
        <f>May!AD36</f>
        <v>175.5</v>
      </c>
      <c r="AE10" s="50">
        <f>May!AE36</f>
        <v>70.5</v>
      </c>
      <c r="AF10" s="50">
        <f>May!AF36</f>
        <v>78.5</v>
      </c>
      <c r="AG10" s="50">
        <f>May!AG36</f>
        <v>51</v>
      </c>
      <c r="AH10" s="50">
        <f>May!AH36</f>
        <v>253</v>
      </c>
      <c r="AI10" s="50">
        <f>May!AI36</f>
        <v>187.5</v>
      </c>
      <c r="AJ10" s="51">
        <f>May!AJ36</f>
        <v>816</v>
      </c>
    </row>
    <row r="11" spans="2:36">
      <c r="B11" s="148" t="s">
        <v>25</v>
      </c>
      <c r="C11" s="49">
        <f>June!C36</f>
        <v>39</v>
      </c>
      <c r="D11" s="50">
        <f>June!D36</f>
        <v>35</v>
      </c>
      <c r="E11" s="50">
        <f>June!E36</f>
        <v>10</v>
      </c>
      <c r="F11" s="50">
        <f>June!F36</f>
        <v>24</v>
      </c>
      <c r="G11" s="51">
        <f>June!G36</f>
        <v>1</v>
      </c>
      <c r="H11" s="52">
        <f>June!H36</f>
        <v>32</v>
      </c>
      <c r="I11" s="50">
        <f>June!I36</f>
        <v>27</v>
      </c>
      <c r="J11" s="50">
        <f>June!J36</f>
        <v>8</v>
      </c>
      <c r="K11" s="50">
        <f>June!K36</f>
        <v>18</v>
      </c>
      <c r="L11" s="52">
        <f>June!L36</f>
        <v>1</v>
      </c>
      <c r="M11" s="61">
        <f>June!M36</f>
        <v>11</v>
      </c>
      <c r="N11" s="50">
        <f>June!N36</f>
        <v>9</v>
      </c>
      <c r="O11" s="50">
        <f>June!O36</f>
        <v>8</v>
      </c>
      <c r="P11" s="51">
        <f>June!P36</f>
        <v>3</v>
      </c>
      <c r="Q11" s="55">
        <f>June!Q36</f>
        <v>433</v>
      </c>
      <c r="R11" s="57">
        <f>June!R36</f>
        <v>98</v>
      </c>
      <c r="S11" s="49">
        <f>June!S36</f>
        <v>285</v>
      </c>
      <c r="T11" s="51">
        <f>June!T36</f>
        <v>6499</v>
      </c>
      <c r="U11" s="55">
        <f>June!U36</f>
        <v>22910</v>
      </c>
      <c r="V11" s="51">
        <f>June!V36</f>
        <v>2429</v>
      </c>
      <c r="W11" s="55">
        <f>June!W36</f>
        <v>53</v>
      </c>
      <c r="X11" s="50">
        <f>June!X36</f>
        <v>21</v>
      </c>
      <c r="Y11" s="50">
        <f>June!Y36</f>
        <v>29</v>
      </c>
      <c r="Z11" s="50">
        <f>June!Z36</f>
        <v>14</v>
      </c>
      <c r="AA11" s="50">
        <f>June!AA36</f>
        <v>62</v>
      </c>
      <c r="AB11" s="50">
        <f>June!AB36</f>
        <v>65</v>
      </c>
      <c r="AC11" s="57">
        <f>June!AC36</f>
        <v>244</v>
      </c>
      <c r="AD11" s="49">
        <f>June!AD36</f>
        <v>180.5</v>
      </c>
      <c r="AE11" s="50">
        <f>June!AE36</f>
        <v>79.5</v>
      </c>
      <c r="AF11" s="50">
        <f>June!AF36</f>
        <v>110.5</v>
      </c>
      <c r="AG11" s="50">
        <f>June!AG36</f>
        <v>47.5</v>
      </c>
      <c r="AH11" s="50">
        <f>June!AH36</f>
        <v>224</v>
      </c>
      <c r="AI11" s="50">
        <f>June!AI36</f>
        <v>236.5</v>
      </c>
      <c r="AJ11" s="51">
        <f>June!AJ36</f>
        <v>878.5</v>
      </c>
    </row>
    <row r="12" spans="2:36">
      <c r="B12" s="148" t="s">
        <v>26</v>
      </c>
      <c r="C12" s="49">
        <f>July!C36</f>
        <v>41</v>
      </c>
      <c r="D12" s="50">
        <f>July!D36</f>
        <v>39</v>
      </c>
      <c r="E12" s="50">
        <f>July!E36</f>
        <v>8</v>
      </c>
      <c r="F12" s="50">
        <f>July!F36</f>
        <v>29</v>
      </c>
      <c r="G12" s="51">
        <f>July!G36</f>
        <v>2</v>
      </c>
      <c r="H12" s="52">
        <f>July!H36</f>
        <v>29</v>
      </c>
      <c r="I12" s="50">
        <f>July!I36</f>
        <v>26</v>
      </c>
      <c r="J12" s="50">
        <f>July!J36</f>
        <v>8</v>
      </c>
      <c r="K12" s="50">
        <f>July!K36</f>
        <v>18</v>
      </c>
      <c r="L12" s="52">
        <f>July!L36</f>
        <v>0</v>
      </c>
      <c r="M12" s="61">
        <f>July!M36</f>
        <v>13</v>
      </c>
      <c r="N12" s="50">
        <f>July!N36</f>
        <v>7</v>
      </c>
      <c r="O12" s="50">
        <f>July!O36</f>
        <v>6</v>
      </c>
      <c r="P12" s="51">
        <f>July!P36</f>
        <v>2</v>
      </c>
      <c r="Q12" s="55">
        <f>July!Q36</f>
        <v>880.9</v>
      </c>
      <c r="R12" s="57">
        <f>July!R36</f>
        <v>79.8</v>
      </c>
      <c r="S12" s="49">
        <f>July!S36</f>
        <v>253</v>
      </c>
      <c r="T12" s="51">
        <f>July!T36</f>
        <v>5647.43</v>
      </c>
      <c r="U12" s="55">
        <f>July!U36</f>
        <v>24105</v>
      </c>
      <c r="V12" s="51">
        <f>July!V36</f>
        <v>2248</v>
      </c>
      <c r="W12" s="55">
        <f>July!W36</f>
        <v>61</v>
      </c>
      <c r="X12" s="50">
        <f>July!X36</f>
        <v>19</v>
      </c>
      <c r="Y12" s="50">
        <f>July!Y36</f>
        <v>31</v>
      </c>
      <c r="Z12" s="50">
        <f>July!Z36</f>
        <v>13</v>
      </c>
      <c r="AA12" s="50">
        <f>July!AA36</f>
        <v>72</v>
      </c>
      <c r="AB12" s="50">
        <f>July!AB36</f>
        <v>59</v>
      </c>
      <c r="AC12" s="57">
        <f>July!AC36</f>
        <v>255</v>
      </c>
      <c r="AD12" s="49">
        <f>July!AD36</f>
        <v>231.5</v>
      </c>
      <c r="AE12" s="50">
        <f>July!AE36</f>
        <v>81</v>
      </c>
      <c r="AF12" s="50">
        <f>July!AF36</f>
        <v>118</v>
      </c>
      <c r="AG12" s="50">
        <f>July!AG36</f>
        <v>49.5</v>
      </c>
      <c r="AH12" s="50">
        <f>July!AH36</f>
        <v>250</v>
      </c>
      <c r="AI12" s="50">
        <f>July!AI36</f>
        <v>216</v>
      </c>
      <c r="AJ12" s="51">
        <f>July!AJ36</f>
        <v>946</v>
      </c>
    </row>
    <row r="13" spans="2:36">
      <c r="B13" s="148" t="s">
        <v>27</v>
      </c>
      <c r="C13" s="49">
        <f>August!C36</f>
        <v>46</v>
      </c>
      <c r="D13" s="50">
        <f>August!D36</f>
        <v>44</v>
      </c>
      <c r="E13" s="50">
        <f>August!E36</f>
        <v>9</v>
      </c>
      <c r="F13" s="50">
        <f>August!F36</f>
        <v>35</v>
      </c>
      <c r="G13" s="51">
        <f>August!G36</f>
        <v>0</v>
      </c>
      <c r="H13" s="52">
        <f>August!H36</f>
        <v>40</v>
      </c>
      <c r="I13" s="50">
        <f>August!I36</f>
        <v>33</v>
      </c>
      <c r="J13" s="50">
        <f>August!J36</f>
        <v>9</v>
      </c>
      <c r="K13" s="50">
        <f>August!K36</f>
        <v>24</v>
      </c>
      <c r="L13" s="52">
        <f>August!L36</f>
        <v>0</v>
      </c>
      <c r="M13" s="61">
        <f>August!M36</f>
        <v>16</v>
      </c>
      <c r="N13" s="50">
        <f>August!N36</f>
        <v>2</v>
      </c>
      <c r="O13" s="50">
        <f>August!O36</f>
        <v>6</v>
      </c>
      <c r="P13" s="51">
        <f>August!P36</f>
        <v>4</v>
      </c>
      <c r="Q13" s="55">
        <f>August!Q36</f>
        <v>579.1</v>
      </c>
      <c r="R13" s="57">
        <f>August!R36</f>
        <v>99.7</v>
      </c>
      <c r="S13" s="49">
        <f>August!S36</f>
        <v>286</v>
      </c>
      <c r="T13" s="51">
        <f>August!T36</f>
        <v>5173.04</v>
      </c>
      <c r="U13" s="55">
        <f>August!U36</f>
        <v>20359</v>
      </c>
      <c r="V13" s="51">
        <f>August!V36</f>
        <v>1671</v>
      </c>
      <c r="W13" s="55">
        <f>August!W36</f>
        <v>54</v>
      </c>
      <c r="X13" s="50">
        <f>August!X36</f>
        <v>17</v>
      </c>
      <c r="Y13" s="50">
        <f>August!Y36</f>
        <v>26</v>
      </c>
      <c r="Z13" s="50">
        <f>August!Z36</f>
        <v>23</v>
      </c>
      <c r="AA13" s="50">
        <f>August!AA36</f>
        <v>64</v>
      </c>
      <c r="AB13" s="50">
        <f>August!AB36</f>
        <v>61</v>
      </c>
      <c r="AC13" s="57">
        <f>August!AC36</f>
        <v>245</v>
      </c>
      <c r="AD13" s="49">
        <f>August!AD36</f>
        <v>213.5</v>
      </c>
      <c r="AE13" s="50">
        <f>August!AE36</f>
        <v>61.5</v>
      </c>
      <c r="AF13" s="50">
        <f>August!AF36</f>
        <v>104</v>
      </c>
      <c r="AG13" s="50">
        <f>August!AG36</f>
        <v>93.5</v>
      </c>
      <c r="AH13" s="50">
        <f>August!AH36</f>
        <v>245.5</v>
      </c>
      <c r="AI13" s="50">
        <f>August!AI36</f>
        <v>223.5</v>
      </c>
      <c r="AJ13" s="51">
        <f>August!AJ36</f>
        <v>941.5</v>
      </c>
    </row>
    <row r="14" spans="2:36">
      <c r="B14" s="148" t="s">
        <v>28</v>
      </c>
      <c r="C14" s="49">
        <f>September!C36</f>
        <v>45</v>
      </c>
      <c r="D14" s="50">
        <f>September!D36</f>
        <v>39</v>
      </c>
      <c r="E14" s="50">
        <f>September!E36</f>
        <v>5</v>
      </c>
      <c r="F14" s="50">
        <f>September!F36</f>
        <v>34</v>
      </c>
      <c r="G14" s="51">
        <f>September!G36</f>
        <v>0</v>
      </c>
      <c r="H14" s="52">
        <f>September!H36</f>
        <v>30</v>
      </c>
      <c r="I14" s="50">
        <f>September!I36</f>
        <v>26</v>
      </c>
      <c r="J14" s="50">
        <f>September!J36</f>
        <v>10</v>
      </c>
      <c r="K14" s="50">
        <f>September!K36</f>
        <v>16</v>
      </c>
      <c r="L14" s="52">
        <f>September!L36</f>
        <v>0</v>
      </c>
      <c r="M14" s="61">
        <f>September!M36</f>
        <v>11</v>
      </c>
      <c r="N14" s="50">
        <f>September!N36</f>
        <v>6</v>
      </c>
      <c r="O14" s="50">
        <f>September!O36</f>
        <v>8</v>
      </c>
      <c r="P14" s="51">
        <f>September!P36</f>
        <v>1</v>
      </c>
      <c r="Q14" s="55">
        <f>September!Q36</f>
        <v>578.3</v>
      </c>
      <c r="R14" s="57">
        <f>September!R36</f>
        <v>117.8</v>
      </c>
      <c r="S14" s="49">
        <f>September!S36</f>
        <v>305</v>
      </c>
      <c r="T14" s="51">
        <f>September!T36</f>
        <v>7142.4</v>
      </c>
      <c r="U14" s="55">
        <f>September!U36</f>
        <v>27038</v>
      </c>
      <c r="V14" s="51">
        <f>September!V36</f>
        <v>2700</v>
      </c>
      <c r="W14" s="55">
        <f>September!W36</f>
        <v>57</v>
      </c>
      <c r="X14" s="50">
        <f>September!X36</f>
        <v>20</v>
      </c>
      <c r="Y14" s="50">
        <f>September!Y36</f>
        <v>33</v>
      </c>
      <c r="Z14" s="50">
        <f>September!Z36</f>
        <v>17</v>
      </c>
      <c r="AA14" s="50">
        <f>September!AA36</f>
        <v>52</v>
      </c>
      <c r="AB14" s="50">
        <f>September!AB36</f>
        <v>63</v>
      </c>
      <c r="AC14" s="57">
        <f>September!AC36</f>
        <v>242</v>
      </c>
      <c r="AD14" s="49">
        <f>September!AD36</f>
        <v>222</v>
      </c>
      <c r="AE14" s="50">
        <f>September!AE36</f>
        <v>81</v>
      </c>
      <c r="AF14" s="50">
        <f>September!AF36</f>
        <v>117</v>
      </c>
      <c r="AG14" s="50">
        <f>September!AG36</f>
        <v>69.5</v>
      </c>
      <c r="AH14" s="50">
        <f>September!AH36</f>
        <v>210</v>
      </c>
      <c r="AI14" s="50">
        <f>September!AI36</f>
        <v>224.5</v>
      </c>
      <c r="AJ14" s="51">
        <f>September!AJ36</f>
        <v>924</v>
      </c>
    </row>
    <row r="15" spans="2:36">
      <c r="B15" s="148" t="s">
        <v>29</v>
      </c>
      <c r="C15" s="49">
        <f>October!C36</f>
        <v>48</v>
      </c>
      <c r="D15" s="50">
        <f>October!D36</f>
        <v>44</v>
      </c>
      <c r="E15" s="50">
        <f>October!E36</f>
        <v>7</v>
      </c>
      <c r="F15" s="50">
        <f>October!F36</f>
        <v>36</v>
      </c>
      <c r="G15" s="51">
        <f>October!G36</f>
        <v>1</v>
      </c>
      <c r="H15" s="52">
        <f>October!H36</f>
        <v>27</v>
      </c>
      <c r="I15" s="50">
        <f>October!I36</f>
        <v>23</v>
      </c>
      <c r="J15" s="50">
        <f>October!J36</f>
        <v>8</v>
      </c>
      <c r="K15" s="50">
        <f>October!K36</f>
        <v>15</v>
      </c>
      <c r="L15" s="57">
        <f>October!L36</f>
        <v>0</v>
      </c>
      <c r="M15" s="49">
        <f>October!M36</f>
        <v>13</v>
      </c>
      <c r="N15" s="50">
        <f>October!N36</f>
        <v>6</v>
      </c>
      <c r="O15" s="50">
        <f>October!O36</f>
        <v>7</v>
      </c>
      <c r="P15" s="51">
        <f>October!P36</f>
        <v>5</v>
      </c>
      <c r="Q15" s="55">
        <f>October!Q36</f>
        <v>751.4</v>
      </c>
      <c r="R15" s="57">
        <f>October!R36</f>
        <v>96.6</v>
      </c>
      <c r="S15" s="49">
        <f>October!S36</f>
        <v>288</v>
      </c>
      <c r="T15" s="51">
        <f>October!T36</f>
        <v>6152.84</v>
      </c>
      <c r="U15" s="55">
        <f>October!U36</f>
        <v>27642</v>
      </c>
      <c r="V15" s="51">
        <f>October!V36</f>
        <v>2235</v>
      </c>
      <c r="W15" s="55">
        <f>October!W36</f>
        <v>61</v>
      </c>
      <c r="X15" s="50">
        <f>October!X36</f>
        <v>15</v>
      </c>
      <c r="Y15" s="50">
        <f>October!Y36</f>
        <v>26</v>
      </c>
      <c r="Z15" s="50">
        <f>October!Z36</f>
        <v>24</v>
      </c>
      <c r="AA15" s="50">
        <f>October!AA36</f>
        <v>64</v>
      </c>
      <c r="AB15" s="50">
        <f>October!AB36</f>
        <v>58</v>
      </c>
      <c r="AC15" s="57">
        <f>October!AC36</f>
        <v>248</v>
      </c>
      <c r="AD15" s="49">
        <f>October!AD36</f>
        <v>220</v>
      </c>
      <c r="AE15" s="50">
        <f>October!AE36</f>
        <v>53.5</v>
      </c>
      <c r="AF15" s="50">
        <f>October!AF36</f>
        <v>96.5</v>
      </c>
      <c r="AG15" s="50">
        <f>October!AG36</f>
        <v>86.5</v>
      </c>
      <c r="AH15" s="50">
        <f>October!AH36</f>
        <v>246</v>
      </c>
      <c r="AI15" s="50">
        <f>October!AI36</f>
        <v>236.5</v>
      </c>
      <c r="AJ15" s="51">
        <f>October!AJ36</f>
        <v>939</v>
      </c>
    </row>
    <row r="16" spans="2:36">
      <c r="B16" s="148" t="s">
        <v>30</v>
      </c>
      <c r="C16" s="49">
        <f>November!C36</f>
        <v>35</v>
      </c>
      <c r="D16" s="50">
        <f>November!D36</f>
        <v>29</v>
      </c>
      <c r="E16" s="50">
        <f>November!E36</f>
        <v>9</v>
      </c>
      <c r="F16" s="50">
        <f>November!F36</f>
        <v>20</v>
      </c>
      <c r="G16" s="51">
        <f>November!G36</f>
        <v>0</v>
      </c>
      <c r="H16" s="52">
        <f>November!H36</f>
        <v>27</v>
      </c>
      <c r="I16" s="50">
        <f>November!I36</f>
        <v>22</v>
      </c>
      <c r="J16" s="50">
        <f>November!J36</f>
        <v>7</v>
      </c>
      <c r="K16" s="50">
        <f>November!K36</f>
        <v>15</v>
      </c>
      <c r="L16" s="57">
        <f>November!L36</f>
        <v>0</v>
      </c>
      <c r="M16" s="49">
        <f>November!M36</f>
        <v>14</v>
      </c>
      <c r="N16" s="50">
        <f>November!N36</f>
        <v>4</v>
      </c>
      <c r="O16" s="50">
        <f>November!O36</f>
        <v>5</v>
      </c>
      <c r="P16" s="51">
        <f>November!P36</f>
        <v>5</v>
      </c>
      <c r="Q16" s="55">
        <f>November!Q36</f>
        <v>529.7</v>
      </c>
      <c r="R16" s="57">
        <f>November!R36</f>
        <v>116.8</v>
      </c>
      <c r="S16" s="49">
        <f>November!S36</f>
        <v>264</v>
      </c>
      <c r="T16" s="51">
        <f>November!T36</f>
        <v>5321.49</v>
      </c>
      <c r="U16" s="55">
        <f>November!U36</f>
        <v>26466</v>
      </c>
      <c r="V16" s="51">
        <f>November!V36</f>
        <v>2545</v>
      </c>
      <c r="W16" s="55">
        <f>November!W36</f>
        <v>54</v>
      </c>
      <c r="X16" s="50">
        <f>November!X36</f>
        <v>16</v>
      </c>
      <c r="Y16" s="50">
        <f>November!Y36</f>
        <v>25</v>
      </c>
      <c r="Z16" s="50">
        <f>November!Z36</f>
        <v>16</v>
      </c>
      <c r="AA16" s="50">
        <f>November!AA36</f>
        <v>56</v>
      </c>
      <c r="AB16" s="50">
        <f>November!AB36</f>
        <v>58</v>
      </c>
      <c r="AC16" s="57">
        <f>November!AC36</f>
        <v>225</v>
      </c>
      <c r="AD16" s="49">
        <f>November!AD36</f>
        <v>198.5</v>
      </c>
      <c r="AE16" s="50">
        <f>November!AE36</f>
        <v>63</v>
      </c>
      <c r="AF16" s="50">
        <f>November!AF36</f>
        <v>99.5</v>
      </c>
      <c r="AG16" s="50">
        <f>November!AG36</f>
        <v>59</v>
      </c>
      <c r="AH16" s="50">
        <f>November!AH36</f>
        <v>202.5</v>
      </c>
      <c r="AI16" s="50">
        <f>November!AI36</f>
        <v>209.5</v>
      </c>
      <c r="AJ16" s="51">
        <f>November!AJ36</f>
        <v>832</v>
      </c>
    </row>
    <row r="17" ht="17.55" spans="2:36">
      <c r="B17" s="149" t="s">
        <v>31</v>
      </c>
      <c r="C17" s="80">
        <f>December!C36</f>
        <v>33</v>
      </c>
      <c r="D17" s="150">
        <f>December!D36</f>
        <v>25</v>
      </c>
      <c r="E17" s="150">
        <f>December!E36</f>
        <v>9</v>
      </c>
      <c r="F17" s="150">
        <f>December!F36</f>
        <v>16</v>
      </c>
      <c r="G17" s="81">
        <f>December!G36</f>
        <v>0</v>
      </c>
      <c r="H17" s="151">
        <f>December!H36</f>
        <v>39</v>
      </c>
      <c r="I17" s="150">
        <f>December!I36</f>
        <v>30</v>
      </c>
      <c r="J17" s="150">
        <f>December!J36</f>
        <v>7</v>
      </c>
      <c r="K17" s="150">
        <f>December!K36</f>
        <v>23</v>
      </c>
      <c r="L17" s="152">
        <f>December!L36</f>
        <v>0</v>
      </c>
      <c r="M17" s="80">
        <f>December!M36</f>
        <v>15</v>
      </c>
      <c r="N17" s="150">
        <f>December!N36</f>
        <v>10</v>
      </c>
      <c r="O17" s="150">
        <f>December!O36</f>
        <v>3</v>
      </c>
      <c r="P17" s="81">
        <f>December!P36</f>
        <v>3</v>
      </c>
      <c r="Q17" s="78">
        <f>December!Q36</f>
        <v>564.6</v>
      </c>
      <c r="R17" s="152">
        <f>December!R36</f>
        <v>57.3</v>
      </c>
      <c r="S17" s="153">
        <f>December!S36</f>
        <v>253</v>
      </c>
      <c r="T17" s="154">
        <f>December!T36</f>
        <v>5500.47</v>
      </c>
      <c r="U17" s="78">
        <f>December!U36</f>
        <v>24946</v>
      </c>
      <c r="V17" s="81">
        <f>December!V36</f>
        <v>2199</v>
      </c>
      <c r="W17" s="78">
        <f>December!W36</f>
        <v>59</v>
      </c>
      <c r="X17" s="150">
        <f>December!X36</f>
        <v>16</v>
      </c>
      <c r="Y17" s="150">
        <f>December!Y36</f>
        <v>27</v>
      </c>
      <c r="Z17" s="150">
        <f>December!Z36</f>
        <v>16</v>
      </c>
      <c r="AA17" s="150">
        <f>December!AA36</f>
        <v>74</v>
      </c>
      <c r="AB17" s="150">
        <f>December!AB36</f>
        <v>57</v>
      </c>
      <c r="AC17" s="152">
        <f>December!AC36</f>
        <v>249</v>
      </c>
      <c r="AD17" s="153">
        <f>December!AD36</f>
        <v>197</v>
      </c>
      <c r="AE17" s="155">
        <f>December!AE36</f>
        <v>58</v>
      </c>
      <c r="AF17" s="155">
        <f>December!AF36</f>
        <v>98.5</v>
      </c>
      <c r="AG17" s="155">
        <f>December!AG36</f>
        <v>65</v>
      </c>
      <c r="AH17" s="155">
        <f>December!AH36</f>
        <v>263.5</v>
      </c>
      <c r="AI17" s="155">
        <f>December!AI36</f>
        <v>221</v>
      </c>
      <c r="AJ17" s="154">
        <f>December!AJ36</f>
        <v>903</v>
      </c>
    </row>
    <row r="18" s="4" customFormat="1" ht="18.35" spans="2:36">
      <c r="B18" s="156" t="s">
        <v>123</v>
      </c>
      <c r="C18" s="109">
        <f t="shared" ref="C18:S18" si="0">SUM(C6:C17)</f>
        <v>501</v>
      </c>
      <c r="D18" s="110">
        <f t="shared" si="0"/>
        <v>442</v>
      </c>
      <c r="E18" s="110">
        <f t="shared" si="0"/>
        <v>98</v>
      </c>
      <c r="F18" s="110">
        <f t="shared" si="0"/>
        <v>339</v>
      </c>
      <c r="G18" s="111">
        <f t="shared" si="0"/>
        <v>5</v>
      </c>
      <c r="H18" s="114">
        <f t="shared" si="0"/>
        <v>384</v>
      </c>
      <c r="I18" s="114">
        <f t="shared" si="0"/>
        <v>323</v>
      </c>
      <c r="J18" s="110">
        <f t="shared" si="0"/>
        <v>100</v>
      </c>
      <c r="K18" s="110">
        <f t="shared" si="0"/>
        <v>220</v>
      </c>
      <c r="L18" s="116">
        <f t="shared" si="0"/>
        <v>3</v>
      </c>
      <c r="M18" s="109">
        <f t="shared" si="0"/>
        <v>171</v>
      </c>
      <c r="N18" s="110">
        <f t="shared" si="0"/>
        <v>70</v>
      </c>
      <c r="O18" s="110">
        <f t="shared" si="0"/>
        <v>71</v>
      </c>
      <c r="P18" s="111">
        <f t="shared" si="0"/>
        <v>33</v>
      </c>
      <c r="Q18" s="114">
        <f t="shared" si="0"/>
        <v>7603.5</v>
      </c>
      <c r="R18" s="110">
        <f t="shared" si="0"/>
        <v>1138.6</v>
      </c>
      <c r="S18" s="109">
        <f t="shared" si="0"/>
        <v>3168</v>
      </c>
      <c r="T18" s="116">
        <f t="shared" ref="T18:AJ18" si="1">SUM(T6:T17)</f>
        <v>68713.69</v>
      </c>
      <c r="U18" s="109">
        <f t="shared" si="1"/>
        <v>299921</v>
      </c>
      <c r="V18" s="116">
        <f t="shared" si="1"/>
        <v>27204</v>
      </c>
      <c r="W18" s="109">
        <f t="shared" si="1"/>
        <v>666</v>
      </c>
      <c r="X18" s="110">
        <f t="shared" si="1"/>
        <v>209</v>
      </c>
      <c r="Y18" s="110">
        <f t="shared" si="1"/>
        <v>317</v>
      </c>
      <c r="Z18" s="110">
        <f t="shared" si="1"/>
        <v>202</v>
      </c>
      <c r="AA18" s="110">
        <f t="shared" si="1"/>
        <v>771</v>
      </c>
      <c r="AB18" s="110">
        <f t="shared" si="1"/>
        <v>691</v>
      </c>
      <c r="AC18" s="116">
        <f t="shared" si="1"/>
        <v>2856</v>
      </c>
      <c r="AD18" s="104">
        <f t="shared" si="1"/>
        <v>2449.5</v>
      </c>
      <c r="AE18" s="105">
        <f t="shared" si="1"/>
        <v>805.5</v>
      </c>
      <c r="AF18" s="105">
        <f t="shared" si="1"/>
        <v>1176.5</v>
      </c>
      <c r="AG18" s="105">
        <f t="shared" si="1"/>
        <v>767.5</v>
      </c>
      <c r="AH18" s="105">
        <f t="shared" si="1"/>
        <v>2889</v>
      </c>
      <c r="AI18" s="105">
        <f t="shared" si="1"/>
        <v>2577.5</v>
      </c>
      <c r="AJ18" s="106">
        <f t="shared" si="1"/>
        <v>10665.5</v>
      </c>
    </row>
    <row r="19" spans="2:36">
      <c r="L19" s="5"/>
      <c r="W19" s="2"/>
    </row>
    <row r="20" spans="2:36">
      <c r="L20" s="5"/>
      <c r="W20" s="2"/>
    </row>
    <row r="21" spans="2:36">
      <c r="L21" s="5"/>
      <c r="W21" s="2"/>
    </row>
    <row r="22" spans="2:36">
      <c r="L22" s="5"/>
      <c r="W22" s="2"/>
    </row>
    <row r="23" spans="2:36">
      <c r="L23" s="5"/>
      <c r="W23" s="2"/>
    </row>
    <row r="24" spans="2:36">
      <c r="L24" s="5"/>
      <c r="W24" s="2"/>
    </row>
    <row r="25" spans="2:36">
      <c r="L25" s="5"/>
      <c r="W25" s="2"/>
    </row>
    <row r="26" spans="2:36">
      <c r="L26" s="5"/>
      <c r="W26" s="2"/>
    </row>
    <row r="27" spans="2:36">
      <c r="L27" s="5"/>
      <c r="W27" s="2"/>
    </row>
    <row r="28" spans="2:36">
      <c r="L28" s="5"/>
      <c r="W28" s="2"/>
    </row>
    <row r="29" spans="2:36">
      <c r="L29" s="5"/>
      <c r="W29" s="2"/>
    </row>
    <row r="30" spans="2:36">
      <c r="L30" s="5"/>
      <c r="W30" s="2"/>
    </row>
    <row r="31" spans="2:36">
      <c r="L31" s="5"/>
      <c r="W31" s="2"/>
    </row>
    <row r="32" spans="2:36">
      <c r="L32" s="5"/>
      <c r="W32" s="2"/>
    </row>
    <row r="33" spans="12:23">
      <c r="L33" s="5"/>
      <c r="W33" s="2"/>
    </row>
    <row r="34" spans="12:23">
      <c r="L34" s="5"/>
      <c r="W34" s="2"/>
    </row>
    <row r="35" spans="12:23">
      <c r="L35" s="5"/>
      <c r="W35" s="2"/>
    </row>
    <row r="36" spans="12:23">
      <c r="L36" s="5"/>
      <c r="W36" s="2"/>
    </row>
    <row r="37" spans="12:23">
      <c r="O37" s="5"/>
      <c r="W37" s="2"/>
    </row>
    <row r="38" spans="12:23">
      <c r="O38" s="5"/>
      <c r="W38" s="2"/>
    </row>
    <row r="39" spans="12:23">
      <c r="O39" s="5"/>
      <c r="W39" s="2"/>
    </row>
    <row r="40" spans="12:23">
      <c r="O40" s="5"/>
      <c r="W40" s="2"/>
    </row>
    <row r="41" spans="12:23">
      <c r="O41" s="5"/>
      <c r="W41" s="2"/>
    </row>
    <row r="42" spans="12:23">
      <c r="O42" s="5"/>
      <c r="W42" s="2"/>
    </row>
    <row r="43" spans="12:23">
      <c r="O43" s="5"/>
      <c r="W43" s="2"/>
    </row>
    <row r="44" spans="12:23">
      <c r="O44" s="5"/>
      <c r="W44" s="2"/>
    </row>
    <row r="45" spans="12:23">
      <c r="W45" s="2"/>
    </row>
    <row r="46" spans="12:23">
      <c r="W46" s="2"/>
    </row>
    <row r="47" spans="12:23">
      <c r="W47" s="2"/>
    </row>
    <row r="48" spans="12:23">
      <c r="W48" s="2"/>
    </row>
    <row r="49" spans="23:23">
      <c r="W49" s="2"/>
    </row>
    <row r="50" spans="23:23">
      <c r="W50" s="2"/>
    </row>
    <row r="51" spans="23:23">
      <c r="W51" s="2"/>
    </row>
    <row r="52" spans="23:23">
      <c r="W52" s="2"/>
    </row>
    <row r="53" spans="23:23">
      <c r="W53" s="2"/>
    </row>
    <row r="54" spans="23:23">
      <c r="W54" s="2"/>
    </row>
    <row r="55" spans="23:23">
      <c r="W55" s="2"/>
    </row>
    <row r="56" spans="23:23">
      <c r="W56" s="2"/>
    </row>
    <row r="57" spans="23:23">
      <c r="W57" s="2"/>
    </row>
    <row r="58" spans="23:23">
      <c r="W58" s="2"/>
    </row>
    <row r="59" spans="23:23">
      <c r="W59" s="2"/>
    </row>
    <row r="60" spans="23:23">
      <c r="W60" s="2"/>
    </row>
    <row r="61" spans="23:23">
      <c r="W61" s="2"/>
    </row>
    <row r="62" spans="23:23">
      <c r="W62" s="2"/>
    </row>
    <row r="63" spans="23:23">
      <c r="W63" s="2"/>
    </row>
    <row r="64" spans="23:23">
      <c r="W64" s="2"/>
    </row>
    <row r="65" spans="23:23">
      <c r="W65" s="2"/>
    </row>
    <row r="66" spans="23:23">
      <c r="W66" s="2"/>
    </row>
    <row r="67" spans="23:23">
      <c r="W67" s="2"/>
    </row>
    <row r="68" spans="23:23">
      <c r="W68" s="2"/>
    </row>
    <row r="69" spans="23:23">
      <c r="W69" s="2"/>
    </row>
    <row r="70" spans="23:23">
      <c r="W70" s="2"/>
    </row>
    <row r="71" spans="23:23">
      <c r="W71" s="2"/>
    </row>
    <row r="72" spans="23:23">
      <c r="W72" s="2"/>
    </row>
    <row r="73" spans="23:23">
      <c r="W73" s="2"/>
    </row>
    <row r="74" spans="23:23">
      <c r="W74" s="2"/>
    </row>
    <row r="75" spans="23:23">
      <c r="W75" s="2"/>
    </row>
    <row r="76" spans="23:23">
      <c r="W76" s="2"/>
    </row>
    <row r="77" spans="23:23">
      <c r="W77" s="2"/>
    </row>
    <row r="78" spans="23:23">
      <c r="W78" s="2"/>
    </row>
  </sheetData>
  <mergeCells count="9">
    <mergeCell ref="C4:G4"/>
    <mergeCell ref="H4:L4"/>
    <mergeCell ref="M4:P4"/>
    <mergeCell ref="Q4:R4"/>
    <mergeCell ref="S4:T4"/>
    <mergeCell ref="U4:V4"/>
    <mergeCell ref="W4:AC4"/>
    <mergeCell ref="AD4:AJ4"/>
    <mergeCell ref="E1:Z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90"/>
  <sheetViews>
    <sheetView workbookViewId="0">
      <selection activeCell="A1" sqref="A1"/>
    </sheetView>
  </sheetViews>
  <sheetFormatPr defaultColWidth="13.6923076923077" defaultRowHeight="16.8"/>
  <cols>
    <col min="1" max="1" width="3.68269230769231" style="2" customWidth="1"/>
    <col min="2" max="22" width="13.6923076923077" style="2" customWidth="1"/>
    <col min="23" max="23" width="13.6923076923077" style="5" customWidth="1"/>
    <col min="24" max="16384" width="13.6923076923077" style="2" customWidth="1"/>
  </cols>
  <sheetData>
    <row r="1" spans="1:36">
      <c r="C1" s="6" t="s">
        <v>104</v>
      </c>
      <c r="D1" s="127"/>
      <c r="E1" s="6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36"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7.55"/>
    <row r="4" s="1" customFormat="1" ht="17.55" spans="1:36">
      <c r="C4" s="8" t="s">
        <v>105</v>
      </c>
      <c r="D4" s="9"/>
      <c r="E4" s="9"/>
      <c r="F4" s="9"/>
      <c r="G4" s="9"/>
      <c r="H4" s="8" t="s">
        <v>106</v>
      </c>
      <c r="I4" s="9"/>
      <c r="J4" s="9"/>
      <c r="K4" s="9"/>
      <c r="L4" s="9"/>
      <c r="M4" s="8" t="s">
        <v>107</v>
      </c>
      <c r="N4" s="9"/>
      <c r="O4" s="9"/>
      <c r="P4" s="11"/>
      <c r="Q4" s="15" t="s">
        <v>124</v>
      </c>
      <c r="R4" s="15"/>
      <c r="S4" s="8" t="s">
        <v>109</v>
      </c>
      <c r="T4" s="11"/>
      <c r="U4" s="13" t="s">
        <v>110</v>
      </c>
      <c r="V4" s="132"/>
      <c r="W4" s="13" t="s">
        <v>111</v>
      </c>
      <c r="X4" s="133"/>
      <c r="Y4" s="133"/>
      <c r="Z4" s="133"/>
      <c r="AA4" s="133"/>
      <c r="AB4" s="133"/>
      <c r="AC4" s="132"/>
      <c r="AD4" s="13" t="s">
        <v>112</v>
      </c>
      <c r="AE4" s="133"/>
      <c r="AF4" s="133"/>
      <c r="AG4" s="133"/>
      <c r="AH4" s="133"/>
      <c r="AI4" s="133"/>
      <c r="AJ4" s="14"/>
    </row>
    <row r="5" s="2" customFormat="1" ht="17.55" spans="1:36">
      <c r="A5" s="16" t="s">
        <v>113</v>
      </c>
      <c r="B5" s="119" t="s">
        <v>125</v>
      </c>
      <c r="C5" s="18" t="s">
        <v>47</v>
      </c>
      <c r="D5" s="19" t="s">
        <v>114</v>
      </c>
      <c r="E5" s="20" t="s">
        <v>40</v>
      </c>
      <c r="F5" s="19" t="s">
        <v>41</v>
      </c>
      <c r="G5" s="134" t="s">
        <v>42</v>
      </c>
      <c r="H5" s="18" t="s">
        <v>47</v>
      </c>
      <c r="I5" s="19" t="s">
        <v>114</v>
      </c>
      <c r="J5" s="20" t="s">
        <v>40</v>
      </c>
      <c r="K5" s="20" t="s">
        <v>41</v>
      </c>
      <c r="L5" s="28" t="s">
        <v>42</v>
      </c>
      <c r="M5" s="18" t="s">
        <v>47</v>
      </c>
      <c r="N5" s="20" t="s">
        <v>48</v>
      </c>
      <c r="O5" s="20" t="s">
        <v>49</v>
      </c>
      <c r="P5" s="134" t="s">
        <v>50</v>
      </c>
      <c r="Q5" s="19" t="s">
        <v>115</v>
      </c>
      <c r="R5" s="20" t="s">
        <v>116</v>
      </c>
      <c r="S5" s="135" t="s">
        <v>72</v>
      </c>
      <c r="T5" s="136" t="s">
        <v>73</v>
      </c>
      <c r="U5" s="18" t="s">
        <v>74</v>
      </c>
      <c r="V5" s="28" t="s">
        <v>75</v>
      </c>
      <c r="W5" s="25" t="s">
        <v>117</v>
      </c>
      <c r="X5" s="23" t="s">
        <v>118</v>
      </c>
      <c r="Y5" s="23" t="s">
        <v>119</v>
      </c>
      <c r="Z5" s="23" t="s">
        <v>110</v>
      </c>
      <c r="AA5" s="23" t="s">
        <v>120</v>
      </c>
      <c r="AB5" s="23" t="s">
        <v>121</v>
      </c>
      <c r="AC5" s="24" t="s">
        <v>39</v>
      </c>
      <c r="AD5" s="25" t="s">
        <v>117</v>
      </c>
      <c r="AE5" s="23" t="s">
        <v>118</v>
      </c>
      <c r="AF5" s="23" t="s">
        <v>122</v>
      </c>
      <c r="AG5" s="23" t="s">
        <v>110</v>
      </c>
      <c r="AH5" s="23" t="s">
        <v>120</v>
      </c>
      <c r="AI5" s="23" t="s">
        <v>121</v>
      </c>
      <c r="AJ5" s="26" t="s">
        <v>39</v>
      </c>
    </row>
    <row r="6" spans="1:36">
      <c r="A6" s="137" t="s">
        <v>20</v>
      </c>
      <c r="B6" s="35" t="s">
        <v>96</v>
      </c>
      <c r="C6" s="31">
        <f>January!C11</f>
        <v>6</v>
      </c>
      <c r="D6" s="32">
        <f>January!D11</f>
        <v>6</v>
      </c>
      <c r="E6" s="32">
        <f>January!E11</f>
        <v>1</v>
      </c>
      <c r="F6" s="32">
        <f>January!F11</f>
        <v>5</v>
      </c>
      <c r="G6" s="35">
        <f>January!G11</f>
        <v>0</v>
      </c>
      <c r="H6" s="31">
        <f>January!H11</f>
        <v>1</v>
      </c>
      <c r="I6" s="32">
        <f>January!I11</f>
        <v>0</v>
      </c>
      <c r="J6" s="32">
        <f>January!J11</f>
        <v>0</v>
      </c>
      <c r="K6" s="32">
        <f>January!K11</f>
        <v>0</v>
      </c>
      <c r="L6" s="33">
        <f>January!L11</f>
        <v>0</v>
      </c>
      <c r="M6" s="34">
        <f>January!M11</f>
        <v>2</v>
      </c>
      <c r="N6" s="32">
        <f>January!N11</f>
        <v>1</v>
      </c>
      <c r="O6" s="32">
        <f>January!O11</f>
        <v>0</v>
      </c>
      <c r="P6" s="33">
        <f>January!P11</f>
        <v>0</v>
      </c>
      <c r="Q6" s="34">
        <f>January!Q11</f>
        <v>55.6</v>
      </c>
      <c r="R6" s="32">
        <f>January!R11</f>
        <v>0</v>
      </c>
      <c r="S6" s="34">
        <f>January!S11</f>
        <v>20</v>
      </c>
      <c r="T6" s="35">
        <f>January!T11</f>
        <v>528.93</v>
      </c>
      <c r="U6" s="31">
        <f>January!U11</f>
        <v>2447</v>
      </c>
      <c r="V6" s="33">
        <f>January!V11</f>
        <v>238</v>
      </c>
      <c r="W6" s="34">
        <f>January!W11</f>
        <v>5</v>
      </c>
      <c r="X6" s="32">
        <f>January!X11</f>
        <v>3</v>
      </c>
      <c r="Y6" s="32">
        <f>January!Y11</f>
        <v>2</v>
      </c>
      <c r="Z6" s="32">
        <f>January!Z11</f>
        <v>0</v>
      </c>
      <c r="AA6" s="32">
        <f>January!AA11</f>
        <v>5</v>
      </c>
      <c r="AB6" s="32">
        <f>January!AB11</f>
        <v>4</v>
      </c>
      <c r="AC6" s="33">
        <f>January!AC11</f>
        <v>19</v>
      </c>
      <c r="AD6" s="31">
        <f>January!AD11</f>
        <v>22</v>
      </c>
      <c r="AE6" s="32">
        <f>January!AE11</f>
        <v>11.5</v>
      </c>
      <c r="AF6" s="32">
        <f>January!AF11</f>
        <v>9</v>
      </c>
      <c r="AG6" s="32">
        <f>January!AG11</f>
        <v>0</v>
      </c>
      <c r="AH6" s="32">
        <f>January!AH11</f>
        <v>24</v>
      </c>
      <c r="AI6" s="32">
        <f>January!AI11</f>
        <v>11.5</v>
      </c>
      <c r="AJ6" s="33">
        <f>January!AJ11</f>
        <v>78</v>
      </c>
    </row>
    <row r="7" spans="1:36">
      <c r="A7" s="29"/>
      <c r="B7" s="57" t="s">
        <v>97</v>
      </c>
      <c r="C7" s="49">
        <f>January!C17</f>
        <v>7</v>
      </c>
      <c r="D7" s="50">
        <f>January!D17</f>
        <v>5</v>
      </c>
      <c r="E7" s="50">
        <f>January!E17</f>
        <v>2</v>
      </c>
      <c r="F7" s="50">
        <f>January!F17</f>
        <v>3</v>
      </c>
      <c r="G7" s="57">
        <f>January!G17</f>
        <v>0</v>
      </c>
      <c r="H7" s="49">
        <f>January!H17</f>
        <v>10</v>
      </c>
      <c r="I7" s="50">
        <f>January!I17</f>
        <v>8</v>
      </c>
      <c r="J7" s="50">
        <f>January!J17</f>
        <v>4</v>
      </c>
      <c r="K7" s="50">
        <f>January!K17</f>
        <v>4</v>
      </c>
      <c r="L7" s="51">
        <f>January!L17</f>
        <v>0</v>
      </c>
      <c r="M7" s="55">
        <f>January!M17</f>
        <v>2</v>
      </c>
      <c r="N7" s="50">
        <f>January!N17</f>
        <v>1</v>
      </c>
      <c r="O7" s="50">
        <f>January!O17</f>
        <v>3</v>
      </c>
      <c r="P7" s="51">
        <f>January!P17</f>
        <v>0</v>
      </c>
      <c r="Q7" s="55">
        <f>January!Q17</f>
        <v>150.8</v>
      </c>
      <c r="R7" s="50">
        <f>January!R17</f>
        <v>40.5</v>
      </c>
      <c r="S7" s="55">
        <f>January!S17</f>
        <v>65</v>
      </c>
      <c r="T7" s="57">
        <f>January!T17</f>
        <v>1185.2</v>
      </c>
      <c r="U7" s="49">
        <f>January!U17</f>
        <v>5513</v>
      </c>
      <c r="V7" s="51">
        <f>January!V17</f>
        <v>533</v>
      </c>
      <c r="W7" s="55">
        <f>January!W17</f>
        <v>13</v>
      </c>
      <c r="X7" s="50">
        <f>January!X17</f>
        <v>3</v>
      </c>
      <c r="Y7" s="50">
        <f>January!Y17</f>
        <v>5</v>
      </c>
      <c r="Z7" s="50">
        <f>January!Z17</f>
        <v>2</v>
      </c>
      <c r="AA7" s="50">
        <f>January!AA17</f>
        <v>13</v>
      </c>
      <c r="AB7" s="50">
        <f>January!AB17</f>
        <v>14</v>
      </c>
      <c r="AC7" s="51">
        <f>January!AC17</f>
        <v>50</v>
      </c>
      <c r="AD7" s="49">
        <f>January!AD17</f>
        <v>41.5</v>
      </c>
      <c r="AE7" s="50">
        <f>January!AE17</f>
        <v>10.5</v>
      </c>
      <c r="AF7" s="50">
        <f>January!AF17</f>
        <v>20.5</v>
      </c>
      <c r="AG7" s="50">
        <f>January!AG17</f>
        <v>5.5</v>
      </c>
      <c r="AH7" s="50">
        <f>January!AH17</f>
        <v>39.5</v>
      </c>
      <c r="AI7" s="50">
        <f>January!AI17</f>
        <v>50</v>
      </c>
      <c r="AJ7" s="51">
        <f>January!AJ17</f>
        <v>167.5</v>
      </c>
    </row>
    <row r="8" spans="1:36">
      <c r="A8" s="29"/>
      <c r="B8" s="57" t="s">
        <v>98</v>
      </c>
      <c r="C8" s="49">
        <f>January!C23</f>
        <v>12</v>
      </c>
      <c r="D8" s="50">
        <f>January!D23</f>
        <v>12</v>
      </c>
      <c r="E8" s="50">
        <f>January!E23</f>
        <v>2</v>
      </c>
      <c r="F8" s="50">
        <f>January!F23</f>
        <v>10</v>
      </c>
      <c r="G8" s="57">
        <f>January!G23</f>
        <v>0</v>
      </c>
      <c r="H8" s="49">
        <f>January!H23</f>
        <v>7</v>
      </c>
      <c r="I8" s="50">
        <f>January!I23</f>
        <v>5</v>
      </c>
      <c r="J8" s="50">
        <f>January!J23</f>
        <v>0</v>
      </c>
      <c r="K8" s="50">
        <f>January!K23</f>
        <v>5</v>
      </c>
      <c r="L8" s="51">
        <f>January!L23</f>
        <v>0</v>
      </c>
      <c r="M8" s="55">
        <f>January!M23</f>
        <v>4</v>
      </c>
      <c r="N8" s="50">
        <f>January!N23</f>
        <v>2</v>
      </c>
      <c r="O8" s="50">
        <f>January!O23</f>
        <v>2</v>
      </c>
      <c r="P8" s="51">
        <f>January!P23</f>
        <v>1</v>
      </c>
      <c r="Q8" s="55">
        <f>January!Q23</f>
        <v>84.9</v>
      </c>
      <c r="R8" s="50">
        <f>January!R23</f>
        <v>41.3</v>
      </c>
      <c r="S8" s="55">
        <f>January!S23</f>
        <v>57</v>
      </c>
      <c r="T8" s="57">
        <f>January!T23</f>
        <v>1379.04</v>
      </c>
      <c r="U8" s="49">
        <f>January!U23</f>
        <v>5083</v>
      </c>
      <c r="V8" s="51">
        <f>January!V23</f>
        <v>472</v>
      </c>
      <c r="W8" s="55">
        <f>January!W23</f>
        <v>16</v>
      </c>
      <c r="X8" s="50">
        <f>January!X23</f>
        <v>4</v>
      </c>
      <c r="Y8" s="50">
        <f>January!Y23</f>
        <v>6</v>
      </c>
      <c r="Z8" s="50">
        <f>January!Z23</f>
        <v>5</v>
      </c>
      <c r="AA8" s="50">
        <f>January!AA23</f>
        <v>20</v>
      </c>
      <c r="AB8" s="50">
        <f>January!AB23</f>
        <v>15</v>
      </c>
      <c r="AC8" s="51">
        <f>January!AC23</f>
        <v>66</v>
      </c>
      <c r="AD8" s="49">
        <f>January!AD23</f>
        <v>56.5</v>
      </c>
      <c r="AE8" s="50">
        <f>January!AE23</f>
        <v>13.5</v>
      </c>
      <c r="AF8" s="50">
        <f>January!AF23</f>
        <v>24</v>
      </c>
      <c r="AG8" s="50">
        <f>January!AG23</f>
        <v>18.5</v>
      </c>
      <c r="AH8" s="50">
        <f>January!AH23</f>
        <v>80</v>
      </c>
      <c r="AI8" s="50">
        <f>January!AI23</f>
        <v>67</v>
      </c>
      <c r="AJ8" s="51">
        <f>January!AJ23</f>
        <v>259.5</v>
      </c>
    </row>
    <row r="9" spans="1:36">
      <c r="A9" s="29"/>
      <c r="B9" s="57" t="s">
        <v>99</v>
      </c>
      <c r="C9" s="49">
        <f>January!C29</f>
        <v>12</v>
      </c>
      <c r="D9" s="50">
        <f>January!D29</f>
        <v>8</v>
      </c>
      <c r="E9" s="50">
        <f>January!E29</f>
        <v>3</v>
      </c>
      <c r="F9" s="50">
        <f>January!F29</f>
        <v>5</v>
      </c>
      <c r="G9" s="57">
        <f>January!G29</f>
        <v>0</v>
      </c>
      <c r="H9" s="49">
        <f>January!H29</f>
        <v>9</v>
      </c>
      <c r="I9" s="50">
        <f>January!I29</f>
        <v>8</v>
      </c>
      <c r="J9" s="50">
        <f>January!J29</f>
        <v>1</v>
      </c>
      <c r="K9" s="50">
        <f>January!K29</f>
        <v>7</v>
      </c>
      <c r="L9" s="51">
        <f>January!L29</f>
        <v>0</v>
      </c>
      <c r="M9" s="55">
        <f>January!M29</f>
        <v>6</v>
      </c>
      <c r="N9" s="50">
        <f>January!N29</f>
        <v>1</v>
      </c>
      <c r="O9" s="50">
        <f>January!O29</f>
        <v>1</v>
      </c>
      <c r="P9" s="51">
        <f>January!P29</f>
        <v>0</v>
      </c>
      <c r="Q9" s="55">
        <f>January!Q29</f>
        <v>190.5</v>
      </c>
      <c r="R9" s="50">
        <f>January!R29</f>
        <v>31.7</v>
      </c>
      <c r="S9" s="55">
        <f>January!S29</f>
        <v>65</v>
      </c>
      <c r="T9" s="57">
        <f>January!T29</f>
        <v>1559.63</v>
      </c>
      <c r="U9" s="49">
        <f>January!U29</f>
        <v>7736</v>
      </c>
      <c r="V9" s="51">
        <f>January!V29</f>
        <v>641</v>
      </c>
      <c r="W9" s="55">
        <f>January!W29</f>
        <v>15</v>
      </c>
      <c r="X9" s="50">
        <f>January!X29</f>
        <v>4</v>
      </c>
      <c r="Y9" s="50">
        <f>January!Y29</f>
        <v>8</v>
      </c>
      <c r="Z9" s="50">
        <f>January!Z29</f>
        <v>3</v>
      </c>
      <c r="AA9" s="50">
        <f>January!AA29</f>
        <v>16</v>
      </c>
      <c r="AB9" s="50">
        <f>January!AB29</f>
        <v>10</v>
      </c>
      <c r="AC9" s="51">
        <f>January!AC29</f>
        <v>56</v>
      </c>
      <c r="AD9" s="49">
        <f>January!AD29</f>
        <v>64</v>
      </c>
      <c r="AE9" s="50">
        <f>January!AE29</f>
        <v>19.5</v>
      </c>
      <c r="AF9" s="50">
        <f>January!AF29</f>
        <v>29.5</v>
      </c>
      <c r="AG9" s="50">
        <f>January!AG29</f>
        <v>9.5</v>
      </c>
      <c r="AH9" s="50">
        <f>January!AH29</f>
        <v>61.5</v>
      </c>
      <c r="AI9" s="50">
        <f>January!AI29</f>
        <v>45</v>
      </c>
      <c r="AJ9" s="51">
        <f>January!AJ29</f>
        <v>229</v>
      </c>
    </row>
    <row r="10" spans="1:36">
      <c r="A10" s="62"/>
      <c r="B10" s="57" t="s">
        <v>100</v>
      </c>
      <c r="C10" s="49">
        <f>January!C35</f>
        <v>9</v>
      </c>
      <c r="D10" s="50">
        <f>January!D35</f>
        <v>8</v>
      </c>
      <c r="E10" s="50">
        <f>January!E35</f>
        <v>0</v>
      </c>
      <c r="F10" s="50">
        <f>January!F35</f>
        <v>8</v>
      </c>
      <c r="G10" s="57">
        <f>January!G35</f>
        <v>0</v>
      </c>
      <c r="H10" s="49">
        <f>January!H35</f>
        <v>6</v>
      </c>
      <c r="I10" s="50">
        <f>January!I35</f>
        <v>6</v>
      </c>
      <c r="J10" s="50">
        <f>January!J35</f>
        <v>2</v>
      </c>
      <c r="K10" s="50">
        <f>January!K35</f>
        <v>4</v>
      </c>
      <c r="L10" s="51">
        <f>January!L35</f>
        <v>0</v>
      </c>
      <c r="M10" s="55">
        <f>January!M35</f>
        <v>5</v>
      </c>
      <c r="N10" s="50">
        <f>January!N35</f>
        <v>1</v>
      </c>
      <c r="O10" s="50">
        <f>January!O35</f>
        <v>0</v>
      </c>
      <c r="P10" s="51">
        <f>January!P35</f>
        <v>1</v>
      </c>
      <c r="Q10" s="55">
        <f>January!Q35</f>
        <v>186.2</v>
      </c>
      <c r="R10" s="50">
        <f>January!R35</f>
        <v>26</v>
      </c>
      <c r="S10" s="55">
        <f>January!S35</f>
        <v>67</v>
      </c>
      <c r="T10" s="57">
        <f>January!T35</f>
        <v>1660.66</v>
      </c>
      <c r="U10" s="49">
        <f>January!U35</f>
        <v>6894</v>
      </c>
      <c r="V10" s="51">
        <f>January!V35</f>
        <v>700</v>
      </c>
      <c r="W10" s="55">
        <f>January!W35</f>
        <v>12</v>
      </c>
      <c r="X10" s="50">
        <f>January!X35</f>
        <v>7</v>
      </c>
      <c r="Y10" s="50">
        <f>January!Y35</f>
        <v>3</v>
      </c>
      <c r="Z10" s="50">
        <f>January!Z35</f>
        <v>6</v>
      </c>
      <c r="AA10" s="50">
        <f>January!AA35</f>
        <v>12</v>
      </c>
      <c r="AB10" s="50">
        <f>January!AB35</f>
        <v>12</v>
      </c>
      <c r="AC10" s="51">
        <f>January!AC35</f>
        <v>52</v>
      </c>
      <c r="AD10" s="49">
        <f>January!AD35</f>
        <v>39</v>
      </c>
      <c r="AE10" s="50">
        <f>January!AE35</f>
        <v>27</v>
      </c>
      <c r="AF10" s="50">
        <f>January!AF35</f>
        <v>10.5</v>
      </c>
      <c r="AG10" s="50">
        <f>January!AG35</f>
        <v>29</v>
      </c>
      <c r="AH10" s="50">
        <f>January!AH35</f>
        <v>46.5</v>
      </c>
      <c r="AI10" s="50">
        <f>January!AI35</f>
        <v>45</v>
      </c>
      <c r="AJ10" s="51">
        <f>January!AJ35</f>
        <v>197</v>
      </c>
    </row>
    <row r="11" spans="1:36">
      <c r="A11" s="63" t="s">
        <v>126</v>
      </c>
      <c r="B11" s="64"/>
      <c r="C11" s="65">
        <f>SUM(C6:C10)</f>
        <v>46</v>
      </c>
      <c r="D11" s="66">
        <f>SUM(D6:D10)</f>
        <v>39</v>
      </c>
      <c r="E11" s="66">
        <f>SUM(E6:E10)</f>
        <v>8</v>
      </c>
      <c r="F11" s="66">
        <f>SUM(F6:F10)</f>
        <v>31</v>
      </c>
      <c r="G11" s="74">
        <f>SUM(G6:G10)</f>
        <v>0</v>
      </c>
      <c r="H11" s="65">
        <f t="shared" ref="H11:T11" si="0">SUM(H6:H10)</f>
        <v>33</v>
      </c>
      <c r="I11" s="66">
        <f t="shared" si="0"/>
        <v>27</v>
      </c>
      <c r="J11" s="66">
        <f t="shared" si="0"/>
        <v>7</v>
      </c>
      <c r="K11" s="66">
        <f t="shared" si="0"/>
        <v>20</v>
      </c>
      <c r="L11" s="67">
        <f t="shared" si="0"/>
        <v>0</v>
      </c>
      <c r="M11" s="72">
        <f t="shared" si="0"/>
        <v>19</v>
      </c>
      <c r="N11" s="66">
        <f t="shared" si="0"/>
        <v>6</v>
      </c>
      <c r="O11" s="66">
        <f t="shared" si="0"/>
        <v>6</v>
      </c>
      <c r="P11" s="67">
        <f t="shared" si="0"/>
        <v>2</v>
      </c>
      <c r="Q11" s="72">
        <f t="shared" si="0"/>
        <v>668</v>
      </c>
      <c r="R11" s="66">
        <f t="shared" si="0"/>
        <v>139.5</v>
      </c>
      <c r="S11" s="72">
        <f t="shared" si="0"/>
        <v>274</v>
      </c>
      <c r="T11" s="74">
        <f t="shared" si="0"/>
        <v>6313.46</v>
      </c>
      <c r="U11" s="65">
        <f t="shared" ref="U11:AJ11" si="1">SUM(U6:U10)</f>
        <v>27673</v>
      </c>
      <c r="V11" s="67">
        <f t="shared" si="1"/>
        <v>2584</v>
      </c>
      <c r="W11" s="72">
        <f t="shared" si="1"/>
        <v>61</v>
      </c>
      <c r="X11" s="66">
        <f t="shared" si="1"/>
        <v>21</v>
      </c>
      <c r="Y11" s="66">
        <f t="shared" si="1"/>
        <v>24</v>
      </c>
      <c r="Z11" s="66">
        <f t="shared" si="1"/>
        <v>16</v>
      </c>
      <c r="AA11" s="66">
        <f t="shared" si="1"/>
        <v>66</v>
      </c>
      <c r="AB11" s="66">
        <f t="shared" si="1"/>
        <v>55</v>
      </c>
      <c r="AC11" s="67">
        <f t="shared" si="1"/>
        <v>243</v>
      </c>
      <c r="AD11" s="65">
        <f t="shared" si="1"/>
        <v>223</v>
      </c>
      <c r="AE11" s="66">
        <f t="shared" si="1"/>
        <v>82</v>
      </c>
      <c r="AF11" s="66">
        <f t="shared" si="1"/>
        <v>93.5</v>
      </c>
      <c r="AG11" s="66">
        <f t="shared" si="1"/>
        <v>62.5</v>
      </c>
      <c r="AH11" s="66">
        <f t="shared" si="1"/>
        <v>251.5</v>
      </c>
      <c r="AI11" s="66">
        <f t="shared" si="1"/>
        <v>218.5</v>
      </c>
      <c r="AJ11" s="67">
        <f t="shared" si="1"/>
        <v>931</v>
      </c>
    </row>
    <row r="12" spans="1:36">
      <c r="A12" s="138" t="s">
        <v>21</v>
      </c>
      <c r="B12" s="57" t="s">
        <v>127</v>
      </c>
      <c r="C12" s="49">
        <f>February!C11</f>
        <v>12</v>
      </c>
      <c r="D12" s="50">
        <f>February!D11</f>
        <v>9</v>
      </c>
      <c r="E12" s="50">
        <f>February!E11</f>
        <v>3</v>
      </c>
      <c r="F12" s="50">
        <f>February!F11</f>
        <v>6</v>
      </c>
      <c r="G12" s="57">
        <f>February!G11</f>
        <v>0</v>
      </c>
      <c r="H12" s="49">
        <f>February!H11</f>
        <v>11</v>
      </c>
      <c r="I12" s="50">
        <f>February!I11</f>
        <v>9</v>
      </c>
      <c r="J12" s="50">
        <f>February!J11</f>
        <v>1</v>
      </c>
      <c r="K12" s="50">
        <f>February!K11</f>
        <v>8</v>
      </c>
      <c r="L12" s="51">
        <f>February!L11</f>
        <v>0</v>
      </c>
      <c r="M12" s="55">
        <f>February!M11</f>
        <v>3</v>
      </c>
      <c r="N12" s="50">
        <f>February!N11</f>
        <v>1</v>
      </c>
      <c r="O12" s="50">
        <f>February!O11</f>
        <v>0</v>
      </c>
      <c r="P12" s="51">
        <f>February!P11</f>
        <v>0</v>
      </c>
      <c r="Q12" s="55">
        <f>February!Q11</f>
        <v>146.9</v>
      </c>
      <c r="R12" s="50">
        <f>February!R11</f>
        <v>2.3</v>
      </c>
      <c r="S12" s="55">
        <f>February!S11</f>
        <v>79</v>
      </c>
      <c r="T12" s="57">
        <f>February!T11</f>
        <v>1811.53</v>
      </c>
      <c r="U12" s="49">
        <f>February!U11</f>
        <v>6482</v>
      </c>
      <c r="V12" s="51">
        <f>February!V11</f>
        <v>739</v>
      </c>
      <c r="W12" s="55">
        <f>February!W11</f>
        <v>12</v>
      </c>
      <c r="X12" s="50">
        <f>February!X11</f>
        <v>2</v>
      </c>
      <c r="Y12" s="50">
        <f>February!Y11</f>
        <v>6</v>
      </c>
      <c r="Z12" s="50">
        <f>February!Z11</f>
        <v>5</v>
      </c>
      <c r="AA12" s="50">
        <f>February!AA11</f>
        <v>21</v>
      </c>
      <c r="AB12" s="50">
        <f>February!AB11</f>
        <v>17</v>
      </c>
      <c r="AC12" s="51">
        <f>February!AC11</f>
        <v>63</v>
      </c>
      <c r="AD12" s="49">
        <f>February!AD11</f>
        <v>42.5</v>
      </c>
      <c r="AE12" s="50">
        <f>February!AE11</f>
        <v>10.5</v>
      </c>
      <c r="AF12" s="50">
        <f>February!AF11</f>
        <v>26.5</v>
      </c>
      <c r="AG12" s="50">
        <f>February!AG11</f>
        <v>18</v>
      </c>
      <c r="AH12" s="50">
        <f>February!AH11</f>
        <v>78</v>
      </c>
      <c r="AI12" s="50">
        <f>February!AI11</f>
        <v>53</v>
      </c>
      <c r="AJ12" s="51">
        <f>February!AJ11</f>
        <v>228.5</v>
      </c>
    </row>
    <row r="13" spans="1:36">
      <c r="A13" s="139"/>
      <c r="B13" s="57" t="s">
        <v>128</v>
      </c>
      <c r="C13" s="49">
        <f>February!C17</f>
        <v>12</v>
      </c>
      <c r="D13" s="50">
        <f>February!D17</f>
        <v>10</v>
      </c>
      <c r="E13" s="50">
        <f>February!E17</f>
        <v>3</v>
      </c>
      <c r="F13" s="50">
        <f>February!F17</f>
        <v>7</v>
      </c>
      <c r="G13" s="57">
        <f>February!G17</f>
        <v>0</v>
      </c>
      <c r="H13" s="49">
        <f>February!H17</f>
        <v>9</v>
      </c>
      <c r="I13" s="50">
        <f>February!I17</f>
        <v>7</v>
      </c>
      <c r="J13" s="50">
        <f>February!J17</f>
        <v>2</v>
      </c>
      <c r="K13" s="50">
        <f>February!K17</f>
        <v>5</v>
      </c>
      <c r="L13" s="51">
        <f>February!L17</f>
        <v>0</v>
      </c>
      <c r="M13" s="55">
        <f>February!M17</f>
        <v>3</v>
      </c>
      <c r="N13" s="50">
        <f>February!N17</f>
        <v>2</v>
      </c>
      <c r="O13" s="50">
        <f>February!O17</f>
        <v>2</v>
      </c>
      <c r="P13" s="51">
        <f>February!P17</f>
        <v>0</v>
      </c>
      <c r="Q13" s="55">
        <f>February!Q17</f>
        <v>143.9</v>
      </c>
      <c r="R13" s="50">
        <f>February!R17</f>
        <v>15.9</v>
      </c>
      <c r="S13" s="55">
        <f>February!S17</f>
        <v>64</v>
      </c>
      <c r="T13" s="57">
        <f>February!T17</f>
        <v>1213.17</v>
      </c>
      <c r="U13" s="49">
        <f>February!U17</f>
        <v>6586</v>
      </c>
      <c r="V13" s="51">
        <f>February!V17</f>
        <v>555</v>
      </c>
      <c r="W13" s="55">
        <f>February!W17</f>
        <v>11</v>
      </c>
      <c r="X13" s="50">
        <f>February!X17</f>
        <v>6</v>
      </c>
      <c r="Y13" s="50">
        <f>February!Y17</f>
        <v>6</v>
      </c>
      <c r="Z13" s="50">
        <f>February!Z17</f>
        <v>5</v>
      </c>
      <c r="AA13" s="50">
        <f>February!AA17</f>
        <v>15</v>
      </c>
      <c r="AB13" s="50">
        <f>February!AB17</f>
        <v>13</v>
      </c>
      <c r="AC13" s="51">
        <f>February!AC17</f>
        <v>56</v>
      </c>
      <c r="AD13" s="49">
        <f>February!AD17</f>
        <v>44.5</v>
      </c>
      <c r="AE13" s="50">
        <f>February!AE17</f>
        <v>27</v>
      </c>
      <c r="AF13" s="50">
        <f>February!AF17</f>
        <v>20</v>
      </c>
      <c r="AG13" s="50">
        <f>February!AG17</f>
        <v>20.5</v>
      </c>
      <c r="AH13" s="50">
        <f>February!AH17</f>
        <v>62</v>
      </c>
      <c r="AI13" s="50">
        <f>February!AI17</f>
        <v>45</v>
      </c>
      <c r="AJ13" s="51">
        <f>February!AJ17</f>
        <v>219</v>
      </c>
    </row>
    <row r="14" spans="1:36">
      <c r="A14" s="139"/>
      <c r="B14" s="57" t="s">
        <v>129</v>
      </c>
      <c r="C14" s="49">
        <f>February!C23</f>
        <v>4</v>
      </c>
      <c r="D14" s="50">
        <f>February!D23</f>
        <v>3</v>
      </c>
      <c r="E14" s="50">
        <f>February!E23</f>
        <v>1</v>
      </c>
      <c r="F14" s="50">
        <f>February!F23</f>
        <v>2</v>
      </c>
      <c r="G14" s="57">
        <f>February!G23</f>
        <v>0</v>
      </c>
      <c r="H14" s="49">
        <f>February!H23</f>
        <v>6</v>
      </c>
      <c r="I14" s="50">
        <f>February!I23</f>
        <v>6</v>
      </c>
      <c r="J14" s="50">
        <f>February!J23</f>
        <v>2</v>
      </c>
      <c r="K14" s="50">
        <f>February!K23</f>
        <v>4</v>
      </c>
      <c r="L14" s="51">
        <f>February!L23</f>
        <v>0</v>
      </c>
      <c r="M14" s="55">
        <f>February!M23</f>
        <v>0</v>
      </c>
      <c r="N14" s="50">
        <f>February!N23</f>
        <v>2</v>
      </c>
      <c r="O14" s="50">
        <f>February!O23</f>
        <v>3</v>
      </c>
      <c r="P14" s="51">
        <f>February!P23</f>
        <v>1</v>
      </c>
      <c r="Q14" s="55">
        <f>February!Q23</f>
        <v>126.2</v>
      </c>
      <c r="R14" s="50">
        <f>February!R23</f>
        <v>6.2</v>
      </c>
      <c r="S14" s="55">
        <f>February!S23</f>
        <v>61</v>
      </c>
      <c r="T14" s="57">
        <f>February!T23</f>
        <v>1546.53</v>
      </c>
      <c r="U14" s="49">
        <f>February!U23</f>
        <v>6924</v>
      </c>
      <c r="V14" s="51">
        <f>February!V23</f>
        <v>509</v>
      </c>
      <c r="W14" s="55">
        <f>February!W23</f>
        <v>9</v>
      </c>
      <c r="X14" s="50">
        <f>February!X23</f>
        <v>3</v>
      </c>
      <c r="Y14" s="50">
        <f>February!Y23</f>
        <v>4</v>
      </c>
      <c r="Z14" s="50">
        <f>February!Z23</f>
        <v>6</v>
      </c>
      <c r="AA14" s="50">
        <f>February!AA23</f>
        <v>20</v>
      </c>
      <c r="AB14" s="50">
        <f>February!AB23</f>
        <v>14</v>
      </c>
      <c r="AC14" s="51">
        <f>February!AC23</f>
        <v>56</v>
      </c>
      <c r="AD14" s="49">
        <f>February!AD23</f>
        <v>32</v>
      </c>
      <c r="AE14" s="50">
        <f>February!AE23</f>
        <v>13.5</v>
      </c>
      <c r="AF14" s="50">
        <f>February!AF23</f>
        <v>15</v>
      </c>
      <c r="AG14" s="50">
        <f>February!AG23</f>
        <v>16.5</v>
      </c>
      <c r="AH14" s="50">
        <f>February!AH23</f>
        <v>73.5</v>
      </c>
      <c r="AI14" s="50">
        <f>February!AI23</f>
        <v>65</v>
      </c>
      <c r="AJ14" s="51">
        <f>February!AJ23</f>
        <v>215.5</v>
      </c>
    </row>
    <row r="15" spans="1:36">
      <c r="A15" s="139"/>
      <c r="B15" s="57" t="s">
        <v>130</v>
      </c>
      <c r="C15" s="49">
        <f>February!C29</f>
        <v>11</v>
      </c>
      <c r="D15" s="50">
        <f>February!D29</f>
        <v>10</v>
      </c>
      <c r="E15" s="50">
        <f>February!E29</f>
        <v>2</v>
      </c>
      <c r="F15" s="50">
        <f>February!F29</f>
        <v>8</v>
      </c>
      <c r="G15" s="57">
        <f>February!G29</f>
        <v>0</v>
      </c>
      <c r="H15" s="49">
        <f>February!H29</f>
        <v>4</v>
      </c>
      <c r="I15" s="50">
        <f>February!I29</f>
        <v>2</v>
      </c>
      <c r="J15" s="50">
        <f>February!J29</f>
        <v>1</v>
      </c>
      <c r="K15" s="50">
        <f>February!K29</f>
        <v>1</v>
      </c>
      <c r="L15" s="51">
        <f>February!L29</f>
        <v>0</v>
      </c>
      <c r="M15" s="55">
        <f>February!M29</f>
        <v>6</v>
      </c>
      <c r="N15" s="50">
        <f>February!N29</f>
        <v>1</v>
      </c>
      <c r="O15" s="50">
        <f>February!O29</f>
        <v>1</v>
      </c>
      <c r="P15" s="51">
        <f>February!P29</f>
        <v>2</v>
      </c>
      <c r="Q15" s="55">
        <f>February!Q29</f>
        <v>218.9</v>
      </c>
      <c r="R15" s="50">
        <f>February!R29</f>
        <v>54.4</v>
      </c>
      <c r="S15" s="55">
        <f>February!S29</f>
        <v>46</v>
      </c>
      <c r="T15" s="57">
        <f>February!T29</f>
        <v>1123.85</v>
      </c>
      <c r="U15" s="49">
        <f>February!U29</f>
        <v>3938</v>
      </c>
      <c r="V15" s="51">
        <f>February!V29</f>
        <v>275</v>
      </c>
      <c r="W15" s="55">
        <f>February!W29</f>
        <v>10</v>
      </c>
      <c r="X15" s="50">
        <f>February!X29</f>
        <v>3</v>
      </c>
      <c r="Y15" s="50">
        <f>February!Y29</f>
        <v>4</v>
      </c>
      <c r="Z15" s="50">
        <f>February!Z29</f>
        <v>2</v>
      </c>
      <c r="AA15" s="50">
        <f>February!AA29</f>
        <v>14</v>
      </c>
      <c r="AB15" s="50">
        <f>February!AB29</f>
        <v>11</v>
      </c>
      <c r="AC15" s="51">
        <f>February!AC29</f>
        <v>44</v>
      </c>
      <c r="AD15" s="49">
        <f>February!AD29</f>
        <v>41.5</v>
      </c>
      <c r="AE15" s="50">
        <f>February!AE29</f>
        <v>10</v>
      </c>
      <c r="AF15" s="50">
        <f>February!AF29</f>
        <v>14.5</v>
      </c>
      <c r="AG15" s="50">
        <f>February!AG29</f>
        <v>6.5</v>
      </c>
      <c r="AH15" s="50">
        <f>February!AH29</f>
        <v>47</v>
      </c>
      <c r="AI15" s="50">
        <f>February!AI29</f>
        <v>43</v>
      </c>
      <c r="AJ15" s="51">
        <f>February!AJ29</f>
        <v>162.5</v>
      </c>
    </row>
    <row r="16" spans="1:36">
      <c r="A16" s="140"/>
      <c r="B16" s="57" t="s">
        <v>131</v>
      </c>
      <c r="C16" s="49">
        <f>February!C35</f>
        <v>0</v>
      </c>
      <c r="D16" s="50">
        <f>February!D35</f>
        <v>0</v>
      </c>
      <c r="E16" s="50">
        <f>February!E35</f>
        <v>0</v>
      </c>
      <c r="F16" s="50">
        <f>February!F35</f>
        <v>0</v>
      </c>
      <c r="G16" s="57">
        <f>February!G35</f>
        <v>0</v>
      </c>
      <c r="H16" s="49">
        <f>February!H35</f>
        <v>0</v>
      </c>
      <c r="I16" s="50">
        <f>February!I35</f>
        <v>0</v>
      </c>
      <c r="J16" s="50">
        <f>February!J35</f>
        <v>0</v>
      </c>
      <c r="K16" s="50">
        <f>February!K35</f>
        <v>0</v>
      </c>
      <c r="L16" s="51">
        <f>February!L35</f>
        <v>0</v>
      </c>
      <c r="M16" s="55">
        <f>February!M35</f>
        <v>0</v>
      </c>
      <c r="N16" s="50">
        <f>February!N35</f>
        <v>0</v>
      </c>
      <c r="O16" s="50">
        <f>February!O35</f>
        <v>0</v>
      </c>
      <c r="P16" s="51">
        <f>February!P35</f>
        <v>0</v>
      </c>
      <c r="Q16" s="55">
        <f>February!Q35</f>
        <v>0</v>
      </c>
      <c r="R16" s="50">
        <f>February!R35</f>
        <v>0</v>
      </c>
      <c r="S16" s="55">
        <f>February!S35</f>
        <v>0</v>
      </c>
      <c r="T16" s="57">
        <f>February!T35</f>
        <v>0</v>
      </c>
      <c r="U16" s="49">
        <f>February!U35</f>
        <v>0</v>
      </c>
      <c r="V16" s="51">
        <f>February!V35</f>
        <v>0</v>
      </c>
      <c r="W16" s="55">
        <f>February!W35</f>
        <v>0</v>
      </c>
      <c r="X16" s="50">
        <f>February!X35</f>
        <v>0</v>
      </c>
      <c r="Y16" s="50">
        <f>February!Y35</f>
        <v>0</v>
      </c>
      <c r="Z16" s="50">
        <f>February!Z35</f>
        <v>0</v>
      </c>
      <c r="AA16" s="50">
        <f>February!AA35</f>
        <v>0</v>
      </c>
      <c r="AB16" s="50">
        <f>February!AB35</f>
        <v>0</v>
      </c>
      <c r="AC16" s="51">
        <f>February!AC35</f>
        <v>0</v>
      </c>
      <c r="AD16" s="49">
        <f>February!AD35</f>
        <v>0</v>
      </c>
      <c r="AE16" s="50">
        <f>February!AE35</f>
        <v>0</v>
      </c>
      <c r="AF16" s="50">
        <f>February!AF35</f>
        <v>0</v>
      </c>
      <c r="AG16" s="50">
        <f>February!AG35</f>
        <v>0</v>
      </c>
      <c r="AH16" s="50">
        <f>February!AH35</f>
        <v>0</v>
      </c>
      <c r="AI16" s="50">
        <f>February!AI35</f>
        <v>0</v>
      </c>
      <c r="AJ16" s="51">
        <f>February!AJ35</f>
        <v>0</v>
      </c>
    </row>
    <row r="17" spans="1:36">
      <c r="A17" s="63" t="s">
        <v>126</v>
      </c>
      <c r="B17" s="64"/>
      <c r="C17" s="65">
        <f t="shared" ref="C17:S17" si="2">SUM(C12:C16)</f>
        <v>39</v>
      </c>
      <c r="D17" s="66">
        <f t="shared" si="2"/>
        <v>32</v>
      </c>
      <c r="E17" s="66">
        <f t="shared" si="2"/>
        <v>9</v>
      </c>
      <c r="F17" s="66">
        <f t="shared" si="2"/>
        <v>23</v>
      </c>
      <c r="G17" s="74">
        <f t="shared" si="2"/>
        <v>0</v>
      </c>
      <c r="H17" s="65">
        <f t="shared" si="2"/>
        <v>30</v>
      </c>
      <c r="I17" s="66">
        <f t="shared" si="2"/>
        <v>24</v>
      </c>
      <c r="J17" s="66">
        <f t="shared" si="2"/>
        <v>6</v>
      </c>
      <c r="K17" s="66">
        <f t="shared" si="2"/>
        <v>18</v>
      </c>
      <c r="L17" s="67">
        <f t="shared" si="2"/>
        <v>0</v>
      </c>
      <c r="M17" s="72">
        <f t="shared" si="2"/>
        <v>12</v>
      </c>
      <c r="N17" s="66">
        <f t="shared" si="2"/>
        <v>6</v>
      </c>
      <c r="O17" s="66">
        <f t="shared" si="2"/>
        <v>6</v>
      </c>
      <c r="P17" s="67">
        <f t="shared" si="2"/>
        <v>3</v>
      </c>
      <c r="Q17" s="72">
        <f t="shared" si="2"/>
        <v>635.9</v>
      </c>
      <c r="R17" s="66">
        <f t="shared" si="2"/>
        <v>78.8</v>
      </c>
      <c r="S17" s="72">
        <f t="shared" si="2"/>
        <v>250</v>
      </c>
      <c r="T17" s="74">
        <f t="shared" ref="T17:AJ17" si="3">SUM(T12:T16)</f>
        <v>5695.08</v>
      </c>
      <c r="U17" s="65">
        <f t="shared" si="3"/>
        <v>23930</v>
      </c>
      <c r="V17" s="67">
        <f t="shared" si="3"/>
        <v>2078</v>
      </c>
      <c r="W17" s="72">
        <f t="shared" si="3"/>
        <v>42</v>
      </c>
      <c r="X17" s="66">
        <f t="shared" si="3"/>
        <v>14</v>
      </c>
      <c r="Y17" s="66">
        <f t="shared" si="3"/>
        <v>20</v>
      </c>
      <c r="Z17" s="66">
        <f t="shared" si="3"/>
        <v>18</v>
      </c>
      <c r="AA17" s="66">
        <f t="shared" si="3"/>
        <v>70</v>
      </c>
      <c r="AB17" s="66">
        <f t="shared" si="3"/>
        <v>55</v>
      </c>
      <c r="AC17" s="67">
        <f t="shared" si="3"/>
        <v>219</v>
      </c>
      <c r="AD17" s="65">
        <f t="shared" si="3"/>
        <v>160.5</v>
      </c>
      <c r="AE17" s="66">
        <f t="shared" si="3"/>
        <v>61</v>
      </c>
      <c r="AF17" s="66">
        <f t="shared" si="3"/>
        <v>76</v>
      </c>
      <c r="AG17" s="66">
        <f t="shared" si="3"/>
        <v>61.5</v>
      </c>
      <c r="AH17" s="66">
        <f t="shared" si="3"/>
        <v>260.5</v>
      </c>
      <c r="AI17" s="66">
        <f t="shared" si="3"/>
        <v>206</v>
      </c>
      <c r="AJ17" s="67">
        <f t="shared" si="3"/>
        <v>825.5</v>
      </c>
    </row>
    <row r="18" spans="1:36">
      <c r="A18" s="138" t="s">
        <v>22</v>
      </c>
      <c r="B18" s="57" t="s">
        <v>132</v>
      </c>
      <c r="C18" s="49">
        <f>March!C11</f>
        <v>14</v>
      </c>
      <c r="D18" s="50">
        <f>March!D11</f>
        <v>13</v>
      </c>
      <c r="E18" s="50">
        <f>March!E11</f>
        <v>2</v>
      </c>
      <c r="F18" s="50">
        <f>March!F11</f>
        <v>11</v>
      </c>
      <c r="G18" s="57">
        <f>March!G11</f>
        <v>0</v>
      </c>
      <c r="H18" s="49">
        <f>March!H11</f>
        <v>10</v>
      </c>
      <c r="I18" s="50">
        <f>March!I11</f>
        <v>9</v>
      </c>
      <c r="J18" s="50">
        <f>March!J11</f>
        <v>4</v>
      </c>
      <c r="K18" s="50">
        <f>March!K11</f>
        <v>4</v>
      </c>
      <c r="L18" s="51">
        <f>March!L11</f>
        <v>1</v>
      </c>
      <c r="M18" s="55">
        <f>March!M11</f>
        <v>5</v>
      </c>
      <c r="N18" s="50">
        <f>March!N11</f>
        <v>1</v>
      </c>
      <c r="O18" s="50">
        <f>March!O11</f>
        <v>1</v>
      </c>
      <c r="P18" s="51">
        <f>March!P11</f>
        <v>0</v>
      </c>
      <c r="Q18" s="55">
        <f>March!Q11</f>
        <v>192</v>
      </c>
      <c r="R18" s="50">
        <f>March!R11</f>
        <v>16.8</v>
      </c>
      <c r="S18" s="55">
        <f>March!S11</f>
        <v>66</v>
      </c>
      <c r="T18" s="57">
        <f>March!T11</f>
        <v>1701.67</v>
      </c>
      <c r="U18" s="49">
        <f>March!U11</f>
        <v>5469</v>
      </c>
      <c r="V18" s="51">
        <f>March!V11</f>
        <v>548</v>
      </c>
      <c r="W18" s="55">
        <f>March!W11</f>
        <v>16</v>
      </c>
      <c r="X18" s="50">
        <f>March!X11</f>
        <v>3</v>
      </c>
      <c r="Y18" s="50">
        <f>March!Y11</f>
        <v>8</v>
      </c>
      <c r="Z18" s="50">
        <f>March!Z11</f>
        <v>5</v>
      </c>
      <c r="AA18" s="50">
        <f>March!AA11</f>
        <v>17</v>
      </c>
      <c r="AB18" s="50">
        <f>March!AB11</f>
        <v>9</v>
      </c>
      <c r="AC18" s="51">
        <f>March!AC11</f>
        <v>58</v>
      </c>
      <c r="AD18" s="49">
        <f>March!AD11</f>
        <v>66.5</v>
      </c>
      <c r="AE18" s="50">
        <f>March!AE11</f>
        <v>11</v>
      </c>
      <c r="AF18" s="50">
        <f>March!AF11</f>
        <v>31</v>
      </c>
      <c r="AG18" s="50">
        <f>March!AG11</f>
        <v>20</v>
      </c>
      <c r="AH18" s="50">
        <f>March!AH11</f>
        <v>50.5</v>
      </c>
      <c r="AI18" s="50">
        <f>March!AI11</f>
        <v>32</v>
      </c>
      <c r="AJ18" s="51">
        <f>March!AJ11</f>
        <v>211</v>
      </c>
    </row>
    <row r="19" spans="1:36">
      <c r="A19" s="139"/>
      <c r="B19" s="57" t="s">
        <v>133</v>
      </c>
      <c r="C19" s="49">
        <f>March!C17</f>
        <v>5</v>
      </c>
      <c r="D19" s="50">
        <f>March!D17</f>
        <v>3</v>
      </c>
      <c r="E19" s="50">
        <f>March!E17</f>
        <v>0</v>
      </c>
      <c r="F19" s="50">
        <f>March!F17</f>
        <v>3</v>
      </c>
      <c r="G19" s="57">
        <f>March!G17</f>
        <v>0</v>
      </c>
      <c r="H19" s="49">
        <f>March!H17</f>
        <v>7</v>
      </c>
      <c r="I19" s="50">
        <f>March!I17</f>
        <v>6</v>
      </c>
      <c r="J19" s="50">
        <f>March!J17</f>
        <v>3</v>
      </c>
      <c r="K19" s="50">
        <f>March!K17</f>
        <v>3</v>
      </c>
      <c r="L19" s="51">
        <f>March!L17</f>
        <v>0</v>
      </c>
      <c r="M19" s="55">
        <f>March!M17</f>
        <v>4</v>
      </c>
      <c r="N19" s="50">
        <f>March!N17</f>
        <v>2</v>
      </c>
      <c r="O19" s="50">
        <f>March!O17</f>
        <v>0</v>
      </c>
      <c r="P19" s="51">
        <f>March!P17</f>
        <v>0</v>
      </c>
      <c r="Q19" s="55">
        <f>March!Q17</f>
        <v>134.7</v>
      </c>
      <c r="R19" s="50">
        <f>March!R17</f>
        <v>3.6</v>
      </c>
      <c r="S19" s="55">
        <f>March!S17</f>
        <v>43</v>
      </c>
      <c r="T19" s="57">
        <f>March!T17</f>
        <v>832.07</v>
      </c>
      <c r="U19" s="49">
        <f>March!U17</f>
        <v>4993</v>
      </c>
      <c r="V19" s="51">
        <f>March!V17</f>
        <v>616</v>
      </c>
      <c r="W19" s="55">
        <f>March!W17</f>
        <v>14</v>
      </c>
      <c r="X19" s="50">
        <f>March!X17</f>
        <v>5</v>
      </c>
      <c r="Y19" s="50">
        <f>March!Y17</f>
        <v>7</v>
      </c>
      <c r="Z19" s="50">
        <f>March!Z17</f>
        <v>5</v>
      </c>
      <c r="AA19" s="50">
        <f>March!AA17</f>
        <v>9</v>
      </c>
      <c r="AB19" s="50">
        <f>March!AB17</f>
        <v>9</v>
      </c>
      <c r="AC19" s="51">
        <f>March!AC17</f>
        <v>49</v>
      </c>
      <c r="AD19" s="49">
        <f>March!AD17</f>
        <v>50.5</v>
      </c>
      <c r="AE19" s="50">
        <f>March!AE17</f>
        <v>20.5</v>
      </c>
      <c r="AF19" s="50">
        <f>March!AF17</f>
        <v>25</v>
      </c>
      <c r="AG19" s="50">
        <f>March!AG17</f>
        <v>19</v>
      </c>
      <c r="AH19" s="50">
        <f>March!AH17</f>
        <v>40.5</v>
      </c>
      <c r="AI19" s="50">
        <f>March!AI17</f>
        <v>33.5</v>
      </c>
      <c r="AJ19" s="51">
        <f>March!AJ17</f>
        <v>189</v>
      </c>
    </row>
    <row r="20" spans="1:36">
      <c r="A20" s="139"/>
      <c r="B20" s="57" t="s">
        <v>134</v>
      </c>
      <c r="C20" s="49">
        <f>March!C23</f>
        <v>10</v>
      </c>
      <c r="D20" s="50">
        <f>March!D23</f>
        <v>10</v>
      </c>
      <c r="E20" s="50">
        <f>March!E23</f>
        <v>2</v>
      </c>
      <c r="F20" s="50">
        <f>March!F23</f>
        <v>7</v>
      </c>
      <c r="G20" s="57">
        <f>March!G23</f>
        <v>1</v>
      </c>
      <c r="H20" s="49">
        <f>March!H23</f>
        <v>9</v>
      </c>
      <c r="I20" s="50">
        <f>March!I23</f>
        <v>8</v>
      </c>
      <c r="J20" s="50">
        <f>March!J23</f>
        <v>3</v>
      </c>
      <c r="K20" s="50">
        <f>March!K23</f>
        <v>4</v>
      </c>
      <c r="L20" s="51">
        <f>March!L23</f>
        <v>1</v>
      </c>
      <c r="M20" s="55">
        <f>March!M23</f>
        <v>3</v>
      </c>
      <c r="N20" s="50">
        <f>March!N23</f>
        <v>1</v>
      </c>
      <c r="O20" s="50">
        <f>March!O23</f>
        <v>0</v>
      </c>
      <c r="P20" s="51">
        <f>March!P23</f>
        <v>0</v>
      </c>
      <c r="Q20" s="55">
        <f>March!Q23</f>
        <v>199.4</v>
      </c>
      <c r="R20" s="50">
        <f>March!R23</f>
        <v>3.9</v>
      </c>
      <c r="S20" s="55">
        <f>March!S23</f>
        <v>38</v>
      </c>
      <c r="T20" s="57">
        <f>March!T23</f>
        <v>890.03</v>
      </c>
      <c r="U20" s="49">
        <f>March!U23</f>
        <v>6421</v>
      </c>
      <c r="V20" s="51">
        <f>March!V23</f>
        <v>660</v>
      </c>
      <c r="W20" s="55">
        <f>March!W23</f>
        <v>10</v>
      </c>
      <c r="X20" s="50">
        <f>March!X23</f>
        <v>2</v>
      </c>
      <c r="Y20" s="50">
        <f>March!Y23</f>
        <v>6</v>
      </c>
      <c r="Z20" s="50">
        <f>March!Z23</f>
        <v>4</v>
      </c>
      <c r="AA20" s="50">
        <f>March!AA23</f>
        <v>22</v>
      </c>
      <c r="AB20" s="50">
        <f>March!AB23</f>
        <v>13</v>
      </c>
      <c r="AC20" s="51">
        <f>March!AC23</f>
        <v>57</v>
      </c>
      <c r="AD20" s="49">
        <f>March!AD23</f>
        <v>34</v>
      </c>
      <c r="AE20" s="50">
        <f>March!AE23</f>
        <v>7.5</v>
      </c>
      <c r="AF20" s="50">
        <f>March!AF23</f>
        <v>25</v>
      </c>
      <c r="AG20" s="50">
        <f>March!AG23</f>
        <v>14.5</v>
      </c>
      <c r="AH20" s="50">
        <f>March!AH23</f>
        <v>81.5</v>
      </c>
      <c r="AI20" s="50">
        <f>March!AI23</f>
        <v>44.5</v>
      </c>
      <c r="AJ20" s="51">
        <f>March!AJ23</f>
        <v>207</v>
      </c>
    </row>
    <row r="21" spans="1:36">
      <c r="A21" s="139"/>
      <c r="B21" s="57" t="s">
        <v>135</v>
      </c>
      <c r="C21" s="49">
        <f>March!C29</f>
        <v>15</v>
      </c>
      <c r="D21" s="50">
        <f>March!D29</f>
        <v>14</v>
      </c>
      <c r="E21" s="50">
        <f>March!E29</f>
        <v>3</v>
      </c>
      <c r="F21" s="50">
        <f>March!F29</f>
        <v>11</v>
      </c>
      <c r="G21" s="57">
        <f>March!G29</f>
        <v>0</v>
      </c>
      <c r="H21" s="49">
        <f>March!H29</f>
        <v>9</v>
      </c>
      <c r="I21" s="50">
        <f>March!I29</f>
        <v>9</v>
      </c>
      <c r="J21" s="50">
        <f>March!J29</f>
        <v>3</v>
      </c>
      <c r="K21" s="50">
        <f>March!K29</f>
        <v>6</v>
      </c>
      <c r="L21" s="51">
        <f>March!L29</f>
        <v>0</v>
      </c>
      <c r="M21" s="55">
        <f>March!M29</f>
        <v>3</v>
      </c>
      <c r="N21" s="50">
        <f>March!N29</f>
        <v>1</v>
      </c>
      <c r="O21" s="50">
        <f>March!O29</f>
        <v>3</v>
      </c>
      <c r="P21" s="51">
        <f>March!P29</f>
        <v>1</v>
      </c>
      <c r="Q21" s="55">
        <f>March!Q29</f>
        <v>139.8</v>
      </c>
      <c r="R21" s="50">
        <f>March!R29</f>
        <v>21.3</v>
      </c>
      <c r="S21" s="55">
        <f>March!S29</f>
        <v>40</v>
      </c>
      <c r="T21" s="57">
        <f>March!T29</f>
        <v>1017.8</v>
      </c>
      <c r="U21" s="49">
        <f>March!U29</f>
        <v>4835</v>
      </c>
      <c r="V21" s="51">
        <f>March!V29</f>
        <v>496</v>
      </c>
      <c r="W21" s="55">
        <f>March!W29</f>
        <v>16</v>
      </c>
      <c r="X21" s="50">
        <f>March!X29</f>
        <v>5</v>
      </c>
      <c r="Y21" s="50">
        <f>March!Y29</f>
        <v>5</v>
      </c>
      <c r="Z21" s="50">
        <f>March!Z29</f>
        <v>3</v>
      </c>
      <c r="AA21" s="50">
        <f>March!AA29</f>
        <v>14</v>
      </c>
      <c r="AB21" s="50">
        <f>March!AB29</f>
        <v>12</v>
      </c>
      <c r="AC21" s="51">
        <f>March!AC29</f>
        <v>55</v>
      </c>
      <c r="AD21" s="49">
        <f>March!AD29</f>
        <v>59.5</v>
      </c>
      <c r="AE21" s="50">
        <f>March!AE29</f>
        <v>16.5</v>
      </c>
      <c r="AF21" s="50">
        <f>March!AF29</f>
        <v>16</v>
      </c>
      <c r="AG21" s="50">
        <f>March!AG29</f>
        <v>13</v>
      </c>
      <c r="AH21" s="50">
        <f>March!AH29</f>
        <v>63.5</v>
      </c>
      <c r="AI21" s="50">
        <f>March!AI29</f>
        <v>30.5</v>
      </c>
      <c r="AJ21" s="51">
        <f>March!AJ29</f>
        <v>199</v>
      </c>
    </row>
    <row r="22" spans="1:36">
      <c r="A22" s="140"/>
      <c r="B22" s="57" t="s">
        <v>136</v>
      </c>
      <c r="C22" s="49">
        <f>March!C35</f>
        <v>2</v>
      </c>
      <c r="D22" s="50">
        <f>March!D35</f>
        <v>2</v>
      </c>
      <c r="E22" s="50">
        <f>March!E35</f>
        <v>1</v>
      </c>
      <c r="F22" s="50">
        <f>March!F35</f>
        <v>1</v>
      </c>
      <c r="G22" s="57">
        <f>March!G35</f>
        <v>0</v>
      </c>
      <c r="H22" s="49">
        <f>March!H35</f>
        <v>2</v>
      </c>
      <c r="I22" s="50">
        <f>March!I35</f>
        <v>2</v>
      </c>
      <c r="J22" s="50">
        <f>March!J35</f>
        <v>1</v>
      </c>
      <c r="K22" s="50">
        <f>March!K35</f>
        <v>1</v>
      </c>
      <c r="L22" s="51">
        <f>March!L35</f>
        <v>0</v>
      </c>
      <c r="M22" s="55">
        <f>March!M35</f>
        <v>3</v>
      </c>
      <c r="N22" s="50">
        <f>March!N35</f>
        <v>1</v>
      </c>
      <c r="O22" s="50">
        <f>March!O35</f>
        <v>1</v>
      </c>
      <c r="P22" s="51">
        <f>March!P35</f>
        <v>0</v>
      </c>
      <c r="Q22" s="55">
        <f>March!Q35</f>
        <v>47.7</v>
      </c>
      <c r="R22" s="50">
        <f>March!R35</f>
        <v>6.2</v>
      </c>
      <c r="S22" s="55">
        <f>March!S35</f>
        <v>25</v>
      </c>
      <c r="T22" s="57">
        <f>March!T35</f>
        <v>558.26</v>
      </c>
      <c r="U22" s="49">
        <f>March!U35</f>
        <v>3573</v>
      </c>
      <c r="V22" s="51">
        <f>March!V35</f>
        <v>296</v>
      </c>
      <c r="W22" s="55">
        <f>March!W35</f>
        <v>2</v>
      </c>
      <c r="X22" s="50">
        <f>March!X35</f>
        <v>0</v>
      </c>
      <c r="Y22" s="50">
        <f>March!Y35</f>
        <v>4</v>
      </c>
      <c r="Z22" s="50">
        <f>March!Z35</f>
        <v>2</v>
      </c>
      <c r="AA22" s="50">
        <f>March!AA35</f>
        <v>5</v>
      </c>
      <c r="AB22" s="50">
        <f>March!AB35</f>
        <v>8</v>
      </c>
      <c r="AC22" s="51">
        <f>March!AC35</f>
        <v>21</v>
      </c>
      <c r="AD22" s="49">
        <f>March!AD35</f>
        <v>7</v>
      </c>
      <c r="AE22" s="50">
        <f>March!AE35</f>
        <v>0</v>
      </c>
      <c r="AF22" s="50">
        <f>March!AF35</f>
        <v>8.5</v>
      </c>
      <c r="AG22" s="50">
        <f>March!AG35</f>
        <v>4</v>
      </c>
      <c r="AH22" s="50">
        <f>March!AH35</f>
        <v>13</v>
      </c>
      <c r="AI22" s="50">
        <f>March!AI35</f>
        <v>38</v>
      </c>
      <c r="AJ22" s="51">
        <f>March!AJ35</f>
        <v>70.5</v>
      </c>
    </row>
    <row r="23" spans="1:36">
      <c r="A23" s="63" t="s">
        <v>126</v>
      </c>
      <c r="B23" s="64"/>
      <c r="C23" s="65">
        <f>SUM(C18:C22)</f>
        <v>46</v>
      </c>
      <c r="D23" s="66">
        <f>SUM(D18:D22)</f>
        <v>42</v>
      </c>
      <c r="E23" s="66">
        <f>SUM(E18:E22)</f>
        <v>8</v>
      </c>
      <c r="F23" s="66">
        <f>SUM(F18:F22)</f>
        <v>33</v>
      </c>
      <c r="G23" s="74">
        <f>SUM(G18:G22)</f>
        <v>1</v>
      </c>
      <c r="H23" s="65">
        <f t="shared" ref="H23:T23" si="4">SUM(H18:H22)</f>
        <v>37</v>
      </c>
      <c r="I23" s="66">
        <f t="shared" si="4"/>
        <v>34</v>
      </c>
      <c r="J23" s="66">
        <f t="shared" si="4"/>
        <v>14</v>
      </c>
      <c r="K23" s="66">
        <f t="shared" si="4"/>
        <v>18</v>
      </c>
      <c r="L23" s="67">
        <f t="shared" si="4"/>
        <v>2</v>
      </c>
      <c r="M23" s="72">
        <f t="shared" si="4"/>
        <v>18</v>
      </c>
      <c r="N23" s="66">
        <f t="shared" si="4"/>
        <v>6</v>
      </c>
      <c r="O23" s="66">
        <f t="shared" si="4"/>
        <v>5</v>
      </c>
      <c r="P23" s="67">
        <f t="shared" si="4"/>
        <v>1</v>
      </c>
      <c r="Q23" s="72">
        <f t="shared" si="4"/>
        <v>713.6</v>
      </c>
      <c r="R23" s="66">
        <f t="shared" si="4"/>
        <v>51.8</v>
      </c>
      <c r="S23" s="72">
        <f t="shared" si="4"/>
        <v>212</v>
      </c>
      <c r="T23" s="74">
        <f t="shared" si="4"/>
        <v>4999.83</v>
      </c>
      <c r="U23" s="65">
        <f t="shared" ref="U23:AJ23" si="5">SUM(U18:U22)</f>
        <v>25291</v>
      </c>
      <c r="V23" s="67">
        <f t="shared" si="5"/>
        <v>2616</v>
      </c>
      <c r="W23" s="72">
        <f t="shared" si="5"/>
        <v>58</v>
      </c>
      <c r="X23" s="66">
        <f t="shared" si="5"/>
        <v>15</v>
      </c>
      <c r="Y23" s="66">
        <f t="shared" si="5"/>
        <v>30</v>
      </c>
      <c r="Z23" s="66">
        <f t="shared" si="5"/>
        <v>19</v>
      </c>
      <c r="AA23" s="66">
        <f t="shared" si="5"/>
        <v>67</v>
      </c>
      <c r="AB23" s="66">
        <f t="shared" si="5"/>
        <v>51</v>
      </c>
      <c r="AC23" s="67">
        <f t="shared" si="5"/>
        <v>240</v>
      </c>
      <c r="AD23" s="65">
        <f t="shared" si="5"/>
        <v>217.5</v>
      </c>
      <c r="AE23" s="66">
        <f t="shared" si="5"/>
        <v>55.5</v>
      </c>
      <c r="AF23" s="66">
        <f t="shared" si="5"/>
        <v>105.5</v>
      </c>
      <c r="AG23" s="66">
        <f t="shared" si="5"/>
        <v>70.5</v>
      </c>
      <c r="AH23" s="66">
        <f t="shared" si="5"/>
        <v>249</v>
      </c>
      <c r="AI23" s="66">
        <f t="shared" si="5"/>
        <v>178.5</v>
      </c>
      <c r="AJ23" s="67">
        <f t="shared" si="5"/>
        <v>876.5</v>
      </c>
    </row>
    <row r="24" spans="1:36">
      <c r="A24" s="138" t="s">
        <v>23</v>
      </c>
      <c r="B24" s="57" t="s">
        <v>137</v>
      </c>
      <c r="C24" s="49">
        <f>April!C11</f>
        <v>8</v>
      </c>
      <c r="D24" s="50">
        <f>April!D11</f>
        <v>7</v>
      </c>
      <c r="E24" s="50">
        <f>April!E11</f>
        <v>1</v>
      </c>
      <c r="F24" s="50">
        <f>April!F11</f>
        <v>6</v>
      </c>
      <c r="G24" s="57">
        <f>April!G11</f>
        <v>0</v>
      </c>
      <c r="H24" s="49">
        <f>April!H11</f>
        <v>3</v>
      </c>
      <c r="I24" s="50">
        <f>April!I11</f>
        <v>3</v>
      </c>
      <c r="J24" s="50">
        <f>April!J11</f>
        <v>1</v>
      </c>
      <c r="K24" s="50">
        <f>April!K11</f>
        <v>2</v>
      </c>
      <c r="L24" s="51">
        <f>April!L11</f>
        <v>0</v>
      </c>
      <c r="M24" s="55">
        <f>April!M11</f>
        <v>1</v>
      </c>
      <c r="N24" s="50">
        <f>April!N11</f>
        <v>0</v>
      </c>
      <c r="O24" s="50">
        <f>April!O11</f>
        <v>0</v>
      </c>
      <c r="P24" s="51">
        <f>April!P11</f>
        <v>0</v>
      </c>
      <c r="Q24" s="55">
        <f>April!Q11</f>
        <v>124.6</v>
      </c>
      <c r="R24" s="50">
        <f>April!R11</f>
        <v>4.2</v>
      </c>
      <c r="S24" s="55">
        <f>April!S11</f>
        <v>22</v>
      </c>
      <c r="T24" s="57">
        <f>April!T11</f>
        <v>499.07</v>
      </c>
      <c r="U24" s="49">
        <f>April!U11</f>
        <v>3646</v>
      </c>
      <c r="V24" s="51">
        <f>April!V11</f>
        <v>220</v>
      </c>
      <c r="W24" s="55">
        <f>April!W11</f>
        <v>10</v>
      </c>
      <c r="X24" s="50">
        <f>April!X11</f>
        <v>3</v>
      </c>
      <c r="Y24" s="50">
        <f>April!Y11</f>
        <v>2</v>
      </c>
      <c r="Z24" s="50">
        <f>April!Z11</f>
        <v>3</v>
      </c>
      <c r="AA24" s="50">
        <f>April!AA11</f>
        <v>8</v>
      </c>
      <c r="AB24" s="50">
        <f>April!AB11</f>
        <v>8</v>
      </c>
      <c r="AC24" s="51">
        <f>April!AC11</f>
        <v>34</v>
      </c>
      <c r="AD24" s="49">
        <f>April!AD11</f>
        <v>38</v>
      </c>
      <c r="AE24" s="50">
        <f>April!AE11</f>
        <v>11.5</v>
      </c>
      <c r="AF24" s="50">
        <f>April!AF11</f>
        <v>6.5</v>
      </c>
      <c r="AG24" s="50">
        <f>April!AG11</f>
        <v>11</v>
      </c>
      <c r="AH24" s="50">
        <f>April!AH11</f>
        <v>33.5</v>
      </c>
      <c r="AI24" s="50">
        <f>April!AI11</f>
        <v>38</v>
      </c>
      <c r="AJ24" s="51">
        <f>April!AJ11</f>
        <v>138.5</v>
      </c>
    </row>
    <row r="25" spans="1:36">
      <c r="A25" s="139"/>
      <c r="B25" s="57" t="s">
        <v>138</v>
      </c>
      <c r="C25" s="49">
        <f>April!C17</f>
        <v>12</v>
      </c>
      <c r="D25" s="50">
        <f>April!D17</f>
        <v>10</v>
      </c>
      <c r="E25" s="50">
        <f>April!E17</f>
        <v>2</v>
      </c>
      <c r="F25" s="50">
        <f>April!F17</f>
        <v>8</v>
      </c>
      <c r="G25" s="57">
        <f>April!G17</f>
        <v>0</v>
      </c>
      <c r="H25" s="49">
        <f>April!H17</f>
        <v>5</v>
      </c>
      <c r="I25" s="50">
        <f>April!I17</f>
        <v>4</v>
      </c>
      <c r="J25" s="50">
        <f>April!J17</f>
        <v>2</v>
      </c>
      <c r="K25" s="50">
        <f>April!K17</f>
        <v>2</v>
      </c>
      <c r="L25" s="51">
        <f>April!L17</f>
        <v>0</v>
      </c>
      <c r="M25" s="55">
        <f>April!M17</f>
        <v>2</v>
      </c>
      <c r="N25" s="50">
        <f>April!N17</f>
        <v>1</v>
      </c>
      <c r="O25" s="50">
        <f>April!O17</f>
        <v>2</v>
      </c>
      <c r="P25" s="51">
        <f>April!P17</f>
        <v>1</v>
      </c>
      <c r="Q25" s="55">
        <f>April!Q17</f>
        <v>138.7</v>
      </c>
      <c r="R25" s="50">
        <f>April!R17</f>
        <v>7.1</v>
      </c>
      <c r="S25" s="55">
        <f>April!S17</f>
        <v>51</v>
      </c>
      <c r="T25" s="57">
        <f>April!T17</f>
        <v>1100.89</v>
      </c>
      <c r="U25" s="49">
        <f>April!U17</f>
        <v>7159</v>
      </c>
      <c r="V25" s="51">
        <f>April!V17</f>
        <v>523</v>
      </c>
      <c r="W25" s="55">
        <f>April!W17</f>
        <v>9</v>
      </c>
      <c r="X25" s="50">
        <f>April!X17</f>
        <v>4</v>
      </c>
      <c r="Y25" s="50">
        <f>April!Y17</f>
        <v>4</v>
      </c>
      <c r="Z25" s="50">
        <f>April!Z17</f>
        <v>3</v>
      </c>
      <c r="AA25" s="50">
        <f>April!AA17</f>
        <v>13</v>
      </c>
      <c r="AB25" s="50">
        <f>April!AB17</f>
        <v>13</v>
      </c>
      <c r="AC25" s="51">
        <f>April!AC17</f>
        <v>46</v>
      </c>
      <c r="AD25" s="49">
        <f>April!AD17</f>
        <v>30</v>
      </c>
      <c r="AE25" s="50">
        <f>April!AE17</f>
        <v>14</v>
      </c>
      <c r="AF25" s="50">
        <f>April!AF17</f>
        <v>12.5</v>
      </c>
      <c r="AG25" s="50">
        <f>April!AG17</f>
        <v>13.5</v>
      </c>
      <c r="AH25" s="50">
        <f>April!AH17</f>
        <v>49.5</v>
      </c>
      <c r="AI25" s="50">
        <f>April!AI17</f>
        <v>47</v>
      </c>
      <c r="AJ25" s="51">
        <f>April!AJ17</f>
        <v>166.5</v>
      </c>
    </row>
    <row r="26" spans="1:36">
      <c r="A26" s="139"/>
      <c r="B26" s="57" t="s">
        <v>139</v>
      </c>
      <c r="C26" s="49">
        <f>April!C23</f>
        <v>7</v>
      </c>
      <c r="D26" s="50">
        <f>April!D23</f>
        <v>7</v>
      </c>
      <c r="E26" s="50">
        <f>April!E23</f>
        <v>2</v>
      </c>
      <c r="F26" s="50">
        <f>April!F23</f>
        <v>5</v>
      </c>
      <c r="G26" s="57">
        <f>April!G23</f>
        <v>0</v>
      </c>
      <c r="H26" s="49">
        <f>April!H23</f>
        <v>6</v>
      </c>
      <c r="I26" s="50">
        <f>April!I23</f>
        <v>6</v>
      </c>
      <c r="J26" s="50">
        <f>April!J23</f>
        <v>1</v>
      </c>
      <c r="K26" s="50">
        <f>April!K23</f>
        <v>5</v>
      </c>
      <c r="L26" s="51">
        <f>April!L23</f>
        <v>0</v>
      </c>
      <c r="M26" s="55">
        <f>April!M23</f>
        <v>2</v>
      </c>
      <c r="N26" s="50">
        <f>April!N23</f>
        <v>1</v>
      </c>
      <c r="O26" s="50">
        <f>April!O23</f>
        <v>1</v>
      </c>
      <c r="P26" s="51">
        <f>April!P23</f>
        <v>0</v>
      </c>
      <c r="Q26" s="55">
        <f>April!Q23</f>
        <v>147.7</v>
      </c>
      <c r="R26" s="50">
        <f>April!R23</f>
        <v>17.8</v>
      </c>
      <c r="S26" s="55">
        <f>April!S23</f>
        <v>51</v>
      </c>
      <c r="T26" s="57">
        <f>April!T23</f>
        <v>1051.12</v>
      </c>
      <c r="U26" s="49">
        <f>April!U23</f>
        <v>5238</v>
      </c>
      <c r="V26" s="51">
        <f>April!V23</f>
        <v>540</v>
      </c>
      <c r="W26" s="55">
        <f>April!W23</f>
        <v>15</v>
      </c>
      <c r="X26" s="50">
        <f>April!X23</f>
        <v>3</v>
      </c>
      <c r="Y26" s="50">
        <f>April!Y23</f>
        <v>7</v>
      </c>
      <c r="Z26" s="50">
        <f>April!Z23</f>
        <v>2</v>
      </c>
      <c r="AA26" s="50">
        <f>April!AA23</f>
        <v>13</v>
      </c>
      <c r="AB26" s="50">
        <f>April!AB23</f>
        <v>14</v>
      </c>
      <c r="AC26" s="51">
        <f>April!AC23</f>
        <v>54</v>
      </c>
      <c r="AD26" s="49">
        <f>April!AD23</f>
        <v>61</v>
      </c>
      <c r="AE26" s="50">
        <f>April!AE23</f>
        <v>11.5</v>
      </c>
      <c r="AF26" s="50">
        <f>April!AF23</f>
        <v>24.5</v>
      </c>
      <c r="AG26" s="50">
        <f>April!AG23</f>
        <v>5</v>
      </c>
      <c r="AH26" s="50">
        <f>April!AH23</f>
        <v>51</v>
      </c>
      <c r="AI26" s="50">
        <f>April!AI23</f>
        <v>52</v>
      </c>
      <c r="AJ26" s="51">
        <f>April!AJ23</f>
        <v>205</v>
      </c>
    </row>
    <row r="27" spans="1:36">
      <c r="A27" s="139"/>
      <c r="B27" s="57" t="s">
        <v>140</v>
      </c>
      <c r="C27" s="49">
        <f>April!C29</f>
        <v>11</v>
      </c>
      <c r="D27" s="50">
        <f>April!D29</f>
        <v>11</v>
      </c>
      <c r="E27" s="50">
        <f>April!E29</f>
        <v>1</v>
      </c>
      <c r="F27" s="50">
        <f>April!F29</f>
        <v>10</v>
      </c>
      <c r="G27" s="57">
        <f>April!G29</f>
        <v>0</v>
      </c>
      <c r="H27" s="49">
        <f>April!H29</f>
        <v>6</v>
      </c>
      <c r="I27" s="50">
        <f>April!I29</f>
        <v>5</v>
      </c>
      <c r="J27" s="50">
        <f>April!J29</f>
        <v>3</v>
      </c>
      <c r="K27" s="50">
        <f>April!K29</f>
        <v>2</v>
      </c>
      <c r="L27" s="51">
        <f>April!L29</f>
        <v>0</v>
      </c>
      <c r="M27" s="55">
        <f>April!M29</f>
        <v>5</v>
      </c>
      <c r="N27" s="50">
        <f>April!N29</f>
        <v>0</v>
      </c>
      <c r="O27" s="50">
        <f>April!O29</f>
        <v>1</v>
      </c>
      <c r="P27" s="51">
        <f>April!P29</f>
        <v>0</v>
      </c>
      <c r="Q27" s="55">
        <f>April!Q29</f>
        <v>119</v>
      </c>
      <c r="R27" s="50">
        <f>April!R29</f>
        <v>29</v>
      </c>
      <c r="S27" s="55">
        <f>April!S29</f>
        <v>52</v>
      </c>
      <c r="T27" s="57">
        <f>April!T29</f>
        <v>1121.07</v>
      </c>
      <c r="U27" s="49">
        <f>April!U29</f>
        <v>4737</v>
      </c>
      <c r="V27" s="51">
        <f>April!V29</f>
        <v>312</v>
      </c>
      <c r="W27" s="55">
        <f>April!W29</f>
        <v>14</v>
      </c>
      <c r="X27" s="50">
        <f>April!X29</f>
        <v>4</v>
      </c>
      <c r="Y27" s="50">
        <f>April!Y29</f>
        <v>7</v>
      </c>
      <c r="Z27" s="50">
        <f>April!Z29</f>
        <v>2</v>
      </c>
      <c r="AA27" s="50">
        <f>April!AA29</f>
        <v>13</v>
      </c>
      <c r="AB27" s="50">
        <f>April!AB29</f>
        <v>10</v>
      </c>
      <c r="AC27" s="51">
        <f>April!AC29</f>
        <v>50</v>
      </c>
      <c r="AD27" s="49">
        <f>April!AD29</f>
        <v>46</v>
      </c>
      <c r="AE27" s="50">
        <f>April!AE29</f>
        <v>14.5</v>
      </c>
      <c r="AF27" s="50">
        <f>April!AF29</f>
        <v>23</v>
      </c>
      <c r="AG27" s="50">
        <f>April!AG29</f>
        <v>8</v>
      </c>
      <c r="AH27" s="50">
        <f>April!AH29</f>
        <v>48</v>
      </c>
      <c r="AI27" s="50">
        <f>April!AI29</f>
        <v>38</v>
      </c>
      <c r="AJ27" s="51">
        <f>April!AJ29</f>
        <v>177.5</v>
      </c>
    </row>
    <row r="28" spans="1:36">
      <c r="A28" s="140"/>
      <c r="B28" s="57" t="s">
        <v>141</v>
      </c>
      <c r="C28" s="49">
        <f>April!C35</f>
        <v>11</v>
      </c>
      <c r="D28" s="50">
        <f>April!D35</f>
        <v>10</v>
      </c>
      <c r="E28" s="50">
        <f>April!E35</f>
        <v>1</v>
      </c>
      <c r="F28" s="50">
        <f>April!F35</f>
        <v>9</v>
      </c>
      <c r="G28" s="57">
        <f>April!G35</f>
        <v>0</v>
      </c>
      <c r="H28" s="49">
        <f>April!H35</f>
        <v>5</v>
      </c>
      <c r="I28" s="50">
        <f>April!I35</f>
        <v>3</v>
      </c>
      <c r="J28" s="50">
        <f>April!J35</f>
        <v>1</v>
      </c>
      <c r="K28" s="50">
        <f>April!K35</f>
        <v>2</v>
      </c>
      <c r="L28" s="51">
        <f>April!L35</f>
        <v>0</v>
      </c>
      <c r="M28" s="55">
        <f>April!M35</f>
        <v>4</v>
      </c>
      <c r="N28" s="50">
        <f>April!N35</f>
        <v>2</v>
      </c>
      <c r="O28" s="50">
        <f>April!O35</f>
        <v>2</v>
      </c>
      <c r="P28" s="51">
        <f>April!P35</f>
        <v>0</v>
      </c>
      <c r="Q28" s="55">
        <f>April!Q35</f>
        <v>70.2</v>
      </c>
      <c r="R28" s="50">
        <f>April!R35</f>
        <v>44</v>
      </c>
      <c r="S28" s="55">
        <f>April!S35</f>
        <v>51</v>
      </c>
      <c r="T28" s="57">
        <f>April!T35</f>
        <v>1111.85</v>
      </c>
      <c r="U28" s="49">
        <f>April!U35</f>
        <v>6606</v>
      </c>
      <c r="V28" s="51">
        <f>April!V35</f>
        <v>342</v>
      </c>
      <c r="W28" s="55">
        <f>April!W35</f>
        <v>9</v>
      </c>
      <c r="X28" s="50">
        <f>April!X35</f>
        <v>2</v>
      </c>
      <c r="Y28" s="50">
        <f>April!Y35</f>
        <v>3</v>
      </c>
      <c r="Z28" s="50">
        <f>April!Z35</f>
        <v>4</v>
      </c>
      <c r="AA28" s="50">
        <f>April!AA35</f>
        <v>13</v>
      </c>
      <c r="AB28" s="50">
        <f>April!AB35</f>
        <v>12</v>
      </c>
      <c r="AC28" s="51">
        <f>April!AC35</f>
        <v>43</v>
      </c>
      <c r="AD28" s="49">
        <f>April!AD35</f>
        <v>35</v>
      </c>
      <c r="AE28" s="50">
        <f>April!AE35</f>
        <v>7.5</v>
      </c>
      <c r="AF28" s="50">
        <f>April!AF35</f>
        <v>12.5</v>
      </c>
      <c r="AG28" s="50">
        <f>April!AG35</f>
        <v>14</v>
      </c>
      <c r="AH28" s="50">
        <f>April!AH35</f>
        <v>51.5</v>
      </c>
      <c r="AI28" s="50">
        <f>April!AI35</f>
        <v>44.5</v>
      </c>
      <c r="AJ28" s="51">
        <f>April!AJ35</f>
        <v>165</v>
      </c>
    </row>
    <row r="29" spans="1:36">
      <c r="A29" s="63" t="s">
        <v>126</v>
      </c>
      <c r="B29" s="64"/>
      <c r="C29" s="65">
        <f t="shared" ref="C29:S29" si="6">SUM(C24:C28)</f>
        <v>49</v>
      </c>
      <c r="D29" s="66">
        <f t="shared" si="6"/>
        <v>45</v>
      </c>
      <c r="E29" s="66">
        <f t="shared" si="6"/>
        <v>7</v>
      </c>
      <c r="F29" s="66">
        <f t="shared" si="6"/>
        <v>38</v>
      </c>
      <c r="G29" s="74">
        <f t="shared" si="6"/>
        <v>0</v>
      </c>
      <c r="H29" s="65">
        <f t="shared" si="6"/>
        <v>25</v>
      </c>
      <c r="I29" s="66">
        <f t="shared" si="6"/>
        <v>21</v>
      </c>
      <c r="J29" s="66">
        <f t="shared" si="6"/>
        <v>8</v>
      </c>
      <c r="K29" s="66">
        <f t="shared" si="6"/>
        <v>13</v>
      </c>
      <c r="L29" s="67">
        <f t="shared" si="6"/>
        <v>0</v>
      </c>
      <c r="M29" s="72">
        <f t="shared" si="6"/>
        <v>14</v>
      </c>
      <c r="N29" s="66">
        <f t="shared" si="6"/>
        <v>4</v>
      </c>
      <c r="O29" s="66">
        <f t="shared" si="6"/>
        <v>6</v>
      </c>
      <c r="P29" s="67">
        <f t="shared" si="6"/>
        <v>1</v>
      </c>
      <c r="Q29" s="72">
        <f t="shared" si="6"/>
        <v>600.2</v>
      </c>
      <c r="R29" s="66">
        <f t="shared" si="6"/>
        <v>102.1</v>
      </c>
      <c r="S29" s="72">
        <f t="shared" si="6"/>
        <v>227</v>
      </c>
      <c r="T29" s="74">
        <f t="shared" ref="T29:AJ29" si="7">SUM(T24:T28)</f>
        <v>4884</v>
      </c>
      <c r="U29" s="65">
        <f t="shared" si="7"/>
        <v>27386</v>
      </c>
      <c r="V29" s="67">
        <f t="shared" si="7"/>
        <v>1937</v>
      </c>
      <c r="W29" s="72">
        <f t="shared" si="7"/>
        <v>57</v>
      </c>
      <c r="X29" s="66">
        <f t="shared" si="7"/>
        <v>16</v>
      </c>
      <c r="Y29" s="66">
        <f t="shared" si="7"/>
        <v>23</v>
      </c>
      <c r="Z29" s="66">
        <f t="shared" si="7"/>
        <v>14</v>
      </c>
      <c r="AA29" s="66">
        <f t="shared" si="7"/>
        <v>60</v>
      </c>
      <c r="AB29" s="66">
        <f t="shared" si="7"/>
        <v>57</v>
      </c>
      <c r="AC29" s="67">
        <f t="shared" si="7"/>
        <v>227</v>
      </c>
      <c r="AD29" s="65">
        <f t="shared" si="7"/>
        <v>210</v>
      </c>
      <c r="AE29" s="66">
        <f t="shared" si="7"/>
        <v>59</v>
      </c>
      <c r="AF29" s="66">
        <f t="shared" si="7"/>
        <v>79</v>
      </c>
      <c r="AG29" s="66">
        <f t="shared" si="7"/>
        <v>51.5</v>
      </c>
      <c r="AH29" s="66">
        <f t="shared" si="7"/>
        <v>233.5</v>
      </c>
      <c r="AI29" s="66">
        <f t="shared" si="7"/>
        <v>219.5</v>
      </c>
      <c r="AJ29" s="67">
        <f t="shared" si="7"/>
        <v>852.5</v>
      </c>
    </row>
    <row r="30" spans="1:36">
      <c r="A30" s="138" t="s">
        <v>24</v>
      </c>
      <c r="B30" s="57" t="s">
        <v>142</v>
      </c>
      <c r="C30" s="49">
        <f>May!C11</f>
        <v>3</v>
      </c>
      <c r="D30" s="50">
        <f>May!D11</f>
        <v>3</v>
      </c>
      <c r="E30" s="50">
        <f>May!E11</f>
        <v>1</v>
      </c>
      <c r="F30" s="50">
        <f>May!F11</f>
        <v>2</v>
      </c>
      <c r="G30" s="57">
        <f>May!G11</f>
        <v>0</v>
      </c>
      <c r="H30" s="49">
        <f>May!H11</f>
        <v>3</v>
      </c>
      <c r="I30" s="50">
        <f>May!I11</f>
        <v>2</v>
      </c>
      <c r="J30" s="50">
        <f>May!J11</f>
        <v>0</v>
      </c>
      <c r="K30" s="50">
        <f>May!K11</f>
        <v>2</v>
      </c>
      <c r="L30" s="51">
        <f>May!L11</f>
        <v>0</v>
      </c>
      <c r="M30" s="55">
        <f>May!M11</f>
        <v>1</v>
      </c>
      <c r="N30" s="50">
        <f>May!N11</f>
        <v>0</v>
      </c>
      <c r="O30" s="50">
        <f>May!O11</f>
        <v>0</v>
      </c>
      <c r="P30" s="51">
        <f>May!P11</f>
        <v>0</v>
      </c>
      <c r="Q30" s="55">
        <f>May!Q11</f>
        <v>34.8</v>
      </c>
      <c r="R30" s="50">
        <f>May!R11</f>
        <v>10.4</v>
      </c>
      <c r="S30" s="55">
        <f>May!S11</f>
        <v>11</v>
      </c>
      <c r="T30" s="57">
        <f>May!T11</f>
        <v>182.41</v>
      </c>
      <c r="U30" s="49">
        <f>May!U11</f>
        <v>1581</v>
      </c>
      <c r="V30" s="51">
        <f>May!V11</f>
        <v>185</v>
      </c>
      <c r="W30" s="55">
        <f>May!W11</f>
        <v>4</v>
      </c>
      <c r="X30" s="50">
        <f>May!X11</f>
        <v>2</v>
      </c>
      <c r="Y30" s="50">
        <f>May!Y11</f>
        <v>1</v>
      </c>
      <c r="Z30" s="50">
        <f>May!Z11</f>
        <v>2</v>
      </c>
      <c r="AA30" s="50">
        <f>May!AA11</f>
        <v>4</v>
      </c>
      <c r="AB30" s="50">
        <f>May!AB11</f>
        <v>3</v>
      </c>
      <c r="AC30" s="51">
        <f>May!AC11</f>
        <v>16</v>
      </c>
      <c r="AD30" s="49">
        <f>May!AD11</f>
        <v>12</v>
      </c>
      <c r="AE30" s="50">
        <f>May!AE11</f>
        <v>5.5</v>
      </c>
      <c r="AF30" s="50">
        <f>May!AF11</f>
        <v>4.5</v>
      </c>
      <c r="AG30" s="50">
        <f>May!AG11</f>
        <v>10.5</v>
      </c>
      <c r="AH30" s="50">
        <f>May!AH11</f>
        <v>9.5</v>
      </c>
      <c r="AI30" s="50">
        <f>May!AI11</f>
        <v>16.5</v>
      </c>
      <c r="AJ30" s="51">
        <f>May!AJ11</f>
        <v>58.5</v>
      </c>
    </row>
    <row r="31" spans="1:36">
      <c r="A31" s="139"/>
      <c r="B31" s="57" t="s">
        <v>143</v>
      </c>
      <c r="C31" s="49">
        <f>May!C17</f>
        <v>12</v>
      </c>
      <c r="D31" s="50">
        <f>May!D17</f>
        <v>11</v>
      </c>
      <c r="E31" s="50">
        <f>May!E17</f>
        <v>2</v>
      </c>
      <c r="F31" s="50">
        <f>May!F17</f>
        <v>9</v>
      </c>
      <c r="G31" s="57">
        <f>May!G17</f>
        <v>0</v>
      </c>
      <c r="H31" s="49">
        <f>May!H17</f>
        <v>11</v>
      </c>
      <c r="I31" s="50">
        <f>May!I17</f>
        <v>11</v>
      </c>
      <c r="J31" s="50">
        <f>May!J17</f>
        <v>3</v>
      </c>
      <c r="K31" s="50">
        <f>May!K17</f>
        <v>8</v>
      </c>
      <c r="L31" s="51">
        <f>May!L17</f>
        <v>0</v>
      </c>
      <c r="M31" s="55">
        <f>May!M17</f>
        <v>5</v>
      </c>
      <c r="N31" s="50">
        <f>May!N17</f>
        <v>1</v>
      </c>
      <c r="O31" s="50">
        <f>May!O17</f>
        <v>2</v>
      </c>
      <c r="P31" s="51">
        <f>May!P17</f>
        <v>0</v>
      </c>
      <c r="Q31" s="55">
        <f>May!Q17</f>
        <v>134</v>
      </c>
      <c r="R31" s="50">
        <f>May!R17</f>
        <v>27.9</v>
      </c>
      <c r="S31" s="55">
        <f>May!S17</f>
        <v>53</v>
      </c>
      <c r="T31" s="57">
        <f>May!T17</f>
        <v>1327.55</v>
      </c>
      <c r="U31" s="49">
        <f>May!U17</f>
        <v>3696</v>
      </c>
      <c r="V31" s="51">
        <f>May!V17</f>
        <v>317</v>
      </c>
      <c r="W31" s="55">
        <f>May!W17</f>
        <v>6</v>
      </c>
      <c r="X31" s="50">
        <f>May!X17</f>
        <v>5</v>
      </c>
      <c r="Y31" s="50">
        <f>May!Y17</f>
        <v>7</v>
      </c>
      <c r="Z31" s="50">
        <f>May!Z17</f>
        <v>2</v>
      </c>
      <c r="AA31" s="50">
        <f>May!AA17</f>
        <v>16</v>
      </c>
      <c r="AB31" s="50">
        <f>May!AB17</f>
        <v>9</v>
      </c>
      <c r="AC31" s="51">
        <f>May!AC17</f>
        <v>45</v>
      </c>
      <c r="AD31" s="49">
        <f>May!AD17</f>
        <v>19.5</v>
      </c>
      <c r="AE31" s="50">
        <f>May!AE17</f>
        <v>15</v>
      </c>
      <c r="AF31" s="50">
        <f>May!AF17</f>
        <v>19</v>
      </c>
      <c r="AG31" s="50">
        <f>May!AG17</f>
        <v>7.5</v>
      </c>
      <c r="AH31" s="50">
        <f>May!AH17</f>
        <v>60</v>
      </c>
      <c r="AI31" s="50">
        <f>May!AI17</f>
        <v>31</v>
      </c>
      <c r="AJ31" s="51">
        <f>May!AJ17</f>
        <v>152</v>
      </c>
    </row>
    <row r="32" spans="1:36">
      <c r="A32" s="139"/>
      <c r="B32" s="57" t="s">
        <v>144</v>
      </c>
      <c r="C32" s="49">
        <f>May!C23</f>
        <v>9</v>
      </c>
      <c r="D32" s="50">
        <f>May!D23</f>
        <v>7</v>
      </c>
      <c r="E32" s="50">
        <f>May!E23</f>
        <v>3</v>
      </c>
      <c r="F32" s="50">
        <f>May!F23</f>
        <v>4</v>
      </c>
      <c r="G32" s="57">
        <f>May!G23</f>
        <v>0</v>
      </c>
      <c r="H32" s="49">
        <f>May!H23</f>
        <v>5</v>
      </c>
      <c r="I32" s="50">
        <f>May!I23</f>
        <v>4</v>
      </c>
      <c r="J32" s="50">
        <f>May!J23</f>
        <v>1</v>
      </c>
      <c r="K32" s="50">
        <f>May!K23</f>
        <v>3</v>
      </c>
      <c r="L32" s="51">
        <f>May!L23</f>
        <v>0</v>
      </c>
      <c r="M32" s="55">
        <f>May!M23</f>
        <v>1</v>
      </c>
      <c r="N32" s="50">
        <f>May!N23</f>
        <v>1</v>
      </c>
      <c r="O32" s="50">
        <f>May!O23</f>
        <v>0</v>
      </c>
      <c r="P32" s="51">
        <f>May!P23</f>
        <v>1</v>
      </c>
      <c r="Q32" s="55">
        <f>May!Q23</f>
        <v>137.2</v>
      </c>
      <c r="R32" s="50">
        <f>May!R23</f>
        <v>27.5</v>
      </c>
      <c r="S32" s="55">
        <f>May!S23</f>
        <v>72</v>
      </c>
      <c r="T32" s="57">
        <f>May!T23</f>
        <v>1529.82</v>
      </c>
      <c r="U32" s="49">
        <f>May!U23</f>
        <v>6200</v>
      </c>
      <c r="V32" s="51">
        <f>May!V23</f>
        <v>577</v>
      </c>
      <c r="W32" s="55">
        <f>May!W23</f>
        <v>13</v>
      </c>
      <c r="X32" s="50">
        <f>May!X23</f>
        <v>7</v>
      </c>
      <c r="Y32" s="50">
        <f>May!Y23</f>
        <v>7</v>
      </c>
      <c r="Z32" s="50">
        <f>May!Z23</f>
        <v>3</v>
      </c>
      <c r="AA32" s="50">
        <f>May!AA23</f>
        <v>13</v>
      </c>
      <c r="AB32" s="50">
        <f>May!AB23</f>
        <v>15</v>
      </c>
      <c r="AC32" s="51">
        <f>May!AC23</f>
        <v>58</v>
      </c>
      <c r="AD32" s="49">
        <f>May!AD23</f>
        <v>51.5</v>
      </c>
      <c r="AE32" s="50">
        <f>May!AE23</f>
        <v>29</v>
      </c>
      <c r="AF32" s="50">
        <f>May!AF23</f>
        <v>22.5</v>
      </c>
      <c r="AG32" s="50">
        <f>May!AG23</f>
        <v>13.5</v>
      </c>
      <c r="AH32" s="50">
        <f>May!AH23</f>
        <v>62.5</v>
      </c>
      <c r="AI32" s="50">
        <f>May!AI23</f>
        <v>43</v>
      </c>
      <c r="AJ32" s="51">
        <f>May!AJ23</f>
        <v>222</v>
      </c>
    </row>
    <row r="33" spans="1:36">
      <c r="A33" s="139"/>
      <c r="B33" s="57" t="s">
        <v>145</v>
      </c>
      <c r="C33" s="49">
        <f>May!C29</f>
        <v>5</v>
      </c>
      <c r="D33" s="50">
        <f>May!D29</f>
        <v>3</v>
      </c>
      <c r="E33" s="50">
        <f>May!E29</f>
        <v>1</v>
      </c>
      <c r="F33" s="50">
        <f>May!F29</f>
        <v>2</v>
      </c>
      <c r="G33" s="57">
        <f>May!G29</f>
        <v>0</v>
      </c>
      <c r="H33" s="49">
        <f>May!H29</f>
        <v>10</v>
      </c>
      <c r="I33" s="50">
        <f>May!I29</f>
        <v>8</v>
      </c>
      <c r="J33" s="50">
        <f>May!J29</f>
        <v>2</v>
      </c>
      <c r="K33" s="50">
        <f>May!K29</f>
        <v>6</v>
      </c>
      <c r="L33" s="51">
        <f>May!L29</f>
        <v>0</v>
      </c>
      <c r="M33" s="55">
        <f>May!M29</f>
        <v>6</v>
      </c>
      <c r="N33" s="50">
        <f>May!N29</f>
        <v>0</v>
      </c>
      <c r="O33" s="50">
        <f>May!O29</f>
        <v>3</v>
      </c>
      <c r="P33" s="51">
        <f>May!P29</f>
        <v>2</v>
      </c>
      <c r="Q33" s="55">
        <f>May!Q29</f>
        <v>221</v>
      </c>
      <c r="R33" s="50">
        <f>May!R29</f>
        <v>0</v>
      </c>
      <c r="S33" s="55">
        <f>May!S29</f>
        <v>71</v>
      </c>
      <c r="T33" s="57">
        <f>May!T29</f>
        <v>1136.68</v>
      </c>
      <c r="U33" s="49">
        <f>May!U29</f>
        <v>7274</v>
      </c>
      <c r="V33" s="51">
        <f>May!V29</f>
        <v>546</v>
      </c>
      <c r="W33" s="55">
        <f>May!W29</f>
        <v>17</v>
      </c>
      <c r="X33" s="50">
        <f>May!X29</f>
        <v>2</v>
      </c>
      <c r="Y33" s="50">
        <f>May!Y29</f>
        <v>3</v>
      </c>
      <c r="Z33" s="50">
        <f>May!Z29</f>
        <v>3</v>
      </c>
      <c r="AA33" s="50">
        <f>May!AA29</f>
        <v>12</v>
      </c>
      <c r="AB33" s="50">
        <f>May!AB29</f>
        <v>13</v>
      </c>
      <c r="AC33" s="51">
        <f>May!AC29</f>
        <v>50</v>
      </c>
      <c r="AD33" s="49">
        <f>May!AD29</f>
        <v>52.5</v>
      </c>
      <c r="AE33" s="50">
        <f>May!AE29</f>
        <v>9</v>
      </c>
      <c r="AF33" s="50">
        <f>May!AF29</f>
        <v>11.5</v>
      </c>
      <c r="AG33" s="50">
        <f>May!AG29</f>
        <v>11.5</v>
      </c>
      <c r="AH33" s="50">
        <f>May!AH29</f>
        <v>38</v>
      </c>
      <c r="AI33" s="50">
        <f>May!AI29</f>
        <v>53</v>
      </c>
      <c r="AJ33" s="51">
        <f>May!AJ29</f>
        <v>175.5</v>
      </c>
    </row>
    <row r="34" spans="1:36">
      <c r="A34" s="140"/>
      <c r="B34" s="57" t="s">
        <v>146</v>
      </c>
      <c r="C34" s="49">
        <f>May!C35</f>
        <v>5</v>
      </c>
      <c r="D34" s="50">
        <f>May!D35</f>
        <v>5</v>
      </c>
      <c r="E34" s="50">
        <f>May!E35</f>
        <v>2</v>
      </c>
      <c r="F34" s="50">
        <f>May!F35</f>
        <v>3</v>
      </c>
      <c r="G34" s="57">
        <f>May!G35</f>
        <v>0</v>
      </c>
      <c r="H34" s="49">
        <f>May!H35</f>
        <v>6</v>
      </c>
      <c r="I34" s="50">
        <f>May!I35</f>
        <v>5</v>
      </c>
      <c r="J34" s="50">
        <f>May!J35</f>
        <v>2</v>
      </c>
      <c r="K34" s="50">
        <f>May!K35</f>
        <v>3</v>
      </c>
      <c r="L34" s="51">
        <f>May!L35</f>
        <v>0</v>
      </c>
      <c r="M34" s="55">
        <f>May!M35</f>
        <v>2</v>
      </c>
      <c r="N34" s="50">
        <f>May!N35</f>
        <v>2</v>
      </c>
      <c r="O34" s="50">
        <f>May!O35</f>
        <v>0</v>
      </c>
      <c r="P34" s="51">
        <f>May!P35</f>
        <v>0</v>
      </c>
      <c r="Q34" s="55">
        <f>May!Q35</f>
        <v>141.8</v>
      </c>
      <c r="R34" s="50">
        <f>May!R35</f>
        <v>34.6</v>
      </c>
      <c r="S34" s="55">
        <f>May!S35</f>
        <v>64</v>
      </c>
      <c r="T34" s="57">
        <f>May!T35</f>
        <v>1208.19</v>
      </c>
      <c r="U34" s="49">
        <f>May!U35</f>
        <v>3424</v>
      </c>
      <c r="V34" s="51">
        <f>May!V35</f>
        <v>337</v>
      </c>
      <c r="W34" s="55">
        <f>May!W35</f>
        <v>9</v>
      </c>
      <c r="X34" s="50">
        <f>May!X35</f>
        <v>3</v>
      </c>
      <c r="Y34" s="50">
        <f>May!Y35</f>
        <v>5</v>
      </c>
      <c r="Z34" s="50">
        <f>May!Z35</f>
        <v>2</v>
      </c>
      <c r="AA34" s="50">
        <f>May!AA35</f>
        <v>19</v>
      </c>
      <c r="AB34" s="50">
        <f>May!AB35</f>
        <v>12</v>
      </c>
      <c r="AC34" s="51">
        <f>May!AC35</f>
        <v>50</v>
      </c>
      <c r="AD34" s="49">
        <f>May!AD35</f>
        <v>40</v>
      </c>
      <c r="AE34" s="50">
        <f>May!AE35</f>
        <v>12</v>
      </c>
      <c r="AF34" s="50">
        <f>May!AF35</f>
        <v>21</v>
      </c>
      <c r="AG34" s="50">
        <f>May!AG35</f>
        <v>8</v>
      </c>
      <c r="AH34" s="50">
        <f>May!AH35</f>
        <v>83</v>
      </c>
      <c r="AI34" s="50">
        <f>May!AI35</f>
        <v>44</v>
      </c>
      <c r="AJ34" s="51">
        <f>May!AJ35</f>
        <v>208</v>
      </c>
    </row>
    <row r="35" ht="17.55" spans="1:36">
      <c r="A35" s="83" t="s">
        <v>126</v>
      </c>
      <c r="B35" s="84"/>
      <c r="C35" s="90">
        <f>SUM(C30:C34)</f>
        <v>34</v>
      </c>
      <c r="D35" s="66">
        <f>SUM(D30:D34)</f>
        <v>29</v>
      </c>
      <c r="E35" s="66">
        <f>SUM(E30:E34)</f>
        <v>9</v>
      </c>
      <c r="F35" s="66">
        <f>SUM(F30:F34)</f>
        <v>20</v>
      </c>
      <c r="G35" s="74">
        <f>SUM(G30:G34)</f>
        <v>0</v>
      </c>
      <c r="H35" s="65">
        <f t="shared" ref="H35:T35" si="8">SUM(H30:H34)</f>
        <v>35</v>
      </c>
      <c r="I35" s="66">
        <f t="shared" si="8"/>
        <v>30</v>
      </c>
      <c r="J35" s="66">
        <f t="shared" si="8"/>
        <v>8</v>
      </c>
      <c r="K35" s="66">
        <f t="shared" si="8"/>
        <v>22</v>
      </c>
      <c r="L35" s="67">
        <f t="shared" si="8"/>
        <v>0</v>
      </c>
      <c r="M35" s="72">
        <f t="shared" si="8"/>
        <v>15</v>
      </c>
      <c r="N35" s="66">
        <f t="shared" si="8"/>
        <v>4</v>
      </c>
      <c r="O35" s="66">
        <f t="shared" si="8"/>
        <v>5</v>
      </c>
      <c r="P35" s="67">
        <f t="shared" si="8"/>
        <v>3</v>
      </c>
      <c r="Q35" s="72">
        <f t="shared" si="8"/>
        <v>668.8</v>
      </c>
      <c r="R35" s="66">
        <f t="shared" si="8"/>
        <v>100.4</v>
      </c>
      <c r="S35" s="72">
        <f t="shared" si="8"/>
        <v>271</v>
      </c>
      <c r="T35" s="74">
        <f t="shared" si="8"/>
        <v>5384.65</v>
      </c>
      <c r="U35" s="65">
        <f t="shared" ref="U35:AJ35" si="9">SUM(U30:U34)</f>
        <v>22175</v>
      </c>
      <c r="V35" s="67">
        <f t="shared" si="9"/>
        <v>1962</v>
      </c>
      <c r="W35" s="95">
        <f t="shared" si="9"/>
        <v>49</v>
      </c>
      <c r="X35" s="91">
        <f t="shared" si="9"/>
        <v>19</v>
      </c>
      <c r="Y35" s="91">
        <f t="shared" si="9"/>
        <v>23</v>
      </c>
      <c r="Z35" s="91">
        <f t="shared" si="9"/>
        <v>12</v>
      </c>
      <c r="AA35" s="91">
        <f t="shared" si="9"/>
        <v>64</v>
      </c>
      <c r="AB35" s="91">
        <f t="shared" si="9"/>
        <v>52</v>
      </c>
      <c r="AC35" s="92">
        <f t="shared" si="9"/>
        <v>219</v>
      </c>
      <c r="AD35" s="90">
        <f t="shared" si="9"/>
        <v>175.5</v>
      </c>
      <c r="AE35" s="91">
        <f t="shared" si="9"/>
        <v>70.5</v>
      </c>
      <c r="AF35" s="91">
        <f t="shared" si="9"/>
        <v>78.5</v>
      </c>
      <c r="AG35" s="91">
        <f t="shared" si="9"/>
        <v>51</v>
      </c>
      <c r="AH35" s="91">
        <f t="shared" si="9"/>
        <v>253</v>
      </c>
      <c r="AI35" s="91">
        <f t="shared" si="9"/>
        <v>187.5</v>
      </c>
      <c r="AJ35" s="92">
        <f t="shared" si="9"/>
        <v>816</v>
      </c>
    </row>
    <row r="36" ht="17.55" spans="1:36">
      <c r="A36" s="141" t="s">
        <v>25</v>
      </c>
      <c r="B36" s="57" t="s">
        <v>147</v>
      </c>
      <c r="C36" s="49">
        <f>June!C11</f>
        <v>8</v>
      </c>
      <c r="D36" s="50">
        <f>June!D11</f>
        <v>7</v>
      </c>
      <c r="E36" s="50">
        <f>June!E11</f>
        <v>3</v>
      </c>
      <c r="F36" s="50">
        <f>June!F11</f>
        <v>3</v>
      </c>
      <c r="G36" s="57">
        <f>June!G11</f>
        <v>1</v>
      </c>
      <c r="H36" s="49">
        <f>June!H11</f>
        <v>9</v>
      </c>
      <c r="I36" s="50">
        <f>June!I11</f>
        <v>7</v>
      </c>
      <c r="J36" s="50">
        <f>June!J11</f>
        <v>3</v>
      </c>
      <c r="K36" s="50">
        <f>June!K11</f>
        <v>4</v>
      </c>
      <c r="L36" s="51">
        <f>June!L11</f>
        <v>0</v>
      </c>
      <c r="M36" s="55">
        <f>June!M11</f>
        <v>1</v>
      </c>
      <c r="N36" s="50">
        <f>June!N11</f>
        <v>1</v>
      </c>
      <c r="O36" s="50">
        <f>June!O11</f>
        <v>1</v>
      </c>
      <c r="P36" s="51">
        <f>June!P11</f>
        <v>0</v>
      </c>
      <c r="Q36" s="55">
        <f>June!Q11</f>
        <v>107.5</v>
      </c>
      <c r="R36" s="50">
        <f>June!R11</f>
        <v>0</v>
      </c>
      <c r="S36" s="55">
        <f>June!S11</f>
        <v>78</v>
      </c>
      <c r="T36" s="57">
        <f>June!T11</f>
        <v>1793.82</v>
      </c>
      <c r="U36" s="49">
        <f>June!U11</f>
        <v>5324</v>
      </c>
      <c r="V36" s="51">
        <f>June!V11</f>
        <v>527</v>
      </c>
      <c r="W36" s="55">
        <f>June!W11</f>
        <v>10</v>
      </c>
      <c r="X36" s="50">
        <f>June!X11</f>
        <v>3</v>
      </c>
      <c r="Y36" s="50">
        <f>June!Y11</f>
        <v>6</v>
      </c>
      <c r="Z36" s="50">
        <f>June!Z11</f>
        <v>3</v>
      </c>
      <c r="AA36" s="50">
        <f>June!AA11</f>
        <v>16</v>
      </c>
      <c r="AB36" s="50">
        <f>June!AB11</f>
        <v>18</v>
      </c>
      <c r="AC36" s="51">
        <f>June!AC11</f>
        <v>56</v>
      </c>
      <c r="AD36" s="49">
        <f>June!AD11</f>
        <v>34</v>
      </c>
      <c r="AE36" s="50">
        <f>June!AE11</f>
        <v>11.5</v>
      </c>
      <c r="AF36" s="50">
        <f>June!AF11</f>
        <v>24.5</v>
      </c>
      <c r="AG36" s="50">
        <f>June!AG11</f>
        <v>13</v>
      </c>
      <c r="AH36" s="50">
        <f>June!AH11</f>
        <v>54.5</v>
      </c>
      <c r="AI36" s="50">
        <f>June!AI11</f>
        <v>71.5</v>
      </c>
      <c r="AJ36" s="51">
        <f>June!AJ11</f>
        <v>209</v>
      </c>
    </row>
    <row r="37" spans="1:36">
      <c r="A37" s="139"/>
      <c r="B37" s="43" t="s">
        <v>148</v>
      </c>
      <c r="C37" s="36">
        <f>June!C17</f>
        <v>8</v>
      </c>
      <c r="D37" s="50">
        <f>June!D17</f>
        <v>7</v>
      </c>
      <c r="E37" s="50">
        <f>June!E17</f>
        <v>3</v>
      </c>
      <c r="F37" s="50">
        <f>June!F17</f>
        <v>4</v>
      </c>
      <c r="G37" s="57">
        <f>June!G17</f>
        <v>0</v>
      </c>
      <c r="H37" s="49">
        <f>June!H17</f>
        <v>9</v>
      </c>
      <c r="I37" s="50">
        <f>June!I17</f>
        <v>8</v>
      </c>
      <c r="J37" s="50">
        <f>June!J17</f>
        <v>2</v>
      </c>
      <c r="K37" s="50">
        <f>June!K17</f>
        <v>5</v>
      </c>
      <c r="L37" s="51">
        <f>June!L17</f>
        <v>1</v>
      </c>
      <c r="M37" s="55">
        <f>June!M17</f>
        <v>3</v>
      </c>
      <c r="N37" s="50">
        <f>June!N17</f>
        <v>2</v>
      </c>
      <c r="O37" s="50">
        <f>June!O17</f>
        <v>2</v>
      </c>
      <c r="P37" s="51">
        <f>June!P17</f>
        <v>2</v>
      </c>
      <c r="Q37" s="55">
        <f>June!Q17</f>
        <v>90.7</v>
      </c>
      <c r="R37" s="50">
        <f>June!R17</f>
        <v>19.8</v>
      </c>
      <c r="S37" s="55">
        <f>June!S17</f>
        <v>73</v>
      </c>
      <c r="T37" s="57">
        <f>June!T17</f>
        <v>1789.74</v>
      </c>
      <c r="U37" s="49">
        <f>June!U17</f>
        <v>2650</v>
      </c>
      <c r="V37" s="51">
        <f>June!V17</f>
        <v>198</v>
      </c>
      <c r="W37" s="41">
        <f>June!W17</f>
        <v>16</v>
      </c>
      <c r="X37" s="37">
        <f>June!X17</f>
        <v>5</v>
      </c>
      <c r="Y37" s="37">
        <f>June!Y17</f>
        <v>7</v>
      </c>
      <c r="Z37" s="37">
        <f>June!Z17</f>
        <v>1</v>
      </c>
      <c r="AA37" s="37">
        <f>June!AA17</f>
        <v>12</v>
      </c>
      <c r="AB37" s="37">
        <f>June!AB17</f>
        <v>12</v>
      </c>
      <c r="AC37" s="38">
        <f>June!AC17</f>
        <v>53</v>
      </c>
      <c r="AD37" s="36">
        <f>June!AD17</f>
        <v>59</v>
      </c>
      <c r="AE37" s="37">
        <f>June!AE17</f>
        <v>23.5</v>
      </c>
      <c r="AF37" s="37">
        <f>June!AF17</f>
        <v>27.5</v>
      </c>
      <c r="AG37" s="37">
        <f>June!AG17</f>
        <v>2</v>
      </c>
      <c r="AH37" s="37">
        <f>June!AH17</f>
        <v>38.5</v>
      </c>
      <c r="AI37" s="37">
        <f>June!AI17</f>
        <v>40</v>
      </c>
      <c r="AJ37" s="38">
        <f>June!AJ17</f>
        <v>190.5</v>
      </c>
    </row>
    <row r="38" spans="1:36">
      <c r="A38" s="139"/>
      <c r="B38" s="57" t="s">
        <v>149</v>
      </c>
      <c r="C38" s="49">
        <f>June!C23</f>
        <v>9</v>
      </c>
      <c r="D38" s="50">
        <f>June!D23</f>
        <v>8</v>
      </c>
      <c r="E38" s="50">
        <f>June!E23</f>
        <v>1</v>
      </c>
      <c r="F38" s="50">
        <f>June!F23</f>
        <v>7</v>
      </c>
      <c r="G38" s="57">
        <f>June!G23</f>
        <v>0</v>
      </c>
      <c r="H38" s="49">
        <f>June!H23</f>
        <v>5</v>
      </c>
      <c r="I38" s="50">
        <f>June!I23</f>
        <v>4</v>
      </c>
      <c r="J38" s="50">
        <f>June!J23</f>
        <v>2</v>
      </c>
      <c r="K38" s="50">
        <f>June!K23</f>
        <v>2</v>
      </c>
      <c r="L38" s="51">
        <f>June!L23</f>
        <v>0</v>
      </c>
      <c r="M38" s="55">
        <f>June!M23</f>
        <v>3</v>
      </c>
      <c r="N38" s="50">
        <f>June!N23</f>
        <v>2</v>
      </c>
      <c r="O38" s="50">
        <f>June!O23</f>
        <v>3</v>
      </c>
      <c r="P38" s="51">
        <f>June!P23</f>
        <v>0</v>
      </c>
      <c r="Q38" s="55">
        <f>June!Q23</f>
        <v>53.5</v>
      </c>
      <c r="R38" s="50">
        <f>June!R23</f>
        <v>42.7</v>
      </c>
      <c r="S38" s="55">
        <f>June!S23</f>
        <v>49</v>
      </c>
      <c r="T38" s="57">
        <f>June!T23</f>
        <v>1022.95</v>
      </c>
      <c r="U38" s="49">
        <f>June!U23</f>
        <v>7455</v>
      </c>
      <c r="V38" s="51">
        <f>June!V23</f>
        <v>776</v>
      </c>
      <c r="W38" s="55">
        <f>June!W23</f>
        <v>10</v>
      </c>
      <c r="X38" s="50">
        <f>June!X23</f>
        <v>5</v>
      </c>
      <c r="Y38" s="50">
        <f>June!Y23</f>
        <v>8</v>
      </c>
      <c r="Z38" s="50">
        <f>June!Z23</f>
        <v>4</v>
      </c>
      <c r="AA38" s="50">
        <f>June!AA23</f>
        <v>9</v>
      </c>
      <c r="AB38" s="50">
        <f>June!AB23</f>
        <v>13</v>
      </c>
      <c r="AC38" s="51">
        <f>June!AC23</f>
        <v>49</v>
      </c>
      <c r="AD38" s="49">
        <f>June!AD23</f>
        <v>35.5</v>
      </c>
      <c r="AE38" s="50">
        <f>June!AE23</f>
        <v>18</v>
      </c>
      <c r="AF38" s="50">
        <f>June!AF23</f>
        <v>25.5</v>
      </c>
      <c r="AG38" s="50">
        <f>June!AG23</f>
        <v>13.5</v>
      </c>
      <c r="AH38" s="50">
        <f>June!AH23</f>
        <v>35</v>
      </c>
      <c r="AI38" s="50">
        <f>June!AI23</f>
        <v>44</v>
      </c>
      <c r="AJ38" s="51">
        <f>June!AJ23</f>
        <v>171.5</v>
      </c>
    </row>
    <row r="39" spans="1:36">
      <c r="A39" s="139"/>
      <c r="B39" s="57" t="s">
        <v>150</v>
      </c>
      <c r="C39" s="49">
        <f>June!C29</f>
        <v>11</v>
      </c>
      <c r="D39" s="50">
        <f>June!D29</f>
        <v>10</v>
      </c>
      <c r="E39" s="50">
        <f>June!E29</f>
        <v>2</v>
      </c>
      <c r="F39" s="50">
        <f>June!F29</f>
        <v>8</v>
      </c>
      <c r="G39" s="57">
        <f>June!G29</f>
        <v>0</v>
      </c>
      <c r="H39" s="49">
        <f>June!H29</f>
        <v>6</v>
      </c>
      <c r="I39" s="50">
        <f>June!I29</f>
        <v>6</v>
      </c>
      <c r="J39" s="50">
        <f>June!J29</f>
        <v>1</v>
      </c>
      <c r="K39" s="50">
        <f>June!K29</f>
        <v>5</v>
      </c>
      <c r="L39" s="51">
        <f>June!L29</f>
        <v>0</v>
      </c>
      <c r="M39" s="55">
        <f>June!M29</f>
        <v>1</v>
      </c>
      <c r="N39" s="50">
        <f>June!N29</f>
        <v>2</v>
      </c>
      <c r="O39" s="50">
        <f>June!O29</f>
        <v>2</v>
      </c>
      <c r="P39" s="51">
        <f>June!P29</f>
        <v>0</v>
      </c>
      <c r="Q39" s="55">
        <f>June!Q29</f>
        <v>123.2</v>
      </c>
      <c r="R39" s="50">
        <f>June!R29</f>
        <v>35.5</v>
      </c>
      <c r="S39" s="55">
        <f>June!S29</f>
        <v>63</v>
      </c>
      <c r="T39" s="57">
        <f>June!T29</f>
        <v>1311.34</v>
      </c>
      <c r="U39" s="49">
        <f>June!U29</f>
        <v>6178</v>
      </c>
      <c r="V39" s="51">
        <f>June!V29</f>
        <v>792</v>
      </c>
      <c r="W39" s="55">
        <f>June!W29</f>
        <v>14</v>
      </c>
      <c r="X39" s="50">
        <f>June!X29</f>
        <v>6</v>
      </c>
      <c r="Y39" s="50">
        <f>June!Y29</f>
        <v>4</v>
      </c>
      <c r="Z39" s="50">
        <f>June!Z29</f>
        <v>5</v>
      </c>
      <c r="AA39" s="50">
        <f>June!AA29</f>
        <v>20</v>
      </c>
      <c r="AB39" s="50">
        <f>June!AB29</f>
        <v>17</v>
      </c>
      <c r="AC39" s="51">
        <f>June!AC29</f>
        <v>66</v>
      </c>
      <c r="AD39" s="49">
        <f>June!AD29</f>
        <v>43</v>
      </c>
      <c r="AE39" s="50">
        <f>June!AE29</f>
        <v>19.5</v>
      </c>
      <c r="AF39" s="50">
        <f>June!AF29</f>
        <v>19.5</v>
      </c>
      <c r="AG39" s="50">
        <f>June!AG29</f>
        <v>16</v>
      </c>
      <c r="AH39" s="50">
        <f>June!AH29</f>
        <v>74</v>
      </c>
      <c r="AI39" s="50">
        <f>June!AI29</f>
        <v>70</v>
      </c>
      <c r="AJ39" s="51">
        <f>June!AJ29</f>
        <v>242</v>
      </c>
    </row>
    <row r="40" spans="1:36">
      <c r="A40" s="140"/>
      <c r="B40" s="57" t="s">
        <v>151</v>
      </c>
      <c r="C40" s="49">
        <f>June!C35</f>
        <v>3</v>
      </c>
      <c r="D40" s="50">
        <f>June!D35</f>
        <v>3</v>
      </c>
      <c r="E40" s="50">
        <f>June!E35</f>
        <v>1</v>
      </c>
      <c r="F40" s="50">
        <f>June!F35</f>
        <v>2</v>
      </c>
      <c r="G40" s="57">
        <f>June!G35</f>
        <v>0</v>
      </c>
      <c r="H40" s="49">
        <f>June!H35</f>
        <v>3</v>
      </c>
      <c r="I40" s="50">
        <f>June!I35</f>
        <v>2</v>
      </c>
      <c r="J40" s="50">
        <f>June!J35</f>
        <v>0</v>
      </c>
      <c r="K40" s="50">
        <f>June!K35</f>
        <v>2</v>
      </c>
      <c r="L40" s="51">
        <f>June!L35</f>
        <v>0</v>
      </c>
      <c r="M40" s="55">
        <f>June!M35</f>
        <v>3</v>
      </c>
      <c r="N40" s="50">
        <f>June!N35</f>
        <v>2</v>
      </c>
      <c r="O40" s="50">
        <f>June!O35</f>
        <v>0</v>
      </c>
      <c r="P40" s="51">
        <f>June!P35</f>
        <v>1</v>
      </c>
      <c r="Q40" s="55">
        <f>June!Q35</f>
        <v>58.1</v>
      </c>
      <c r="R40" s="50">
        <f>June!R35</f>
        <v>0</v>
      </c>
      <c r="S40" s="55">
        <f>June!S35</f>
        <v>22</v>
      </c>
      <c r="T40" s="57">
        <f>June!T35</f>
        <v>581.15</v>
      </c>
      <c r="U40" s="49">
        <f>June!U35</f>
        <v>1303</v>
      </c>
      <c r="V40" s="51">
        <f>June!V35</f>
        <v>136</v>
      </c>
      <c r="W40" s="55">
        <f>June!W35</f>
        <v>3</v>
      </c>
      <c r="X40" s="50">
        <f>June!X35</f>
        <v>2</v>
      </c>
      <c r="Y40" s="50">
        <f>June!Y35</f>
        <v>4</v>
      </c>
      <c r="Z40" s="50">
        <f>June!Z35</f>
        <v>1</v>
      </c>
      <c r="AA40" s="50">
        <f>June!AA35</f>
        <v>5</v>
      </c>
      <c r="AB40" s="50">
        <f>June!AB35</f>
        <v>5</v>
      </c>
      <c r="AC40" s="51">
        <f>June!AC35</f>
        <v>20</v>
      </c>
      <c r="AD40" s="49">
        <f>June!AD35</f>
        <v>9</v>
      </c>
      <c r="AE40" s="50">
        <f>June!AE35</f>
        <v>7</v>
      </c>
      <c r="AF40" s="50">
        <f>June!AF35</f>
        <v>13.5</v>
      </c>
      <c r="AG40" s="50">
        <f>June!AG35</f>
        <v>3</v>
      </c>
      <c r="AH40" s="50">
        <f>June!AH35</f>
        <v>22</v>
      </c>
      <c r="AI40" s="50">
        <f>June!AI35</f>
        <v>11</v>
      </c>
      <c r="AJ40" s="51">
        <f>June!AJ35</f>
        <v>65.5</v>
      </c>
    </row>
    <row r="41" spans="1:36">
      <c r="A41" s="63" t="s">
        <v>126</v>
      </c>
      <c r="B41" s="64"/>
      <c r="C41" s="65">
        <f t="shared" ref="C41:J41" si="10">SUM(C36:C40)</f>
        <v>39</v>
      </c>
      <c r="D41" s="66">
        <f t="shared" si="10"/>
        <v>35</v>
      </c>
      <c r="E41" s="66">
        <f t="shared" si="10"/>
        <v>10</v>
      </c>
      <c r="F41" s="66">
        <f t="shared" si="10"/>
        <v>24</v>
      </c>
      <c r="G41" s="74">
        <f t="shared" si="10"/>
        <v>1</v>
      </c>
      <c r="H41" s="65">
        <f t="shared" si="10"/>
        <v>32</v>
      </c>
      <c r="I41" s="66">
        <f t="shared" si="10"/>
        <v>27</v>
      </c>
      <c r="J41" s="66">
        <f t="shared" si="10"/>
        <v>8</v>
      </c>
      <c r="K41" s="66">
        <f t="shared" ref="K41:L41" si="11">SUM(K36:K40)</f>
        <v>18</v>
      </c>
      <c r="L41" s="67">
        <f t="shared" si="11"/>
        <v>1</v>
      </c>
      <c r="M41" s="72">
        <f>SUM(P36:P40)</f>
        <v>3</v>
      </c>
      <c r="N41" s="66">
        <f>SUM(Q36:Q40)</f>
        <v>433</v>
      </c>
      <c r="O41" s="66">
        <f>SUM(R36:R40)</f>
        <v>98</v>
      </c>
      <c r="P41" s="67">
        <f>SUM(S36:S40)</f>
        <v>285</v>
      </c>
      <c r="Q41" s="72">
        <f>SUM(S36:S40)</f>
        <v>285</v>
      </c>
      <c r="R41" s="65">
        <f>SUM(T36:T40)</f>
        <v>6499</v>
      </c>
      <c r="S41" s="72">
        <f>SUM(T36:T40)</f>
        <v>6499</v>
      </c>
      <c r="T41" s="74">
        <f t="shared" ref="T41:AF41" si="12">SUM(W36:W40)</f>
        <v>53</v>
      </c>
      <c r="U41" s="65">
        <f t="shared" si="12"/>
        <v>21</v>
      </c>
      <c r="V41" s="67">
        <f t="shared" si="12"/>
        <v>29</v>
      </c>
      <c r="W41" s="72">
        <f t="shared" si="12"/>
        <v>14</v>
      </c>
      <c r="X41" s="66">
        <f t="shared" si="12"/>
        <v>62</v>
      </c>
      <c r="Y41" s="66">
        <f t="shared" si="12"/>
        <v>65</v>
      </c>
      <c r="Z41" s="66">
        <f t="shared" si="12"/>
        <v>244</v>
      </c>
      <c r="AA41" s="66">
        <f t="shared" si="12"/>
        <v>180.5</v>
      </c>
      <c r="AB41" s="66">
        <f t="shared" si="12"/>
        <v>79.5</v>
      </c>
      <c r="AC41" s="67">
        <f t="shared" si="12"/>
        <v>110.5</v>
      </c>
      <c r="AD41" s="65">
        <f t="shared" si="12"/>
        <v>47.5</v>
      </c>
      <c r="AE41" s="66">
        <f t="shared" si="12"/>
        <v>224</v>
      </c>
      <c r="AF41" s="66">
        <f t="shared" si="12"/>
        <v>236.5</v>
      </c>
      <c r="AG41" s="66">
        <f t="shared" ref="AG41:AJ41" si="13">SUM(AJ36:AJ40)</f>
        <v>878.5</v>
      </c>
      <c r="AH41" s="66">
        <f t="shared" si="13"/>
        <v>0</v>
      </c>
      <c r="AI41" s="66">
        <f t="shared" si="13"/>
        <v>0</v>
      </c>
      <c r="AJ41" s="66">
        <f t="shared" si="13"/>
        <v>0</v>
      </c>
    </row>
    <row r="42" spans="1:36">
      <c r="A42" s="138" t="s">
        <v>26</v>
      </c>
      <c r="B42" s="57" t="s">
        <v>152</v>
      </c>
      <c r="C42" s="49">
        <f>July!C11</f>
        <v>7</v>
      </c>
      <c r="D42" s="50">
        <f>July!D11</f>
        <v>7</v>
      </c>
      <c r="E42" s="50">
        <f>July!E11</f>
        <v>1</v>
      </c>
      <c r="F42" s="50">
        <f>July!F11</f>
        <v>5</v>
      </c>
      <c r="G42" s="57">
        <f>July!G11</f>
        <v>1</v>
      </c>
      <c r="H42" s="49">
        <f>July!H11</f>
        <v>5</v>
      </c>
      <c r="I42" s="50">
        <f>July!I11</f>
        <v>5</v>
      </c>
      <c r="J42" s="50">
        <f>July!J11</f>
        <v>1</v>
      </c>
      <c r="K42" s="50">
        <f>July!K11</f>
        <v>4</v>
      </c>
      <c r="L42" s="51">
        <f>July!L11</f>
        <v>0</v>
      </c>
      <c r="M42" s="55">
        <f>July!M11</f>
        <v>1</v>
      </c>
      <c r="N42" s="50">
        <f>July!N11</f>
        <v>2</v>
      </c>
      <c r="O42" s="50">
        <f>July!O11</f>
        <v>0</v>
      </c>
      <c r="P42" s="51">
        <f>July!P11</f>
        <v>0</v>
      </c>
      <c r="Q42" s="55">
        <f>July!Q11</f>
        <v>105.3</v>
      </c>
      <c r="R42" s="50">
        <f>July!R11</f>
        <v>14.1</v>
      </c>
      <c r="S42" s="55">
        <f>July!S11</f>
        <v>23</v>
      </c>
      <c r="T42" s="57">
        <f>July!T11</f>
        <v>407.59</v>
      </c>
      <c r="U42" s="49">
        <f>July!U11</f>
        <v>3122</v>
      </c>
      <c r="V42" s="51">
        <f>July!V11</f>
        <v>233</v>
      </c>
      <c r="W42" s="55">
        <f>July!W11</f>
        <v>8</v>
      </c>
      <c r="X42" s="50">
        <f>July!X11</f>
        <v>3</v>
      </c>
      <c r="Y42" s="50">
        <f>July!Y11</f>
        <v>4</v>
      </c>
      <c r="Z42" s="50">
        <f>July!Z11</f>
        <v>1</v>
      </c>
      <c r="AA42" s="50">
        <f>July!AA11</f>
        <v>11</v>
      </c>
      <c r="AB42" s="50">
        <f>July!AB11</f>
        <v>10</v>
      </c>
      <c r="AC42" s="51">
        <f>July!AC11</f>
        <v>37</v>
      </c>
      <c r="AD42" s="49">
        <f>July!AD11</f>
        <v>27.5</v>
      </c>
      <c r="AE42" s="50">
        <f>July!AE11</f>
        <v>10</v>
      </c>
      <c r="AF42" s="50">
        <f>July!AF11</f>
        <v>9.5</v>
      </c>
      <c r="AG42" s="50">
        <f>July!AG11</f>
        <v>3</v>
      </c>
      <c r="AH42" s="50">
        <f>July!AH11</f>
        <v>36.5</v>
      </c>
      <c r="AI42" s="50">
        <f>July!AI11</f>
        <v>32.5</v>
      </c>
      <c r="AJ42" s="51">
        <f>July!AJ11</f>
        <v>119</v>
      </c>
    </row>
    <row r="43" spans="1:36">
      <c r="A43" s="139"/>
      <c r="B43" s="57" t="s">
        <v>153</v>
      </c>
      <c r="C43" s="49">
        <f>July!C17</f>
        <v>8</v>
      </c>
      <c r="D43" s="50">
        <f>July!D17</f>
        <v>8</v>
      </c>
      <c r="E43" s="50">
        <f>July!E17</f>
        <v>3</v>
      </c>
      <c r="F43" s="50">
        <f>July!F17</f>
        <v>5</v>
      </c>
      <c r="G43" s="57">
        <f>July!G17</f>
        <v>0</v>
      </c>
      <c r="H43" s="49">
        <f>July!H17</f>
        <v>4</v>
      </c>
      <c r="I43" s="50">
        <f>July!I17</f>
        <v>3</v>
      </c>
      <c r="J43" s="50">
        <f>July!J17</f>
        <v>2</v>
      </c>
      <c r="K43" s="50">
        <f>July!K17</f>
        <v>1</v>
      </c>
      <c r="L43" s="51">
        <f>July!L17</f>
        <v>0</v>
      </c>
      <c r="M43" s="55">
        <f>July!M17</f>
        <v>4</v>
      </c>
      <c r="N43" s="50">
        <f>July!N17</f>
        <v>1</v>
      </c>
      <c r="O43" s="50">
        <f>July!O17</f>
        <v>1</v>
      </c>
      <c r="P43" s="51">
        <f>July!P17</f>
        <v>0</v>
      </c>
      <c r="Q43" s="55">
        <f>July!Q17</f>
        <v>151.7</v>
      </c>
      <c r="R43" s="50">
        <f>July!R17</f>
        <v>0</v>
      </c>
      <c r="S43" s="55">
        <f>July!S17</f>
        <v>68</v>
      </c>
      <c r="T43" s="57">
        <f>July!T17</f>
        <v>1524.92</v>
      </c>
      <c r="U43" s="49">
        <f>July!U17</f>
        <v>6046</v>
      </c>
      <c r="V43" s="51">
        <f>July!V17</f>
        <v>545</v>
      </c>
      <c r="W43" s="55">
        <f>July!W17</f>
        <v>14</v>
      </c>
      <c r="X43" s="50">
        <f>July!X17</f>
        <v>5</v>
      </c>
      <c r="Y43" s="50">
        <f>July!Y17</f>
        <v>7</v>
      </c>
      <c r="Z43" s="50">
        <f>July!Z17</f>
        <v>2</v>
      </c>
      <c r="AA43" s="50">
        <f>July!AA17</f>
        <v>14</v>
      </c>
      <c r="AB43" s="50">
        <f>July!AB17</f>
        <v>13</v>
      </c>
      <c r="AC43" s="51">
        <f>July!AC17</f>
        <v>55</v>
      </c>
      <c r="AD43" s="49">
        <f>July!AD17</f>
        <v>54.5</v>
      </c>
      <c r="AE43" s="50">
        <f>July!AE17</f>
        <v>21</v>
      </c>
      <c r="AF43" s="50">
        <f>July!AF17</f>
        <v>29</v>
      </c>
      <c r="AG43" s="50">
        <f>July!AG17</f>
        <v>5</v>
      </c>
      <c r="AH43" s="50">
        <f>July!AH17</f>
        <v>42</v>
      </c>
      <c r="AI43" s="50">
        <f>July!AI17</f>
        <v>49.5</v>
      </c>
      <c r="AJ43" s="51">
        <f>July!AJ17</f>
        <v>201</v>
      </c>
    </row>
    <row r="44" spans="1:36">
      <c r="A44" s="139"/>
      <c r="B44" s="57" t="s">
        <v>154</v>
      </c>
      <c r="C44" s="49">
        <f>July!C23</f>
        <v>12</v>
      </c>
      <c r="D44" s="50">
        <f>July!D23</f>
        <v>11</v>
      </c>
      <c r="E44" s="50">
        <f>July!E23</f>
        <v>2</v>
      </c>
      <c r="F44" s="50">
        <f>July!F23</f>
        <v>8</v>
      </c>
      <c r="G44" s="57">
        <f>July!G23</f>
        <v>1</v>
      </c>
      <c r="H44" s="49">
        <f>July!H23</f>
        <v>5</v>
      </c>
      <c r="I44" s="50">
        <f>July!I23</f>
        <v>4</v>
      </c>
      <c r="J44" s="50">
        <f>July!J23</f>
        <v>2</v>
      </c>
      <c r="K44" s="50">
        <f>July!K23</f>
        <v>2</v>
      </c>
      <c r="L44" s="51">
        <f>July!L23</f>
        <v>0</v>
      </c>
      <c r="M44" s="55">
        <f>July!M23</f>
        <v>5</v>
      </c>
      <c r="N44" s="50">
        <f>July!N23</f>
        <v>1</v>
      </c>
      <c r="O44" s="50">
        <f>July!O23</f>
        <v>1</v>
      </c>
      <c r="P44" s="51">
        <f>July!P23</f>
        <v>0</v>
      </c>
      <c r="Q44" s="55">
        <f>July!Q23</f>
        <v>285.2</v>
      </c>
      <c r="R44" s="50">
        <f>July!R23</f>
        <v>24.9</v>
      </c>
      <c r="S44" s="55">
        <f>July!S23</f>
        <v>49</v>
      </c>
      <c r="T44" s="57">
        <f>July!T23</f>
        <v>1173.8</v>
      </c>
      <c r="U44" s="49">
        <f>July!U23</f>
        <v>2901</v>
      </c>
      <c r="V44" s="51">
        <f>July!V23</f>
        <v>328</v>
      </c>
      <c r="W44" s="55">
        <f>July!W23</f>
        <v>11</v>
      </c>
      <c r="X44" s="50">
        <f>July!X23</f>
        <v>1</v>
      </c>
      <c r="Y44" s="50">
        <f>July!Y23</f>
        <v>8</v>
      </c>
      <c r="Z44" s="50">
        <f>July!Z23</f>
        <v>4</v>
      </c>
      <c r="AA44" s="50">
        <f>July!AA23</f>
        <v>17</v>
      </c>
      <c r="AB44" s="50">
        <f>July!AB23</f>
        <v>8</v>
      </c>
      <c r="AC44" s="51">
        <f>July!AC23</f>
        <v>49</v>
      </c>
      <c r="AD44" s="49">
        <f>July!AD23</f>
        <v>47</v>
      </c>
      <c r="AE44" s="50">
        <f>July!AE23</f>
        <v>5</v>
      </c>
      <c r="AF44" s="50">
        <f>July!AF23</f>
        <v>29.5</v>
      </c>
      <c r="AG44" s="50">
        <f>July!AG23</f>
        <v>13</v>
      </c>
      <c r="AH44" s="50">
        <f>July!AH23</f>
        <v>64.5</v>
      </c>
      <c r="AI44" s="50">
        <f>July!AI23</f>
        <v>27</v>
      </c>
      <c r="AJ44" s="51">
        <f>July!AJ23</f>
        <v>186</v>
      </c>
    </row>
    <row r="45" spans="1:36">
      <c r="A45" s="139"/>
      <c r="B45" s="57" t="s">
        <v>155</v>
      </c>
      <c r="C45" s="49">
        <f>July!C29</f>
        <v>11</v>
      </c>
      <c r="D45" s="50">
        <f>July!D29</f>
        <v>11</v>
      </c>
      <c r="E45" s="50">
        <f>July!E29</f>
        <v>1</v>
      </c>
      <c r="F45" s="50">
        <f>July!F29</f>
        <v>10</v>
      </c>
      <c r="G45" s="57">
        <f>July!G29</f>
        <v>0</v>
      </c>
      <c r="H45" s="49">
        <f>July!H29</f>
        <v>6</v>
      </c>
      <c r="I45" s="50">
        <f>July!I29</f>
        <v>5</v>
      </c>
      <c r="J45" s="50">
        <f>July!J29</f>
        <v>1</v>
      </c>
      <c r="K45" s="50">
        <f>July!K29</f>
        <v>4</v>
      </c>
      <c r="L45" s="51">
        <f>July!L29</f>
        <v>0</v>
      </c>
      <c r="M45" s="55">
        <f>July!M29</f>
        <v>1</v>
      </c>
      <c r="N45" s="50">
        <f>July!N29</f>
        <v>2</v>
      </c>
      <c r="O45" s="50">
        <f>July!O29</f>
        <v>1</v>
      </c>
      <c r="P45" s="51">
        <f>July!P29</f>
        <v>1</v>
      </c>
      <c r="Q45" s="55">
        <f>July!Q29</f>
        <v>158.6</v>
      </c>
      <c r="R45" s="50">
        <f>July!R29</f>
        <v>19.9</v>
      </c>
      <c r="S45" s="55">
        <f>July!S29</f>
        <v>39</v>
      </c>
      <c r="T45" s="57">
        <f>July!T29</f>
        <v>732.02</v>
      </c>
      <c r="U45" s="49">
        <f>July!U29</f>
        <v>8365</v>
      </c>
      <c r="V45" s="51">
        <f>July!V29</f>
        <v>658</v>
      </c>
      <c r="W45" s="55">
        <f>July!W29</f>
        <v>16</v>
      </c>
      <c r="X45" s="50">
        <f>July!X29</f>
        <v>6</v>
      </c>
      <c r="Y45" s="50">
        <f>July!Y29</f>
        <v>8</v>
      </c>
      <c r="Z45" s="50">
        <f>July!Z29</f>
        <v>0</v>
      </c>
      <c r="AA45" s="50">
        <f>July!AA29</f>
        <v>15</v>
      </c>
      <c r="AB45" s="50">
        <f>July!AB29</f>
        <v>11</v>
      </c>
      <c r="AC45" s="51">
        <f>July!AC29</f>
        <v>56</v>
      </c>
      <c r="AD45" s="49">
        <f>July!AD29</f>
        <v>56</v>
      </c>
      <c r="AE45" s="50">
        <f>July!AE29</f>
        <v>24.5</v>
      </c>
      <c r="AF45" s="50">
        <f>July!AF29</f>
        <v>39</v>
      </c>
      <c r="AG45" s="50">
        <f>July!AG29</f>
        <v>0</v>
      </c>
      <c r="AH45" s="50">
        <f>July!AH29</f>
        <v>43.5</v>
      </c>
      <c r="AI45" s="50">
        <f>July!AI29</f>
        <v>41</v>
      </c>
      <c r="AJ45" s="51">
        <f>July!AJ29</f>
        <v>204</v>
      </c>
    </row>
    <row r="46" spans="1:36">
      <c r="A46" s="140"/>
      <c r="B46" s="57" t="s">
        <v>156</v>
      </c>
      <c r="C46" s="49">
        <f>July!C35</f>
        <v>3</v>
      </c>
      <c r="D46" s="50">
        <f>July!D35</f>
        <v>2</v>
      </c>
      <c r="E46" s="50">
        <f>July!E35</f>
        <v>1</v>
      </c>
      <c r="F46" s="50">
        <f>July!F35</f>
        <v>1</v>
      </c>
      <c r="G46" s="57">
        <f>July!G35</f>
        <v>0</v>
      </c>
      <c r="H46" s="49">
        <f>July!H35</f>
        <v>9</v>
      </c>
      <c r="I46" s="50">
        <f>July!I35</f>
        <v>9</v>
      </c>
      <c r="J46" s="50">
        <f>July!J35</f>
        <v>2</v>
      </c>
      <c r="K46" s="50">
        <f>July!K35</f>
        <v>7</v>
      </c>
      <c r="L46" s="51">
        <f>July!L35</f>
        <v>0</v>
      </c>
      <c r="M46" s="55">
        <f>July!M35</f>
        <v>2</v>
      </c>
      <c r="N46" s="50">
        <f>July!N35</f>
        <v>1</v>
      </c>
      <c r="O46" s="50">
        <f>July!O35</f>
        <v>3</v>
      </c>
      <c r="P46" s="51">
        <f>July!P35</f>
        <v>1</v>
      </c>
      <c r="Q46" s="55">
        <f>July!Q35</f>
        <v>180.1</v>
      </c>
      <c r="R46" s="50">
        <f>July!R35</f>
        <v>20.9</v>
      </c>
      <c r="S46" s="55">
        <f>July!S35</f>
        <v>74</v>
      </c>
      <c r="T46" s="57">
        <f>July!T35</f>
        <v>1809.1</v>
      </c>
      <c r="U46" s="49">
        <f>July!U35</f>
        <v>3671</v>
      </c>
      <c r="V46" s="51">
        <f>July!V35</f>
        <v>484</v>
      </c>
      <c r="W46" s="55">
        <f>July!W35</f>
        <v>12</v>
      </c>
      <c r="X46" s="50">
        <f>July!X35</f>
        <v>4</v>
      </c>
      <c r="Y46" s="50">
        <f>July!Y35</f>
        <v>4</v>
      </c>
      <c r="Z46" s="50">
        <f>July!Z35</f>
        <v>6</v>
      </c>
      <c r="AA46" s="50">
        <f>July!AA35</f>
        <v>15</v>
      </c>
      <c r="AB46" s="50">
        <f>July!AB35</f>
        <v>17</v>
      </c>
      <c r="AC46" s="51">
        <f>July!AC35</f>
        <v>58</v>
      </c>
      <c r="AD46" s="49">
        <f>July!AD35</f>
        <v>46.5</v>
      </c>
      <c r="AE46" s="50">
        <f>July!AE35</f>
        <v>20.5</v>
      </c>
      <c r="AF46" s="50">
        <f>July!AF35</f>
        <v>11</v>
      </c>
      <c r="AG46" s="50">
        <f>July!AG35</f>
        <v>28.5</v>
      </c>
      <c r="AH46" s="50">
        <f>July!AH35</f>
        <v>63.5</v>
      </c>
      <c r="AI46" s="50">
        <f>July!AI35</f>
        <v>66</v>
      </c>
      <c r="AJ46" s="51">
        <f>July!AJ35</f>
        <v>236</v>
      </c>
    </row>
    <row r="47" spans="1:36">
      <c r="A47" s="63" t="s">
        <v>126</v>
      </c>
      <c r="B47" s="64"/>
      <c r="C47" s="65">
        <f t="shared" ref="C47:I47" si="14">SUM(C42:C46)</f>
        <v>41</v>
      </c>
      <c r="D47" s="66">
        <f t="shared" si="14"/>
        <v>39</v>
      </c>
      <c r="E47" s="66">
        <f t="shared" si="14"/>
        <v>8</v>
      </c>
      <c r="F47" s="66">
        <f t="shared" si="14"/>
        <v>29</v>
      </c>
      <c r="G47" s="74">
        <f t="shared" si="14"/>
        <v>2</v>
      </c>
      <c r="H47" s="65">
        <f t="shared" si="14"/>
        <v>29</v>
      </c>
      <c r="I47" s="66">
        <f t="shared" si="14"/>
        <v>26</v>
      </c>
      <c r="J47" s="66">
        <f t="shared" ref="J47:U47" si="15">SUM(J42:J46)</f>
        <v>8</v>
      </c>
      <c r="K47" s="66">
        <f t="shared" si="15"/>
        <v>18</v>
      </c>
      <c r="L47" s="67">
        <f t="shared" si="15"/>
        <v>0</v>
      </c>
      <c r="M47" s="72">
        <f t="shared" si="15"/>
        <v>13</v>
      </c>
      <c r="N47" s="66">
        <f t="shared" si="15"/>
        <v>7</v>
      </c>
      <c r="O47" s="66">
        <f t="shared" si="15"/>
        <v>6</v>
      </c>
      <c r="P47" s="67">
        <f t="shared" si="15"/>
        <v>2</v>
      </c>
      <c r="Q47" s="72">
        <f t="shared" si="15"/>
        <v>880.9</v>
      </c>
      <c r="R47" s="66">
        <f t="shared" si="15"/>
        <v>79.8</v>
      </c>
      <c r="S47" s="72">
        <f t="shared" si="15"/>
        <v>253</v>
      </c>
      <c r="T47" s="74">
        <f t="shared" si="15"/>
        <v>5647.43</v>
      </c>
      <c r="U47" s="65">
        <f t="shared" si="15"/>
        <v>24105</v>
      </c>
      <c r="V47" s="67">
        <f t="shared" ref="V47:AJ47" si="16">SUM(V42:V46)</f>
        <v>2248</v>
      </c>
      <c r="W47" s="72">
        <f t="shared" si="16"/>
        <v>61</v>
      </c>
      <c r="X47" s="66">
        <f t="shared" si="16"/>
        <v>19</v>
      </c>
      <c r="Y47" s="66">
        <f t="shared" si="16"/>
        <v>31</v>
      </c>
      <c r="Z47" s="66">
        <f t="shared" si="16"/>
        <v>13</v>
      </c>
      <c r="AA47" s="66">
        <f t="shared" si="16"/>
        <v>72</v>
      </c>
      <c r="AB47" s="66">
        <f t="shared" si="16"/>
        <v>59</v>
      </c>
      <c r="AC47" s="67">
        <f t="shared" si="16"/>
        <v>255</v>
      </c>
      <c r="AD47" s="65">
        <f t="shared" si="16"/>
        <v>231.5</v>
      </c>
      <c r="AE47" s="66">
        <f t="shared" si="16"/>
        <v>81</v>
      </c>
      <c r="AF47" s="66">
        <f t="shared" si="16"/>
        <v>118</v>
      </c>
      <c r="AG47" s="66">
        <f t="shared" si="16"/>
        <v>49.5</v>
      </c>
      <c r="AH47" s="66">
        <f t="shared" si="16"/>
        <v>250</v>
      </c>
      <c r="AI47" s="66">
        <f t="shared" si="16"/>
        <v>216</v>
      </c>
      <c r="AJ47" s="67">
        <f t="shared" si="16"/>
        <v>946</v>
      </c>
    </row>
    <row r="48" spans="1:36">
      <c r="A48" s="138" t="s">
        <v>27</v>
      </c>
      <c r="B48" s="57" t="s">
        <v>157</v>
      </c>
      <c r="C48" s="49">
        <f>August!C11</f>
        <v>9</v>
      </c>
      <c r="D48" s="50">
        <f>August!D11</f>
        <v>8</v>
      </c>
      <c r="E48" s="50">
        <f>August!E11</f>
        <v>1</v>
      </c>
      <c r="F48" s="50">
        <f>August!F11</f>
        <v>7</v>
      </c>
      <c r="G48" s="57">
        <f>August!G11</f>
        <v>0</v>
      </c>
      <c r="H48" s="49">
        <f>August!H11</f>
        <v>9</v>
      </c>
      <c r="I48" s="50">
        <f>August!I11</f>
        <v>7</v>
      </c>
      <c r="J48" s="50">
        <f>August!J11</f>
        <v>4</v>
      </c>
      <c r="K48" s="50">
        <f>August!K11</f>
        <v>3</v>
      </c>
      <c r="L48" s="51">
        <f>August!L11</f>
        <v>0</v>
      </c>
      <c r="M48" s="55">
        <f>August!M11</f>
        <v>3</v>
      </c>
      <c r="N48" s="50">
        <f>August!N11</f>
        <v>0</v>
      </c>
      <c r="O48" s="50">
        <f>August!O11</f>
        <v>0</v>
      </c>
      <c r="P48" s="51">
        <f>August!P11</f>
        <v>1</v>
      </c>
      <c r="Q48" s="55">
        <f>August!Q11</f>
        <v>144.7</v>
      </c>
      <c r="R48" s="50">
        <f>August!R11</f>
        <v>38.1</v>
      </c>
      <c r="S48" s="55">
        <f>August!S11</f>
        <v>80</v>
      </c>
      <c r="T48" s="57">
        <f>August!T11</f>
        <v>1515.56</v>
      </c>
      <c r="U48" s="49">
        <f>August!U11</f>
        <v>3588</v>
      </c>
      <c r="V48" s="51">
        <f>August!V11</f>
        <v>346</v>
      </c>
      <c r="W48" s="55">
        <f>August!W11</f>
        <v>11</v>
      </c>
      <c r="X48" s="50">
        <f>August!X11</f>
        <v>5</v>
      </c>
      <c r="Y48" s="50">
        <f>August!Y11</f>
        <v>6</v>
      </c>
      <c r="Z48" s="50">
        <f>August!Z11</f>
        <v>4</v>
      </c>
      <c r="AA48" s="50">
        <f>August!AA11</f>
        <v>16</v>
      </c>
      <c r="AB48" s="50">
        <f>August!AB11</f>
        <v>13</v>
      </c>
      <c r="AC48" s="51">
        <f>August!AC11</f>
        <v>55</v>
      </c>
      <c r="AD48" s="49">
        <f>August!AD11</f>
        <v>46.5</v>
      </c>
      <c r="AE48" s="50">
        <f>August!AE11</f>
        <v>26.5</v>
      </c>
      <c r="AF48" s="50">
        <f>August!AF11</f>
        <v>19.5</v>
      </c>
      <c r="AG48" s="50">
        <f>August!AG11</f>
        <v>16.5</v>
      </c>
      <c r="AH48" s="50">
        <f>August!AH11</f>
        <v>49.5</v>
      </c>
      <c r="AI48" s="50">
        <f>August!AI11</f>
        <v>31.5</v>
      </c>
      <c r="AJ48" s="51">
        <f>August!AJ11</f>
        <v>190</v>
      </c>
    </row>
    <row r="49" spans="1:36">
      <c r="A49" s="139"/>
      <c r="B49" s="57" t="s">
        <v>158</v>
      </c>
      <c r="C49" s="49">
        <f>August!C17</f>
        <v>18</v>
      </c>
      <c r="D49" s="50">
        <f>August!D17</f>
        <v>18</v>
      </c>
      <c r="E49" s="50">
        <f>August!E17</f>
        <v>5</v>
      </c>
      <c r="F49" s="50">
        <f>August!F17</f>
        <v>13</v>
      </c>
      <c r="G49" s="57">
        <f>August!G17</f>
        <v>0</v>
      </c>
      <c r="H49" s="49">
        <f>August!H17</f>
        <v>12</v>
      </c>
      <c r="I49" s="50">
        <f>August!I17</f>
        <v>12</v>
      </c>
      <c r="J49" s="50">
        <f>August!J17</f>
        <v>2</v>
      </c>
      <c r="K49" s="50">
        <f>August!K17</f>
        <v>10</v>
      </c>
      <c r="L49" s="51">
        <f>August!L17</f>
        <v>0</v>
      </c>
      <c r="M49" s="55">
        <f>August!M17</f>
        <v>4</v>
      </c>
      <c r="N49" s="50">
        <f>August!N17</f>
        <v>0</v>
      </c>
      <c r="O49" s="50">
        <f>August!O17</f>
        <v>3</v>
      </c>
      <c r="P49" s="51">
        <f>August!P17</f>
        <v>1</v>
      </c>
      <c r="Q49" s="55">
        <f>August!Q17</f>
        <v>75</v>
      </c>
      <c r="R49" s="50">
        <f>August!R17</f>
        <v>9.6</v>
      </c>
      <c r="S49" s="55">
        <f>August!S17</f>
        <v>59</v>
      </c>
      <c r="T49" s="57">
        <f>August!T17</f>
        <v>1218.14</v>
      </c>
      <c r="U49" s="49">
        <f>August!U17</f>
        <v>6132</v>
      </c>
      <c r="V49" s="51">
        <f>August!V17</f>
        <v>466</v>
      </c>
      <c r="W49" s="55">
        <f>August!W17</f>
        <v>16</v>
      </c>
      <c r="X49" s="50">
        <f>August!X17</f>
        <v>3</v>
      </c>
      <c r="Y49" s="50">
        <f>August!Y17</f>
        <v>7</v>
      </c>
      <c r="Z49" s="50">
        <f>August!Z17</f>
        <v>8</v>
      </c>
      <c r="AA49" s="50">
        <f>August!AA17</f>
        <v>19</v>
      </c>
      <c r="AB49" s="50">
        <f>August!AB17</f>
        <v>15</v>
      </c>
      <c r="AC49" s="51">
        <f>August!AC17</f>
        <v>68</v>
      </c>
      <c r="AD49" s="49">
        <f>August!AD17</f>
        <v>69</v>
      </c>
      <c r="AE49" s="50">
        <f>August!AE17</f>
        <v>10</v>
      </c>
      <c r="AF49" s="50">
        <f>August!AF17</f>
        <v>30</v>
      </c>
      <c r="AG49" s="50">
        <f>August!AG17</f>
        <v>32</v>
      </c>
      <c r="AH49" s="50">
        <f>August!AH17</f>
        <v>75.5</v>
      </c>
      <c r="AI49" s="50">
        <f>August!AI17</f>
        <v>61</v>
      </c>
      <c r="AJ49" s="51">
        <f>August!AJ17</f>
        <v>277.5</v>
      </c>
    </row>
    <row r="50" spans="1:36">
      <c r="A50" s="139"/>
      <c r="B50" s="57" t="s">
        <v>159</v>
      </c>
      <c r="C50" s="49">
        <f>August!C23</f>
        <v>8</v>
      </c>
      <c r="D50" s="50">
        <f>August!D23</f>
        <v>8</v>
      </c>
      <c r="E50" s="50">
        <f>August!E23</f>
        <v>2</v>
      </c>
      <c r="F50" s="50">
        <f>August!F23</f>
        <v>6</v>
      </c>
      <c r="G50" s="57">
        <f>August!G23</f>
        <v>0</v>
      </c>
      <c r="H50" s="49">
        <f>August!H23</f>
        <v>6</v>
      </c>
      <c r="I50" s="50">
        <f>August!I23</f>
        <v>4</v>
      </c>
      <c r="J50" s="50">
        <f>August!J23</f>
        <v>1</v>
      </c>
      <c r="K50" s="50">
        <f>August!K23</f>
        <v>3</v>
      </c>
      <c r="L50" s="51">
        <f>August!L23</f>
        <v>0</v>
      </c>
      <c r="M50" s="55">
        <f>August!M23</f>
        <v>5</v>
      </c>
      <c r="N50" s="50">
        <f>August!N23</f>
        <v>1</v>
      </c>
      <c r="O50" s="50">
        <f>August!O23</f>
        <v>0</v>
      </c>
      <c r="P50" s="51">
        <f>August!P23</f>
        <v>1</v>
      </c>
      <c r="Q50" s="55">
        <f>August!Q23</f>
        <v>128</v>
      </c>
      <c r="R50" s="50">
        <f>August!R23</f>
        <v>40.8</v>
      </c>
      <c r="S50" s="55">
        <f>August!S23</f>
        <v>63</v>
      </c>
      <c r="T50" s="57">
        <f>August!T23</f>
        <v>1111.04</v>
      </c>
      <c r="U50" s="49">
        <f>August!U23</f>
        <v>5242</v>
      </c>
      <c r="V50" s="51">
        <f>August!V23</f>
        <v>370</v>
      </c>
      <c r="W50" s="55">
        <f>August!W23</f>
        <v>12</v>
      </c>
      <c r="X50" s="50">
        <f>August!X23</f>
        <v>3</v>
      </c>
      <c r="Y50" s="50">
        <f>August!Y23</f>
        <v>4</v>
      </c>
      <c r="Z50" s="50">
        <f>August!Z23</f>
        <v>4</v>
      </c>
      <c r="AA50" s="50">
        <f>August!AA23</f>
        <v>10</v>
      </c>
      <c r="AB50" s="50">
        <f>August!AB23</f>
        <v>12</v>
      </c>
      <c r="AC50" s="51">
        <f>August!AC23</f>
        <v>45</v>
      </c>
      <c r="AD50" s="49">
        <f>August!AD23</f>
        <v>45.5</v>
      </c>
      <c r="AE50" s="50">
        <f>August!AE23</f>
        <v>8.5</v>
      </c>
      <c r="AF50" s="50">
        <f>August!AF23</f>
        <v>15.5</v>
      </c>
      <c r="AG50" s="50">
        <f>August!AG23</f>
        <v>12.5</v>
      </c>
      <c r="AH50" s="50">
        <f>August!AH23</f>
        <v>39.5</v>
      </c>
      <c r="AI50" s="50">
        <f>August!AI23</f>
        <v>48.5</v>
      </c>
      <c r="AJ50" s="51">
        <f>August!AJ23</f>
        <v>170</v>
      </c>
    </row>
    <row r="51" spans="1:36">
      <c r="A51" s="139"/>
      <c r="B51" s="57" t="s">
        <v>160</v>
      </c>
      <c r="C51" s="49">
        <f>August!C29</f>
        <v>9</v>
      </c>
      <c r="D51" s="50">
        <f>August!D29</f>
        <v>8</v>
      </c>
      <c r="E51" s="50">
        <f>August!E29</f>
        <v>0</v>
      </c>
      <c r="F51" s="50">
        <f>August!F29</f>
        <v>8</v>
      </c>
      <c r="G51" s="57">
        <f>August!G29</f>
        <v>0</v>
      </c>
      <c r="H51" s="49">
        <f>August!H29</f>
        <v>11</v>
      </c>
      <c r="I51" s="50">
        <f>August!I29</f>
        <v>9</v>
      </c>
      <c r="J51" s="50">
        <f>August!J29</f>
        <v>2</v>
      </c>
      <c r="K51" s="50">
        <f>August!K29</f>
        <v>7</v>
      </c>
      <c r="L51" s="51">
        <f>August!L29</f>
        <v>0</v>
      </c>
      <c r="M51" s="55">
        <f>August!M29</f>
        <v>3</v>
      </c>
      <c r="N51" s="50">
        <f>August!N29</f>
        <v>0</v>
      </c>
      <c r="O51" s="50">
        <f>August!O29</f>
        <v>3</v>
      </c>
      <c r="P51" s="51">
        <f>August!P29</f>
        <v>1</v>
      </c>
      <c r="Q51" s="55">
        <f>August!Q29</f>
        <v>213.2</v>
      </c>
      <c r="R51" s="50">
        <f>August!R29</f>
        <v>11.2</v>
      </c>
      <c r="S51" s="55">
        <f>August!S29</f>
        <v>73</v>
      </c>
      <c r="T51" s="57">
        <f>August!T29</f>
        <v>1119.95</v>
      </c>
      <c r="U51" s="49">
        <f>August!U29</f>
        <v>3888</v>
      </c>
      <c r="V51" s="51">
        <f>August!V29</f>
        <v>450</v>
      </c>
      <c r="W51" s="55">
        <f>August!W29</f>
        <v>12</v>
      </c>
      <c r="X51" s="50">
        <f>August!X29</f>
        <v>4</v>
      </c>
      <c r="Y51" s="50">
        <f>August!Y29</f>
        <v>8</v>
      </c>
      <c r="Z51" s="50">
        <f>August!Z29</f>
        <v>6</v>
      </c>
      <c r="AA51" s="50">
        <f>August!AA29</f>
        <v>15</v>
      </c>
      <c r="AB51" s="50">
        <f>August!AB29</f>
        <v>17</v>
      </c>
      <c r="AC51" s="51">
        <f>August!AC29</f>
        <v>62</v>
      </c>
      <c r="AD51" s="49">
        <f>August!AD29</f>
        <v>42.5</v>
      </c>
      <c r="AE51" s="50">
        <f>August!AE29</f>
        <v>10</v>
      </c>
      <c r="AF51" s="50">
        <f>August!AF29</f>
        <v>35</v>
      </c>
      <c r="AG51" s="50">
        <f>August!AG29</f>
        <v>27</v>
      </c>
      <c r="AH51" s="50">
        <f>August!AH29</f>
        <v>69.5</v>
      </c>
      <c r="AI51" s="50">
        <f>August!AI29</f>
        <v>64.5</v>
      </c>
      <c r="AJ51" s="51">
        <f>August!AJ29</f>
        <v>248.5</v>
      </c>
    </row>
    <row r="52" spans="1:36">
      <c r="A52" s="140"/>
      <c r="B52" s="57" t="s">
        <v>161</v>
      </c>
      <c r="C52" s="49">
        <f>August!C35</f>
        <v>2</v>
      </c>
      <c r="D52" s="50">
        <f>August!D35</f>
        <v>2</v>
      </c>
      <c r="E52" s="50">
        <f>August!E35</f>
        <v>1</v>
      </c>
      <c r="F52" s="50">
        <f>August!F35</f>
        <v>1</v>
      </c>
      <c r="G52" s="57">
        <f>August!G35</f>
        <v>0</v>
      </c>
      <c r="H52" s="49">
        <f>August!H35</f>
        <v>2</v>
      </c>
      <c r="I52" s="50">
        <f>August!I35</f>
        <v>1</v>
      </c>
      <c r="J52" s="50">
        <f>August!J35</f>
        <v>0</v>
      </c>
      <c r="K52" s="50">
        <f>August!K35</f>
        <v>1</v>
      </c>
      <c r="L52" s="51">
        <f>August!L35</f>
        <v>0</v>
      </c>
      <c r="M52" s="55">
        <f>August!M35</f>
        <v>1</v>
      </c>
      <c r="N52" s="50">
        <f>August!N35</f>
        <v>1</v>
      </c>
      <c r="O52" s="50">
        <f>August!O35</f>
        <v>0</v>
      </c>
      <c r="P52" s="51">
        <f>August!P35</f>
        <v>0</v>
      </c>
      <c r="Q52" s="55">
        <f>August!Q35</f>
        <v>18.2</v>
      </c>
      <c r="R52" s="50">
        <f>August!R35</f>
        <v>0</v>
      </c>
      <c r="S52" s="55">
        <f>August!S35</f>
        <v>11</v>
      </c>
      <c r="T52" s="57">
        <f>August!T35</f>
        <v>208.35</v>
      </c>
      <c r="U52" s="49">
        <f>August!U35</f>
        <v>1509</v>
      </c>
      <c r="V52" s="51">
        <f>August!V35</f>
        <v>39</v>
      </c>
      <c r="W52" s="55">
        <f>August!W35</f>
        <v>3</v>
      </c>
      <c r="X52" s="50">
        <f>August!X35</f>
        <v>2</v>
      </c>
      <c r="Y52" s="50">
        <f>August!Y35</f>
        <v>1</v>
      </c>
      <c r="Z52" s="50">
        <f>August!Z35</f>
        <v>1</v>
      </c>
      <c r="AA52" s="50">
        <f>August!AA35</f>
        <v>4</v>
      </c>
      <c r="AB52" s="50">
        <f>August!AB35</f>
        <v>4</v>
      </c>
      <c r="AC52" s="51">
        <f>August!AC35</f>
        <v>15</v>
      </c>
      <c r="AD52" s="49">
        <f>August!AD35</f>
        <v>10</v>
      </c>
      <c r="AE52" s="50">
        <f>August!AE35</f>
        <v>6.5</v>
      </c>
      <c r="AF52" s="50">
        <f>August!AF35</f>
        <v>4</v>
      </c>
      <c r="AG52" s="50">
        <f>August!AG35</f>
        <v>5.5</v>
      </c>
      <c r="AH52" s="50">
        <f>August!AH35</f>
        <v>11.5</v>
      </c>
      <c r="AI52" s="50">
        <f>August!AI35</f>
        <v>18</v>
      </c>
      <c r="AJ52" s="51">
        <f>August!AJ35</f>
        <v>55.5</v>
      </c>
    </row>
    <row r="53" spans="1:36">
      <c r="A53" s="63" t="s">
        <v>126</v>
      </c>
      <c r="B53" s="64"/>
      <c r="C53" s="65">
        <f t="shared" ref="C53:S53" si="17">SUM(C48:C52)</f>
        <v>46</v>
      </c>
      <c r="D53" s="66">
        <f t="shared" si="17"/>
        <v>44</v>
      </c>
      <c r="E53" s="66">
        <f t="shared" si="17"/>
        <v>9</v>
      </c>
      <c r="F53" s="66">
        <f t="shared" si="17"/>
        <v>35</v>
      </c>
      <c r="G53" s="74">
        <f t="shared" si="17"/>
        <v>0</v>
      </c>
      <c r="H53" s="65">
        <f t="shared" si="17"/>
        <v>40</v>
      </c>
      <c r="I53" s="66">
        <f t="shared" si="17"/>
        <v>33</v>
      </c>
      <c r="J53" s="66">
        <f t="shared" si="17"/>
        <v>9</v>
      </c>
      <c r="K53" s="66">
        <f t="shared" si="17"/>
        <v>24</v>
      </c>
      <c r="L53" s="67">
        <f t="shared" si="17"/>
        <v>0</v>
      </c>
      <c r="M53" s="72">
        <f t="shared" si="17"/>
        <v>16</v>
      </c>
      <c r="N53" s="66">
        <f t="shared" si="17"/>
        <v>2</v>
      </c>
      <c r="O53" s="66">
        <f t="shared" si="17"/>
        <v>6</v>
      </c>
      <c r="P53" s="67">
        <f t="shared" si="17"/>
        <v>4</v>
      </c>
      <c r="Q53" s="72">
        <f t="shared" si="17"/>
        <v>579.1</v>
      </c>
      <c r="R53" s="66">
        <f t="shared" si="17"/>
        <v>99.7</v>
      </c>
      <c r="S53" s="72">
        <f t="shared" si="17"/>
        <v>286</v>
      </c>
      <c r="T53" s="74">
        <f t="shared" ref="T53:AJ53" si="18">SUM(T48:T52)</f>
        <v>5173.04</v>
      </c>
      <c r="U53" s="65">
        <f t="shared" si="18"/>
        <v>20359</v>
      </c>
      <c r="V53" s="67">
        <f t="shared" si="18"/>
        <v>1671</v>
      </c>
      <c r="W53" s="72">
        <f t="shared" si="18"/>
        <v>54</v>
      </c>
      <c r="X53" s="66">
        <f t="shared" si="18"/>
        <v>17</v>
      </c>
      <c r="Y53" s="66">
        <f t="shared" si="18"/>
        <v>26</v>
      </c>
      <c r="Z53" s="66">
        <f t="shared" si="18"/>
        <v>23</v>
      </c>
      <c r="AA53" s="66">
        <f t="shared" si="18"/>
        <v>64</v>
      </c>
      <c r="AB53" s="66">
        <f t="shared" si="18"/>
        <v>61</v>
      </c>
      <c r="AC53" s="67">
        <f t="shared" si="18"/>
        <v>245</v>
      </c>
      <c r="AD53" s="65">
        <f t="shared" si="18"/>
        <v>213.5</v>
      </c>
      <c r="AE53" s="66">
        <f t="shared" si="18"/>
        <v>61.5</v>
      </c>
      <c r="AF53" s="66">
        <f t="shared" si="18"/>
        <v>104</v>
      </c>
      <c r="AG53" s="66">
        <f t="shared" si="18"/>
        <v>93.5</v>
      </c>
      <c r="AH53" s="66">
        <f t="shared" si="18"/>
        <v>245.5</v>
      </c>
      <c r="AI53" s="66">
        <f t="shared" si="18"/>
        <v>223.5</v>
      </c>
      <c r="AJ53" s="67">
        <f t="shared" si="18"/>
        <v>941.5</v>
      </c>
    </row>
    <row r="54" spans="1:36">
      <c r="A54" s="138" t="s">
        <v>28</v>
      </c>
      <c r="B54" s="57" t="s">
        <v>162</v>
      </c>
      <c r="C54" s="49">
        <f>September!C11</f>
        <v>9</v>
      </c>
      <c r="D54" s="50">
        <f>September!D11</f>
        <v>9</v>
      </c>
      <c r="E54" s="50">
        <f>September!E11</f>
        <v>1</v>
      </c>
      <c r="F54" s="50">
        <f>September!F11</f>
        <v>8</v>
      </c>
      <c r="G54" s="57">
        <f>September!G11</f>
        <v>0</v>
      </c>
      <c r="H54" s="49">
        <f>September!H11</f>
        <v>5</v>
      </c>
      <c r="I54" s="50">
        <f>September!I11</f>
        <v>4</v>
      </c>
      <c r="J54" s="50">
        <f>September!J11</f>
        <v>2</v>
      </c>
      <c r="K54" s="50">
        <f>September!K11</f>
        <v>2</v>
      </c>
      <c r="L54" s="51">
        <f>September!L11</f>
        <v>0</v>
      </c>
      <c r="M54" s="55">
        <f>September!M11</f>
        <v>2</v>
      </c>
      <c r="N54" s="50">
        <f>September!N11</f>
        <v>1</v>
      </c>
      <c r="O54" s="50">
        <f>September!O11</f>
        <v>3</v>
      </c>
      <c r="P54" s="51">
        <f>September!P11</f>
        <v>0</v>
      </c>
      <c r="Q54" s="55">
        <f>September!Q11</f>
        <v>107.3</v>
      </c>
      <c r="R54" s="50">
        <f>September!R11</f>
        <v>26.7</v>
      </c>
      <c r="S54" s="55">
        <f>September!S11</f>
        <v>62</v>
      </c>
      <c r="T54" s="57">
        <f>September!T11</f>
        <v>1565.47</v>
      </c>
      <c r="U54" s="49">
        <f>September!U11</f>
        <v>3278</v>
      </c>
      <c r="V54" s="51">
        <f>September!V11</f>
        <v>327</v>
      </c>
      <c r="W54" s="55">
        <f>September!W11</f>
        <v>13</v>
      </c>
      <c r="X54" s="50">
        <f>September!X11</f>
        <v>2</v>
      </c>
      <c r="Y54" s="50">
        <f>September!Y11</f>
        <v>6</v>
      </c>
      <c r="Z54" s="50">
        <f>September!Z11</f>
        <v>2</v>
      </c>
      <c r="AA54" s="50">
        <f>September!AA11</f>
        <v>9</v>
      </c>
      <c r="AB54" s="50">
        <f>September!AB11</f>
        <v>8</v>
      </c>
      <c r="AC54" s="51">
        <f>September!AC11</f>
        <v>40</v>
      </c>
      <c r="AD54" s="49">
        <f>September!AD11</f>
        <v>47</v>
      </c>
      <c r="AE54" s="50">
        <f>September!AE11</f>
        <v>6.5</v>
      </c>
      <c r="AF54" s="50">
        <f>September!AF11</f>
        <v>17</v>
      </c>
      <c r="AG54" s="50">
        <f>September!AG11</f>
        <v>6.5</v>
      </c>
      <c r="AH54" s="50">
        <f>September!AH11</f>
        <v>34</v>
      </c>
      <c r="AI54" s="50">
        <f>September!AI11</f>
        <v>32.5</v>
      </c>
      <c r="AJ54" s="51">
        <f>September!AJ11</f>
        <v>143.5</v>
      </c>
    </row>
    <row r="55" spans="1:36">
      <c r="A55" s="139"/>
      <c r="B55" s="57" t="s">
        <v>163</v>
      </c>
      <c r="C55" s="49">
        <f>September!C17</f>
        <v>12</v>
      </c>
      <c r="D55" s="50">
        <f>September!D17</f>
        <v>11</v>
      </c>
      <c r="E55" s="50">
        <f>September!E17</f>
        <v>2</v>
      </c>
      <c r="F55" s="50">
        <f>September!F17</f>
        <v>9</v>
      </c>
      <c r="G55" s="57">
        <f>September!G17</f>
        <v>0</v>
      </c>
      <c r="H55" s="49">
        <f>September!H17</f>
        <v>4</v>
      </c>
      <c r="I55" s="50">
        <f>September!I17</f>
        <v>2</v>
      </c>
      <c r="J55" s="50">
        <f>September!J17</f>
        <v>1</v>
      </c>
      <c r="K55" s="50">
        <f>September!K17</f>
        <v>1</v>
      </c>
      <c r="L55" s="51">
        <f>September!L17</f>
        <v>0</v>
      </c>
      <c r="M55" s="55">
        <f>September!M17</f>
        <v>1</v>
      </c>
      <c r="N55" s="50">
        <f>September!N17</f>
        <v>3</v>
      </c>
      <c r="O55" s="50">
        <f>September!O17</f>
        <v>2</v>
      </c>
      <c r="P55" s="51">
        <f>September!P17</f>
        <v>1</v>
      </c>
      <c r="Q55" s="55">
        <f>September!Q17</f>
        <v>136</v>
      </c>
      <c r="R55" s="50">
        <f>September!R17</f>
        <v>36.6</v>
      </c>
      <c r="S55" s="55">
        <f>September!S17</f>
        <v>52</v>
      </c>
      <c r="T55" s="57">
        <f>September!T17</f>
        <v>1232.44</v>
      </c>
      <c r="U55" s="49">
        <f>September!U17</f>
        <v>7221</v>
      </c>
      <c r="V55" s="51">
        <f>September!V17</f>
        <v>622</v>
      </c>
      <c r="W55" s="55">
        <f>September!W17</f>
        <v>15</v>
      </c>
      <c r="X55" s="50">
        <f>September!X17</f>
        <v>7</v>
      </c>
      <c r="Y55" s="50">
        <f>September!Y17</f>
        <v>8</v>
      </c>
      <c r="Z55" s="50">
        <f>September!Z17</f>
        <v>6</v>
      </c>
      <c r="AA55" s="50">
        <f>September!AA17</f>
        <v>12</v>
      </c>
      <c r="AB55" s="50">
        <f>September!AB17</f>
        <v>18</v>
      </c>
      <c r="AC55" s="51">
        <f>September!AC17</f>
        <v>66</v>
      </c>
      <c r="AD55" s="49">
        <f>September!AD17</f>
        <v>62</v>
      </c>
      <c r="AE55" s="50">
        <f>September!AE17</f>
        <v>31</v>
      </c>
      <c r="AF55" s="50">
        <f>September!AF17</f>
        <v>29</v>
      </c>
      <c r="AG55" s="50">
        <f>September!AG17</f>
        <v>28.5</v>
      </c>
      <c r="AH55" s="50">
        <f>September!AH17</f>
        <v>50.5</v>
      </c>
      <c r="AI55" s="50">
        <f>September!AI17</f>
        <v>63</v>
      </c>
      <c r="AJ55" s="51">
        <f>September!AJ17</f>
        <v>264</v>
      </c>
    </row>
    <row r="56" spans="1:36">
      <c r="A56" s="139"/>
      <c r="B56" s="57" t="s">
        <v>164</v>
      </c>
      <c r="C56" s="49">
        <f>September!C23</f>
        <v>8</v>
      </c>
      <c r="D56" s="50">
        <f>September!D23</f>
        <v>6</v>
      </c>
      <c r="E56" s="50">
        <f>September!E23</f>
        <v>1</v>
      </c>
      <c r="F56" s="50">
        <f>September!F23</f>
        <v>5</v>
      </c>
      <c r="G56" s="57">
        <f>September!G23</f>
        <v>0</v>
      </c>
      <c r="H56" s="49">
        <f>September!H23</f>
        <v>7</v>
      </c>
      <c r="I56" s="50">
        <f>September!I23</f>
        <v>7</v>
      </c>
      <c r="J56" s="50">
        <f>September!J23</f>
        <v>2</v>
      </c>
      <c r="K56" s="50">
        <f>September!K23</f>
        <v>5</v>
      </c>
      <c r="L56" s="51">
        <f>September!L23</f>
        <v>0</v>
      </c>
      <c r="M56" s="55">
        <f>September!M23</f>
        <v>2</v>
      </c>
      <c r="N56" s="50">
        <f>September!N23</f>
        <v>2</v>
      </c>
      <c r="O56" s="50">
        <f>September!O23</f>
        <v>2</v>
      </c>
      <c r="P56" s="51">
        <f>September!P23</f>
        <v>0</v>
      </c>
      <c r="Q56" s="55">
        <f>September!Q23</f>
        <v>157.5</v>
      </c>
      <c r="R56" s="50">
        <f>September!R23</f>
        <v>0</v>
      </c>
      <c r="S56" s="55">
        <f>September!S23</f>
        <v>73</v>
      </c>
      <c r="T56" s="57">
        <f>September!T23</f>
        <v>1661.42</v>
      </c>
      <c r="U56" s="49">
        <f>September!U23</f>
        <v>6361</v>
      </c>
      <c r="V56" s="51">
        <f>September!V23</f>
        <v>704</v>
      </c>
      <c r="W56" s="55">
        <f>September!W23</f>
        <v>9</v>
      </c>
      <c r="X56" s="50">
        <f>September!X23</f>
        <v>3</v>
      </c>
      <c r="Y56" s="50">
        <f>September!Y23</f>
        <v>3</v>
      </c>
      <c r="Z56" s="50">
        <f>September!Z23</f>
        <v>5</v>
      </c>
      <c r="AA56" s="50">
        <f>September!AA23</f>
        <v>13</v>
      </c>
      <c r="AB56" s="50">
        <f>September!AB23</f>
        <v>16</v>
      </c>
      <c r="AC56" s="51">
        <f>September!AC23</f>
        <v>49</v>
      </c>
      <c r="AD56" s="49">
        <f>September!AD23</f>
        <v>41.5</v>
      </c>
      <c r="AE56" s="50">
        <f>September!AE23</f>
        <v>11</v>
      </c>
      <c r="AF56" s="50">
        <f>September!AF23</f>
        <v>12.5</v>
      </c>
      <c r="AG56" s="50">
        <f>September!AG23</f>
        <v>17</v>
      </c>
      <c r="AH56" s="50">
        <f>September!AH23</f>
        <v>45.5</v>
      </c>
      <c r="AI56" s="50">
        <f>September!AI23</f>
        <v>63</v>
      </c>
      <c r="AJ56" s="51">
        <f>September!AJ23</f>
        <v>190.5</v>
      </c>
    </row>
    <row r="57" spans="1:36">
      <c r="A57" s="139"/>
      <c r="B57" s="57" t="s">
        <v>165</v>
      </c>
      <c r="C57" s="49">
        <f>September!C29</f>
        <v>7</v>
      </c>
      <c r="D57" s="50">
        <f>September!D29</f>
        <v>5</v>
      </c>
      <c r="E57" s="50">
        <f>September!E29</f>
        <v>0</v>
      </c>
      <c r="F57" s="50">
        <f>September!F29</f>
        <v>5</v>
      </c>
      <c r="G57" s="57">
        <f>September!G29</f>
        <v>0</v>
      </c>
      <c r="H57" s="49">
        <f>September!H29</f>
        <v>7</v>
      </c>
      <c r="I57" s="50">
        <f>September!I29</f>
        <v>7</v>
      </c>
      <c r="J57" s="50">
        <f>September!J29</f>
        <v>3</v>
      </c>
      <c r="K57" s="50">
        <f>September!K29</f>
        <v>4</v>
      </c>
      <c r="L57" s="51">
        <f>September!L29</f>
        <v>0</v>
      </c>
      <c r="M57" s="55">
        <f>September!M29</f>
        <v>3</v>
      </c>
      <c r="N57" s="50">
        <f>September!N29</f>
        <v>0</v>
      </c>
      <c r="O57" s="50">
        <f>September!O29</f>
        <v>1</v>
      </c>
      <c r="P57" s="51">
        <f>September!P29</f>
        <v>0</v>
      </c>
      <c r="Q57" s="55">
        <f>September!Q29</f>
        <v>166.7</v>
      </c>
      <c r="R57" s="50">
        <f>September!R29</f>
        <v>32.8</v>
      </c>
      <c r="S57" s="55">
        <f>September!S29</f>
        <v>61</v>
      </c>
      <c r="T57" s="57">
        <f>September!T29</f>
        <v>1355.72</v>
      </c>
      <c r="U57" s="49">
        <f>September!U29</f>
        <v>7058</v>
      </c>
      <c r="V57" s="51">
        <f>September!V29</f>
        <v>682</v>
      </c>
      <c r="W57" s="55">
        <f>September!W29</f>
        <v>11</v>
      </c>
      <c r="X57" s="50">
        <f>September!X29</f>
        <v>5</v>
      </c>
      <c r="Y57" s="50">
        <f>September!Y29</f>
        <v>10</v>
      </c>
      <c r="Z57" s="50">
        <f>September!Z29</f>
        <v>2</v>
      </c>
      <c r="AA57" s="50">
        <f>September!AA29</f>
        <v>7</v>
      </c>
      <c r="AB57" s="50">
        <f>September!AB29</f>
        <v>12</v>
      </c>
      <c r="AC57" s="51">
        <f>September!AC29</f>
        <v>47</v>
      </c>
      <c r="AD57" s="49">
        <f>September!AD29</f>
        <v>46</v>
      </c>
      <c r="AE57" s="50">
        <f>September!AE29</f>
        <v>21.5</v>
      </c>
      <c r="AF57" s="50">
        <f>September!AF29</f>
        <v>37.5</v>
      </c>
      <c r="AG57" s="50">
        <f>September!AG29</f>
        <v>8</v>
      </c>
      <c r="AH57" s="50">
        <f>September!AH29</f>
        <v>29.5</v>
      </c>
      <c r="AI57" s="50">
        <f>September!AI29</f>
        <v>39.5</v>
      </c>
      <c r="AJ57" s="51">
        <f>September!AJ29</f>
        <v>182</v>
      </c>
    </row>
    <row r="58" spans="1:36">
      <c r="A58" s="140"/>
      <c r="B58" s="57" t="s">
        <v>166</v>
      </c>
      <c r="C58" s="49">
        <f>September!C35</f>
        <v>9</v>
      </c>
      <c r="D58" s="50">
        <f>September!D35</f>
        <v>8</v>
      </c>
      <c r="E58" s="50">
        <f>September!E35</f>
        <v>1</v>
      </c>
      <c r="F58" s="50">
        <f>September!F35</f>
        <v>7</v>
      </c>
      <c r="G58" s="57">
        <f>September!G35</f>
        <v>0</v>
      </c>
      <c r="H58" s="49">
        <f>September!H35</f>
        <v>7</v>
      </c>
      <c r="I58" s="50">
        <f>September!I35</f>
        <v>6</v>
      </c>
      <c r="J58" s="50">
        <f>September!J35</f>
        <v>2</v>
      </c>
      <c r="K58" s="50">
        <f>September!K35</f>
        <v>4</v>
      </c>
      <c r="L58" s="51">
        <f>September!L35</f>
        <v>0</v>
      </c>
      <c r="M58" s="55">
        <f>September!M35</f>
        <v>3</v>
      </c>
      <c r="N58" s="50">
        <f>September!N35</f>
        <v>0</v>
      </c>
      <c r="O58" s="50">
        <f>September!O35</f>
        <v>0</v>
      </c>
      <c r="P58" s="51">
        <f>September!P35</f>
        <v>0</v>
      </c>
      <c r="Q58" s="55">
        <f>September!Q35</f>
        <v>10.8</v>
      </c>
      <c r="R58" s="50">
        <f>September!R35</f>
        <v>21.7</v>
      </c>
      <c r="S58" s="55">
        <f>September!S35</f>
        <v>57</v>
      </c>
      <c r="T58" s="57">
        <f>September!T35</f>
        <v>1327.35</v>
      </c>
      <c r="U58" s="49">
        <f>September!U35</f>
        <v>3120</v>
      </c>
      <c r="V58" s="51">
        <f>September!V35</f>
        <v>365</v>
      </c>
      <c r="W58" s="55">
        <f>September!W35</f>
        <v>9</v>
      </c>
      <c r="X58" s="50">
        <f>September!X35</f>
        <v>3</v>
      </c>
      <c r="Y58" s="50">
        <f>September!Y35</f>
        <v>6</v>
      </c>
      <c r="Z58" s="50">
        <f>September!Z35</f>
        <v>2</v>
      </c>
      <c r="AA58" s="50">
        <f>September!AA35</f>
        <v>11</v>
      </c>
      <c r="AB58" s="50">
        <f>September!AB35</f>
        <v>9</v>
      </c>
      <c r="AC58" s="51">
        <f>September!AC35</f>
        <v>40</v>
      </c>
      <c r="AD58" s="49">
        <f>September!AD35</f>
        <v>25.5</v>
      </c>
      <c r="AE58" s="50">
        <f>September!AE35</f>
        <v>11</v>
      </c>
      <c r="AF58" s="50">
        <f>September!AF35</f>
        <v>21</v>
      </c>
      <c r="AG58" s="50">
        <f>September!AG35</f>
        <v>9.5</v>
      </c>
      <c r="AH58" s="50">
        <f>September!AH35</f>
        <v>50.5</v>
      </c>
      <c r="AI58" s="50">
        <f>September!AI35</f>
        <v>26.5</v>
      </c>
      <c r="AJ58" s="51">
        <f>September!AJ35</f>
        <v>144</v>
      </c>
    </row>
    <row r="59" spans="1:36">
      <c r="A59" s="63" t="s">
        <v>126</v>
      </c>
      <c r="B59" s="64"/>
      <c r="C59" s="65">
        <f t="shared" ref="C59:S59" si="19">SUM(C54:C58)</f>
        <v>45</v>
      </c>
      <c r="D59" s="66">
        <f t="shared" si="19"/>
        <v>39</v>
      </c>
      <c r="E59" s="66">
        <f t="shared" si="19"/>
        <v>5</v>
      </c>
      <c r="F59" s="66">
        <f t="shared" si="19"/>
        <v>34</v>
      </c>
      <c r="G59" s="74">
        <f t="shared" si="19"/>
        <v>0</v>
      </c>
      <c r="H59" s="65">
        <f t="shared" si="19"/>
        <v>30</v>
      </c>
      <c r="I59" s="66">
        <f t="shared" si="19"/>
        <v>26</v>
      </c>
      <c r="J59" s="66">
        <f t="shared" si="19"/>
        <v>10</v>
      </c>
      <c r="K59" s="66">
        <f t="shared" si="19"/>
        <v>16</v>
      </c>
      <c r="L59" s="67">
        <f t="shared" si="19"/>
        <v>0</v>
      </c>
      <c r="M59" s="72">
        <f t="shared" si="19"/>
        <v>11</v>
      </c>
      <c r="N59" s="66">
        <f t="shared" si="19"/>
        <v>6</v>
      </c>
      <c r="O59" s="66">
        <f t="shared" si="19"/>
        <v>8</v>
      </c>
      <c r="P59" s="67">
        <f t="shared" si="19"/>
        <v>1</v>
      </c>
      <c r="Q59" s="72">
        <f t="shared" si="19"/>
        <v>578.3</v>
      </c>
      <c r="R59" s="66">
        <f t="shared" si="19"/>
        <v>117.8</v>
      </c>
      <c r="S59" s="72">
        <f t="shared" si="19"/>
        <v>305</v>
      </c>
      <c r="T59" s="74">
        <f t="shared" ref="T59:AJ59" si="20">SUM(T54:T58)</f>
        <v>7142.4</v>
      </c>
      <c r="U59" s="65">
        <f t="shared" si="20"/>
        <v>27038</v>
      </c>
      <c r="V59" s="67">
        <f t="shared" si="20"/>
        <v>2700</v>
      </c>
      <c r="W59" s="72">
        <f t="shared" si="20"/>
        <v>57</v>
      </c>
      <c r="X59" s="66">
        <f t="shared" si="20"/>
        <v>20</v>
      </c>
      <c r="Y59" s="66">
        <f t="shared" si="20"/>
        <v>33</v>
      </c>
      <c r="Z59" s="66">
        <f t="shared" si="20"/>
        <v>17</v>
      </c>
      <c r="AA59" s="66">
        <f t="shared" si="20"/>
        <v>52</v>
      </c>
      <c r="AB59" s="66">
        <f t="shared" si="20"/>
        <v>63</v>
      </c>
      <c r="AC59" s="67">
        <f t="shared" si="20"/>
        <v>242</v>
      </c>
      <c r="AD59" s="65">
        <f t="shared" si="20"/>
        <v>222</v>
      </c>
      <c r="AE59" s="66">
        <f t="shared" si="20"/>
        <v>81</v>
      </c>
      <c r="AF59" s="66">
        <f t="shared" si="20"/>
        <v>117</v>
      </c>
      <c r="AG59" s="66">
        <f t="shared" si="20"/>
        <v>69.5</v>
      </c>
      <c r="AH59" s="66">
        <f t="shared" si="20"/>
        <v>210</v>
      </c>
      <c r="AI59" s="66">
        <f t="shared" si="20"/>
        <v>224.5</v>
      </c>
      <c r="AJ59" s="67">
        <f t="shared" si="20"/>
        <v>924</v>
      </c>
    </row>
    <row r="60" spans="1:36">
      <c r="A60" s="138" t="s">
        <v>29</v>
      </c>
      <c r="B60" s="57" t="s">
        <v>167</v>
      </c>
      <c r="C60" s="49">
        <f>October!C11</f>
        <v>4</v>
      </c>
      <c r="D60" s="50">
        <f>October!D11</f>
        <v>4</v>
      </c>
      <c r="E60" s="50">
        <f>October!E11</f>
        <v>1</v>
      </c>
      <c r="F60" s="50">
        <f>October!F11</f>
        <v>3</v>
      </c>
      <c r="G60" s="57">
        <f>October!G11</f>
        <v>0</v>
      </c>
      <c r="H60" s="49">
        <f>October!H11</f>
        <v>4</v>
      </c>
      <c r="I60" s="50">
        <f>October!I11</f>
        <v>3</v>
      </c>
      <c r="J60" s="50">
        <f>October!J11</f>
        <v>2</v>
      </c>
      <c r="K60" s="50">
        <f>October!K11</f>
        <v>1</v>
      </c>
      <c r="L60" s="51">
        <f>October!L11</f>
        <v>0</v>
      </c>
      <c r="M60" s="55">
        <f>October!M11</f>
        <v>2</v>
      </c>
      <c r="N60" s="50">
        <f>October!N11</f>
        <v>0</v>
      </c>
      <c r="O60" s="50">
        <f>October!O11</f>
        <v>1</v>
      </c>
      <c r="P60" s="51">
        <f>October!P11</f>
        <v>1</v>
      </c>
      <c r="Q60" s="55">
        <f>October!Q11</f>
        <v>95.7</v>
      </c>
      <c r="R60" s="50">
        <f>October!R11</f>
        <v>7.5</v>
      </c>
      <c r="S60" s="55">
        <f>October!S11</f>
        <v>39</v>
      </c>
      <c r="T60" s="57">
        <f>October!T11</f>
        <v>805.57</v>
      </c>
      <c r="U60" s="49">
        <f>October!U11</f>
        <v>1923</v>
      </c>
      <c r="V60" s="51">
        <f>October!V11</f>
        <v>102</v>
      </c>
      <c r="W60" s="55">
        <f>October!W11</f>
        <v>6</v>
      </c>
      <c r="X60" s="50">
        <f>October!X11</f>
        <v>0</v>
      </c>
      <c r="Y60" s="50">
        <f>October!Y11</f>
        <v>1</v>
      </c>
      <c r="Z60" s="50">
        <f>October!Z11</f>
        <v>1</v>
      </c>
      <c r="AA60" s="50">
        <f>October!AA11</f>
        <v>6</v>
      </c>
      <c r="AB60" s="50">
        <f>October!AB11</f>
        <v>7</v>
      </c>
      <c r="AC60" s="51">
        <f>October!AC11</f>
        <v>21</v>
      </c>
      <c r="AD60" s="49">
        <f>October!AD11</f>
        <v>21.5</v>
      </c>
      <c r="AE60" s="50">
        <f>October!AE11</f>
        <v>0</v>
      </c>
      <c r="AF60" s="50">
        <f>October!AF11</f>
        <v>2.5</v>
      </c>
      <c r="AG60" s="50">
        <f>October!AG11</f>
        <v>2.5</v>
      </c>
      <c r="AH60" s="50">
        <f>October!AH11</f>
        <v>23.5</v>
      </c>
      <c r="AI60" s="50">
        <f>October!AI11</f>
        <v>33.5</v>
      </c>
      <c r="AJ60" s="51">
        <f>October!AJ11</f>
        <v>83.5</v>
      </c>
    </row>
    <row r="61" spans="1:36">
      <c r="A61" s="139"/>
      <c r="B61" s="57" t="s">
        <v>168</v>
      </c>
      <c r="C61" s="49">
        <f>October!C17</f>
        <v>12</v>
      </c>
      <c r="D61" s="50">
        <f>October!D17</f>
        <v>11</v>
      </c>
      <c r="E61" s="50">
        <f>October!E17</f>
        <v>3</v>
      </c>
      <c r="F61" s="50">
        <f>October!F17</f>
        <v>8</v>
      </c>
      <c r="G61" s="57">
        <f>October!G17</f>
        <v>0</v>
      </c>
      <c r="H61" s="49">
        <f>October!H17</f>
        <v>4</v>
      </c>
      <c r="I61" s="50">
        <f>October!I17</f>
        <v>3</v>
      </c>
      <c r="J61" s="50">
        <f>October!J17</f>
        <v>1</v>
      </c>
      <c r="K61" s="50">
        <f>October!K17</f>
        <v>2</v>
      </c>
      <c r="L61" s="51">
        <f>October!L17</f>
        <v>0</v>
      </c>
      <c r="M61" s="55">
        <f>October!M17</f>
        <v>3</v>
      </c>
      <c r="N61" s="50">
        <f>October!N17</f>
        <v>2</v>
      </c>
      <c r="O61" s="50">
        <f>October!O17</f>
        <v>1</v>
      </c>
      <c r="P61" s="51">
        <f>October!P17</f>
        <v>0</v>
      </c>
      <c r="Q61" s="55">
        <f>October!Q17</f>
        <v>102.9</v>
      </c>
      <c r="R61" s="50">
        <f>October!R17</f>
        <v>30.6</v>
      </c>
      <c r="S61" s="55">
        <f>October!S17</f>
        <v>64</v>
      </c>
      <c r="T61" s="57">
        <f>October!T17</f>
        <v>1431.53</v>
      </c>
      <c r="U61" s="49">
        <f>October!U17</f>
        <v>4061</v>
      </c>
      <c r="V61" s="51">
        <f>October!V17</f>
        <v>293</v>
      </c>
      <c r="W61" s="55">
        <f>October!W17</f>
        <v>13</v>
      </c>
      <c r="X61" s="50">
        <f>October!X17</f>
        <v>3</v>
      </c>
      <c r="Y61" s="50">
        <f>October!Y17</f>
        <v>7</v>
      </c>
      <c r="Z61" s="50">
        <f>October!Z17</f>
        <v>4</v>
      </c>
      <c r="AA61" s="50">
        <f>October!AA17</f>
        <v>12</v>
      </c>
      <c r="AB61" s="50">
        <f>October!AB17</f>
        <v>15</v>
      </c>
      <c r="AC61" s="51">
        <f>October!AC17</f>
        <v>54</v>
      </c>
      <c r="AD61" s="49">
        <f>October!AD17</f>
        <v>44</v>
      </c>
      <c r="AE61" s="50">
        <f>October!AE17</f>
        <v>11</v>
      </c>
      <c r="AF61" s="50">
        <f>October!AF17</f>
        <v>25.5</v>
      </c>
      <c r="AG61" s="50">
        <f>October!AG17</f>
        <v>11</v>
      </c>
      <c r="AH61" s="50">
        <f>October!AH17</f>
        <v>40</v>
      </c>
      <c r="AI61" s="50">
        <f>October!AI17</f>
        <v>53</v>
      </c>
      <c r="AJ61" s="51">
        <f>October!AJ17</f>
        <v>184.5</v>
      </c>
    </row>
    <row r="62" spans="1:36">
      <c r="A62" s="139"/>
      <c r="B62" s="57" t="s">
        <v>169</v>
      </c>
      <c r="C62" s="49">
        <f>October!C23</f>
        <v>11</v>
      </c>
      <c r="D62" s="50">
        <f>October!D23</f>
        <v>10</v>
      </c>
      <c r="E62" s="50">
        <f>October!E23</f>
        <v>0</v>
      </c>
      <c r="F62" s="50">
        <f>October!F23</f>
        <v>10</v>
      </c>
      <c r="G62" s="57">
        <f>October!G23</f>
        <v>0</v>
      </c>
      <c r="H62" s="49">
        <f>October!H23</f>
        <v>9</v>
      </c>
      <c r="I62" s="50">
        <f>October!I23</f>
        <v>7</v>
      </c>
      <c r="J62" s="50">
        <f>October!J23</f>
        <v>2</v>
      </c>
      <c r="K62" s="50">
        <f>October!K23</f>
        <v>5</v>
      </c>
      <c r="L62" s="51">
        <f>October!L23</f>
        <v>0</v>
      </c>
      <c r="M62" s="55">
        <f>October!M23</f>
        <v>3</v>
      </c>
      <c r="N62" s="50">
        <f>October!N23</f>
        <v>1</v>
      </c>
      <c r="O62" s="50">
        <f>October!O23</f>
        <v>0</v>
      </c>
      <c r="P62" s="51">
        <f>October!P23</f>
        <v>1</v>
      </c>
      <c r="Q62" s="55">
        <f>October!Q23</f>
        <v>184.2</v>
      </c>
      <c r="R62" s="50">
        <f>October!R23</f>
        <v>13.2</v>
      </c>
      <c r="S62" s="55">
        <f>October!S23</f>
        <v>68</v>
      </c>
      <c r="T62" s="57">
        <f>October!T23</f>
        <v>1200.77</v>
      </c>
      <c r="U62" s="49">
        <f>October!U23</f>
        <v>5724</v>
      </c>
      <c r="V62" s="51">
        <f>October!V23</f>
        <v>409</v>
      </c>
      <c r="W62" s="55">
        <f>October!W23</f>
        <v>13</v>
      </c>
      <c r="X62" s="50">
        <f>October!X23</f>
        <v>3</v>
      </c>
      <c r="Y62" s="50">
        <f>October!Y23</f>
        <v>6</v>
      </c>
      <c r="Z62" s="50">
        <f>October!Z23</f>
        <v>4</v>
      </c>
      <c r="AA62" s="50">
        <f>October!AA23</f>
        <v>15</v>
      </c>
      <c r="AB62" s="50">
        <f>October!AB23</f>
        <v>10</v>
      </c>
      <c r="AC62" s="51">
        <f>October!AC23</f>
        <v>51</v>
      </c>
      <c r="AD62" s="49">
        <f>October!AD23</f>
        <v>45</v>
      </c>
      <c r="AE62" s="50">
        <f>October!AE23</f>
        <v>11.5</v>
      </c>
      <c r="AF62" s="50">
        <f>October!AF23</f>
        <v>27</v>
      </c>
      <c r="AG62" s="50">
        <f>October!AG23</f>
        <v>19</v>
      </c>
      <c r="AH62" s="50">
        <f>October!AH23</f>
        <v>56</v>
      </c>
      <c r="AI62" s="50">
        <f>October!AI23</f>
        <v>36.5</v>
      </c>
      <c r="AJ62" s="51">
        <f>October!AJ23</f>
        <v>195</v>
      </c>
    </row>
    <row r="63" spans="1:36">
      <c r="A63" s="139"/>
      <c r="B63" s="57" t="s">
        <v>170</v>
      </c>
      <c r="C63" s="49">
        <f>October!C29</f>
        <v>11</v>
      </c>
      <c r="D63" s="50">
        <f>October!D29</f>
        <v>11</v>
      </c>
      <c r="E63" s="50">
        <f>October!E29</f>
        <v>3</v>
      </c>
      <c r="F63" s="50">
        <f>October!F29</f>
        <v>8</v>
      </c>
      <c r="G63" s="57">
        <f>October!G29</f>
        <v>0</v>
      </c>
      <c r="H63" s="49">
        <f>October!H29</f>
        <v>4</v>
      </c>
      <c r="I63" s="50">
        <f>October!I29</f>
        <v>4</v>
      </c>
      <c r="J63" s="50">
        <f>October!J29</f>
        <v>1</v>
      </c>
      <c r="K63" s="50">
        <f>October!K29</f>
        <v>3</v>
      </c>
      <c r="L63" s="51">
        <f>October!L29</f>
        <v>0</v>
      </c>
      <c r="M63" s="55">
        <f>October!M29</f>
        <v>1</v>
      </c>
      <c r="N63" s="50">
        <f>October!N29</f>
        <v>1</v>
      </c>
      <c r="O63" s="50">
        <f>October!O29</f>
        <v>3</v>
      </c>
      <c r="P63" s="51">
        <f>October!P29</f>
        <v>2</v>
      </c>
      <c r="Q63" s="55">
        <f>October!Q29</f>
        <v>191</v>
      </c>
      <c r="R63" s="50">
        <f>October!R29</f>
        <v>24.5</v>
      </c>
      <c r="S63" s="55">
        <f>October!S29</f>
        <v>45</v>
      </c>
      <c r="T63" s="57">
        <f>October!T29</f>
        <v>1082.76</v>
      </c>
      <c r="U63" s="49">
        <f>October!U29</f>
        <v>7273</v>
      </c>
      <c r="V63" s="51">
        <f>October!V29</f>
        <v>710</v>
      </c>
      <c r="W63" s="55">
        <f>October!W29</f>
        <v>16</v>
      </c>
      <c r="X63" s="50">
        <f>October!X29</f>
        <v>5</v>
      </c>
      <c r="Y63" s="50">
        <f>October!Y29</f>
        <v>7</v>
      </c>
      <c r="Z63" s="50">
        <f>October!Z29</f>
        <v>7</v>
      </c>
      <c r="AA63" s="50">
        <f>October!AA29</f>
        <v>19</v>
      </c>
      <c r="AB63" s="50">
        <f>October!AB29</f>
        <v>13</v>
      </c>
      <c r="AC63" s="51">
        <f>October!AC29</f>
        <v>67</v>
      </c>
      <c r="AD63" s="49">
        <f>October!AD29</f>
        <v>54</v>
      </c>
      <c r="AE63" s="50">
        <f>October!AE29</f>
        <v>18.5</v>
      </c>
      <c r="AF63" s="50">
        <f>October!AF29</f>
        <v>24.5</v>
      </c>
      <c r="AG63" s="50">
        <f>October!AG29</f>
        <v>26</v>
      </c>
      <c r="AH63" s="50">
        <f>October!AH29</f>
        <v>84.5</v>
      </c>
      <c r="AI63" s="50">
        <f>October!AI29</f>
        <v>59</v>
      </c>
      <c r="AJ63" s="51">
        <f>October!AJ29</f>
        <v>266.5</v>
      </c>
    </row>
    <row r="64" spans="1:36">
      <c r="A64" s="140"/>
      <c r="B64" s="57" t="s">
        <v>171</v>
      </c>
      <c r="C64" s="49">
        <f>October!C35</f>
        <v>10</v>
      </c>
      <c r="D64" s="50">
        <f>October!D35</f>
        <v>8</v>
      </c>
      <c r="E64" s="50">
        <f>October!E35</f>
        <v>0</v>
      </c>
      <c r="F64" s="50">
        <f>October!F35</f>
        <v>7</v>
      </c>
      <c r="G64" s="57">
        <f>October!G35</f>
        <v>1</v>
      </c>
      <c r="H64" s="49">
        <f>October!H35</f>
        <v>6</v>
      </c>
      <c r="I64" s="50">
        <f>October!I35</f>
        <v>6</v>
      </c>
      <c r="J64" s="50">
        <f>October!J35</f>
        <v>2</v>
      </c>
      <c r="K64" s="50">
        <f>October!K35</f>
        <v>4</v>
      </c>
      <c r="L64" s="51">
        <f>October!L35</f>
        <v>0</v>
      </c>
      <c r="M64" s="55">
        <f>October!M35</f>
        <v>4</v>
      </c>
      <c r="N64" s="50">
        <f>October!N35</f>
        <v>2</v>
      </c>
      <c r="O64" s="50">
        <f>October!O35</f>
        <v>2</v>
      </c>
      <c r="P64" s="51">
        <f>October!P35</f>
        <v>1</v>
      </c>
      <c r="Q64" s="55">
        <f>October!Q35</f>
        <v>177.6</v>
      </c>
      <c r="R64" s="50">
        <f>October!R35</f>
        <v>20.8</v>
      </c>
      <c r="S64" s="55">
        <f>October!S35</f>
        <v>72</v>
      </c>
      <c r="T64" s="57">
        <f>October!T35</f>
        <v>1632.21</v>
      </c>
      <c r="U64" s="49">
        <f>October!U35</f>
        <v>8661</v>
      </c>
      <c r="V64" s="51">
        <f>October!V35</f>
        <v>721</v>
      </c>
      <c r="W64" s="55">
        <f>October!W35</f>
        <v>13</v>
      </c>
      <c r="X64" s="50">
        <f>October!X35</f>
        <v>4</v>
      </c>
      <c r="Y64" s="50">
        <f>October!Y35</f>
        <v>5</v>
      </c>
      <c r="Z64" s="50">
        <f>October!Z35</f>
        <v>8</v>
      </c>
      <c r="AA64" s="50">
        <f>October!AA35</f>
        <v>12</v>
      </c>
      <c r="AB64" s="50">
        <f>October!AB35</f>
        <v>13</v>
      </c>
      <c r="AC64" s="51">
        <f>October!AC35</f>
        <v>55</v>
      </c>
      <c r="AD64" s="49">
        <f>October!AD35</f>
        <v>55.5</v>
      </c>
      <c r="AE64" s="50">
        <f>October!AE35</f>
        <v>12.5</v>
      </c>
      <c r="AF64" s="50">
        <f>October!AF35</f>
        <v>17</v>
      </c>
      <c r="AG64" s="50">
        <f>October!AG35</f>
        <v>28</v>
      </c>
      <c r="AH64" s="50">
        <f>October!AH35</f>
        <v>42</v>
      </c>
      <c r="AI64" s="50">
        <f>October!AI35</f>
        <v>54.5</v>
      </c>
      <c r="AJ64" s="51">
        <f>October!AJ35</f>
        <v>209.5</v>
      </c>
    </row>
    <row r="65" spans="1:36">
      <c r="A65" s="63" t="s">
        <v>126</v>
      </c>
      <c r="B65" s="64"/>
      <c r="C65" s="65">
        <f t="shared" ref="C65:S65" si="21">SUM(C60:C64)</f>
        <v>48</v>
      </c>
      <c r="D65" s="66">
        <f t="shared" si="21"/>
        <v>44</v>
      </c>
      <c r="E65" s="66">
        <f t="shared" si="21"/>
        <v>7</v>
      </c>
      <c r="F65" s="66">
        <f t="shared" si="21"/>
        <v>36</v>
      </c>
      <c r="G65" s="74">
        <f t="shared" si="21"/>
        <v>1</v>
      </c>
      <c r="H65" s="65">
        <f t="shared" si="21"/>
        <v>27</v>
      </c>
      <c r="I65" s="66">
        <f t="shared" si="21"/>
        <v>23</v>
      </c>
      <c r="J65" s="66">
        <f t="shared" si="21"/>
        <v>8</v>
      </c>
      <c r="K65" s="66">
        <f t="shared" si="21"/>
        <v>15</v>
      </c>
      <c r="L65" s="67">
        <f t="shared" si="21"/>
        <v>0</v>
      </c>
      <c r="M65" s="72">
        <f t="shared" si="21"/>
        <v>13</v>
      </c>
      <c r="N65" s="66">
        <f t="shared" si="21"/>
        <v>6</v>
      </c>
      <c r="O65" s="66">
        <f t="shared" si="21"/>
        <v>7</v>
      </c>
      <c r="P65" s="67">
        <f t="shared" si="21"/>
        <v>5</v>
      </c>
      <c r="Q65" s="72">
        <f t="shared" si="21"/>
        <v>751.4</v>
      </c>
      <c r="R65" s="66">
        <f t="shared" si="21"/>
        <v>96.6</v>
      </c>
      <c r="S65" s="72">
        <f t="shared" si="21"/>
        <v>288</v>
      </c>
      <c r="T65" s="74">
        <f t="shared" ref="T65:AJ65" si="22">SUM(T60:T64)</f>
        <v>6152.84</v>
      </c>
      <c r="U65" s="65">
        <f t="shared" si="22"/>
        <v>27642</v>
      </c>
      <c r="V65" s="67">
        <f t="shared" si="22"/>
        <v>2235</v>
      </c>
      <c r="W65" s="72">
        <f t="shared" si="22"/>
        <v>61</v>
      </c>
      <c r="X65" s="66">
        <f t="shared" si="22"/>
        <v>15</v>
      </c>
      <c r="Y65" s="66">
        <f t="shared" si="22"/>
        <v>26</v>
      </c>
      <c r="Z65" s="66">
        <f t="shared" si="22"/>
        <v>24</v>
      </c>
      <c r="AA65" s="66">
        <f t="shared" si="22"/>
        <v>64</v>
      </c>
      <c r="AB65" s="66">
        <f t="shared" si="22"/>
        <v>58</v>
      </c>
      <c r="AC65" s="67">
        <f t="shared" si="22"/>
        <v>248</v>
      </c>
      <c r="AD65" s="65">
        <f t="shared" si="22"/>
        <v>220</v>
      </c>
      <c r="AE65" s="66">
        <f t="shared" si="22"/>
        <v>53.5</v>
      </c>
      <c r="AF65" s="66">
        <f t="shared" si="22"/>
        <v>96.5</v>
      </c>
      <c r="AG65" s="66">
        <f t="shared" si="22"/>
        <v>86.5</v>
      </c>
      <c r="AH65" s="66">
        <f t="shared" si="22"/>
        <v>246</v>
      </c>
      <c r="AI65" s="66">
        <f t="shared" si="22"/>
        <v>236.5</v>
      </c>
      <c r="AJ65" s="67">
        <f t="shared" si="22"/>
        <v>939</v>
      </c>
    </row>
    <row r="66" spans="1:36">
      <c r="A66" s="138" t="s">
        <v>30</v>
      </c>
      <c r="B66" s="57" t="s">
        <v>172</v>
      </c>
      <c r="C66" s="49">
        <f>November!C11</f>
        <v>13</v>
      </c>
      <c r="D66" s="50">
        <f>November!D11</f>
        <v>12</v>
      </c>
      <c r="E66" s="50">
        <f>November!E11</f>
        <v>4</v>
      </c>
      <c r="F66" s="50">
        <f>November!F11</f>
        <v>8</v>
      </c>
      <c r="G66" s="57">
        <f>November!G11</f>
        <v>0</v>
      </c>
      <c r="H66" s="49">
        <f>November!H11</f>
        <v>7</v>
      </c>
      <c r="I66" s="50">
        <f>November!I11</f>
        <v>6</v>
      </c>
      <c r="J66" s="50">
        <f>November!J11</f>
        <v>1</v>
      </c>
      <c r="K66" s="50">
        <f>November!K11</f>
        <v>5</v>
      </c>
      <c r="L66" s="51">
        <f>November!L11</f>
        <v>0</v>
      </c>
      <c r="M66" s="55">
        <f>November!M11</f>
        <v>2</v>
      </c>
      <c r="N66" s="50">
        <f>November!N11</f>
        <v>1</v>
      </c>
      <c r="O66" s="50">
        <f>November!O11</f>
        <v>2</v>
      </c>
      <c r="P66" s="51">
        <f>November!P11</f>
        <v>0</v>
      </c>
      <c r="Q66" s="55">
        <f>November!Q11</f>
        <v>88.5</v>
      </c>
      <c r="R66" s="50">
        <f>November!R11</f>
        <v>0</v>
      </c>
      <c r="S66" s="55">
        <f>November!S11</f>
        <v>70</v>
      </c>
      <c r="T66" s="57">
        <f>November!T11</f>
        <v>1412.87</v>
      </c>
      <c r="U66" s="49">
        <f>November!U11</f>
        <v>6881</v>
      </c>
      <c r="V66" s="51">
        <f>November!V11</f>
        <v>639</v>
      </c>
      <c r="W66" s="55">
        <f>November!W11</f>
        <v>14</v>
      </c>
      <c r="X66" s="50">
        <f>November!X11</f>
        <v>5</v>
      </c>
      <c r="Y66" s="50">
        <f>November!Y11</f>
        <v>6</v>
      </c>
      <c r="Z66" s="50">
        <f>November!Z11</f>
        <v>6</v>
      </c>
      <c r="AA66" s="50">
        <f>November!AA11</f>
        <v>11</v>
      </c>
      <c r="AB66" s="50">
        <f>November!AB11</f>
        <v>15</v>
      </c>
      <c r="AC66" s="51">
        <f>November!AC11</f>
        <v>57</v>
      </c>
      <c r="AD66" s="49">
        <f>November!AD11</f>
        <v>45</v>
      </c>
      <c r="AE66" s="50">
        <f>November!AE11</f>
        <v>24</v>
      </c>
      <c r="AF66" s="50">
        <f>November!AF11</f>
        <v>25.5</v>
      </c>
      <c r="AG66" s="50">
        <f>November!AG11</f>
        <v>18.5</v>
      </c>
      <c r="AH66" s="50">
        <f>November!AH11</f>
        <v>31</v>
      </c>
      <c r="AI66" s="50">
        <f>November!AI11</f>
        <v>50.5</v>
      </c>
      <c r="AJ66" s="51">
        <f>November!AJ11</f>
        <v>194.5</v>
      </c>
    </row>
    <row r="67" spans="1:36">
      <c r="A67" s="139"/>
      <c r="B67" s="57" t="s">
        <v>173</v>
      </c>
      <c r="C67" s="49">
        <f>November!C17</f>
        <v>6</v>
      </c>
      <c r="D67" s="50">
        <f>November!D17</f>
        <v>4</v>
      </c>
      <c r="E67" s="50">
        <f>November!E17</f>
        <v>2</v>
      </c>
      <c r="F67" s="50">
        <f>November!F17</f>
        <v>2</v>
      </c>
      <c r="G67" s="57">
        <f>November!G17</f>
        <v>0</v>
      </c>
      <c r="H67" s="49">
        <f>November!H17</f>
        <v>7</v>
      </c>
      <c r="I67" s="50">
        <f>November!I17</f>
        <v>6</v>
      </c>
      <c r="J67" s="50">
        <f>November!J17</f>
        <v>2</v>
      </c>
      <c r="K67" s="50">
        <f>November!K17</f>
        <v>4</v>
      </c>
      <c r="L67" s="51">
        <f>November!L17</f>
        <v>0</v>
      </c>
      <c r="M67" s="55">
        <f>November!M17</f>
        <v>3</v>
      </c>
      <c r="N67" s="50">
        <f>November!N17</f>
        <v>1</v>
      </c>
      <c r="O67" s="50">
        <f>November!O17</f>
        <v>1</v>
      </c>
      <c r="P67" s="51">
        <f>November!P17</f>
        <v>1</v>
      </c>
      <c r="Q67" s="55">
        <f>November!Q17</f>
        <v>201</v>
      </c>
      <c r="R67" s="50">
        <f>November!R17</f>
        <v>25.6</v>
      </c>
      <c r="S67" s="55">
        <f>November!S17</f>
        <v>56</v>
      </c>
      <c r="T67" s="57">
        <f>November!T17</f>
        <v>1092.93</v>
      </c>
      <c r="U67" s="49">
        <f>November!U17</f>
        <v>5270</v>
      </c>
      <c r="V67" s="51">
        <f>November!V17</f>
        <v>627</v>
      </c>
      <c r="W67" s="55">
        <f>November!W17</f>
        <v>11</v>
      </c>
      <c r="X67" s="50">
        <f>November!X17</f>
        <v>3</v>
      </c>
      <c r="Y67" s="50">
        <f>November!Y17</f>
        <v>5</v>
      </c>
      <c r="Z67" s="50">
        <f>November!Z17</f>
        <v>2</v>
      </c>
      <c r="AA67" s="50">
        <f>November!AA17</f>
        <v>16</v>
      </c>
      <c r="AB67" s="50">
        <f>November!AB17</f>
        <v>14</v>
      </c>
      <c r="AC67" s="51">
        <f>November!AC17</f>
        <v>51</v>
      </c>
      <c r="AD67" s="49">
        <f>November!AD17</f>
        <v>38</v>
      </c>
      <c r="AE67" s="50">
        <f>November!AE17</f>
        <v>10.5</v>
      </c>
      <c r="AF67" s="50">
        <f>November!AF17</f>
        <v>18.5</v>
      </c>
      <c r="AG67" s="50">
        <f>November!AG17</f>
        <v>7</v>
      </c>
      <c r="AH67" s="50">
        <f>November!AH17</f>
        <v>66.5</v>
      </c>
      <c r="AI67" s="50">
        <f>November!AI17</f>
        <v>54</v>
      </c>
      <c r="AJ67" s="51">
        <f>November!AJ17</f>
        <v>194.5</v>
      </c>
    </row>
    <row r="68" spans="1:36">
      <c r="A68" s="139"/>
      <c r="B68" s="57" t="s">
        <v>174</v>
      </c>
      <c r="C68" s="49">
        <f>November!C23</f>
        <v>4</v>
      </c>
      <c r="D68" s="50">
        <f>November!D23</f>
        <v>3</v>
      </c>
      <c r="E68" s="50">
        <f>November!E23</f>
        <v>1</v>
      </c>
      <c r="F68" s="50">
        <f>November!F23</f>
        <v>2</v>
      </c>
      <c r="G68" s="57">
        <f>November!G23</f>
        <v>0</v>
      </c>
      <c r="H68" s="49">
        <f>November!H23</f>
        <v>6</v>
      </c>
      <c r="I68" s="50">
        <f>November!I23</f>
        <v>4</v>
      </c>
      <c r="J68" s="50">
        <f>November!J23</f>
        <v>1</v>
      </c>
      <c r="K68" s="50">
        <f>November!K23</f>
        <v>3</v>
      </c>
      <c r="L68" s="51">
        <f>November!L23</f>
        <v>0</v>
      </c>
      <c r="M68" s="55">
        <f>November!M23</f>
        <v>2</v>
      </c>
      <c r="N68" s="50">
        <f>November!N23</f>
        <v>1</v>
      </c>
      <c r="O68" s="50">
        <f>November!O23</f>
        <v>1</v>
      </c>
      <c r="P68" s="51">
        <f>November!P23</f>
        <v>2</v>
      </c>
      <c r="Q68" s="55">
        <f>November!Q23</f>
        <v>175.6</v>
      </c>
      <c r="R68" s="50">
        <f>November!R23</f>
        <v>42</v>
      </c>
      <c r="S68" s="55">
        <f>November!S23</f>
        <v>49</v>
      </c>
      <c r="T68" s="57">
        <f>November!T23</f>
        <v>1085.3</v>
      </c>
      <c r="U68" s="49">
        <f>November!U23</f>
        <v>7582</v>
      </c>
      <c r="V68" s="51">
        <f>November!V23</f>
        <v>623</v>
      </c>
      <c r="W68" s="55">
        <f>November!W23</f>
        <v>10</v>
      </c>
      <c r="X68" s="50">
        <f>November!X23</f>
        <v>4</v>
      </c>
      <c r="Y68" s="50">
        <f>November!Y23</f>
        <v>8</v>
      </c>
      <c r="Z68" s="50">
        <f>November!Z23</f>
        <v>4</v>
      </c>
      <c r="AA68" s="50">
        <f>November!AA23</f>
        <v>14</v>
      </c>
      <c r="AB68" s="50">
        <f>November!AB23</f>
        <v>12</v>
      </c>
      <c r="AC68" s="51">
        <f>November!AC23</f>
        <v>52</v>
      </c>
      <c r="AD68" s="49">
        <f>November!AD23</f>
        <v>42</v>
      </c>
      <c r="AE68" s="50">
        <f>November!AE23</f>
        <v>14</v>
      </c>
      <c r="AF68" s="50">
        <f>November!AF23</f>
        <v>26.5</v>
      </c>
      <c r="AG68" s="50">
        <f>November!AG23</f>
        <v>17.5</v>
      </c>
      <c r="AH68" s="50">
        <f>November!AH23</f>
        <v>46.5</v>
      </c>
      <c r="AI68" s="50">
        <f>November!AI23</f>
        <v>48</v>
      </c>
      <c r="AJ68" s="51">
        <f>November!AJ23</f>
        <v>194.5</v>
      </c>
    </row>
    <row r="69" spans="1:36">
      <c r="A69" s="139"/>
      <c r="B69" s="57" t="s">
        <v>175</v>
      </c>
      <c r="C69" s="49">
        <f>November!C29</f>
        <v>11</v>
      </c>
      <c r="D69" s="50">
        <f>November!D29</f>
        <v>9</v>
      </c>
      <c r="E69" s="50">
        <f>November!E29</f>
        <v>2</v>
      </c>
      <c r="F69" s="50">
        <f>November!F29</f>
        <v>7</v>
      </c>
      <c r="G69" s="57">
        <f>November!G29</f>
        <v>0</v>
      </c>
      <c r="H69" s="49">
        <f>November!H29</f>
        <v>7</v>
      </c>
      <c r="I69" s="50">
        <f>November!I29</f>
        <v>6</v>
      </c>
      <c r="J69" s="50">
        <f>November!J29</f>
        <v>3</v>
      </c>
      <c r="K69" s="50">
        <f>November!K29</f>
        <v>3</v>
      </c>
      <c r="L69" s="51">
        <f>November!L29</f>
        <v>0</v>
      </c>
      <c r="M69" s="55">
        <f>November!M29</f>
        <v>6</v>
      </c>
      <c r="N69" s="50">
        <f>November!N29</f>
        <v>1</v>
      </c>
      <c r="O69" s="50">
        <f>November!O29</f>
        <v>1</v>
      </c>
      <c r="P69" s="51">
        <f>November!P29</f>
        <v>2</v>
      </c>
      <c r="Q69" s="55">
        <f>November!Q29</f>
        <v>64.6</v>
      </c>
      <c r="R69" s="50">
        <f>November!R29</f>
        <v>49.2</v>
      </c>
      <c r="S69" s="55">
        <f>November!S29</f>
        <v>76</v>
      </c>
      <c r="T69" s="57">
        <f>November!T29</f>
        <v>1511.09</v>
      </c>
      <c r="U69" s="49">
        <f>November!U29</f>
        <v>6283</v>
      </c>
      <c r="V69" s="51">
        <f>November!V29</f>
        <v>610</v>
      </c>
      <c r="W69" s="55">
        <f>November!W29</f>
        <v>15</v>
      </c>
      <c r="X69" s="50">
        <f>November!X29</f>
        <v>3</v>
      </c>
      <c r="Y69" s="50">
        <f>November!Y29</f>
        <v>6</v>
      </c>
      <c r="Z69" s="50">
        <f>November!Z29</f>
        <v>4</v>
      </c>
      <c r="AA69" s="50">
        <f>November!AA29</f>
        <v>10</v>
      </c>
      <c r="AB69" s="50">
        <f>November!AB29</f>
        <v>16</v>
      </c>
      <c r="AC69" s="51">
        <f>November!AC29</f>
        <v>54</v>
      </c>
      <c r="AD69" s="49">
        <f>November!AD29</f>
        <v>56</v>
      </c>
      <c r="AE69" s="50">
        <f>November!AE29</f>
        <v>12</v>
      </c>
      <c r="AF69" s="50">
        <f>November!AF29</f>
        <v>29</v>
      </c>
      <c r="AG69" s="50">
        <f>November!AG29</f>
        <v>16</v>
      </c>
      <c r="AH69" s="50">
        <f>November!AH29</f>
        <v>35.5</v>
      </c>
      <c r="AI69" s="50">
        <f>November!AI29</f>
        <v>52</v>
      </c>
      <c r="AJ69" s="51">
        <f>November!AJ29</f>
        <v>200.5</v>
      </c>
    </row>
    <row r="70" spans="1:36">
      <c r="A70" s="140"/>
      <c r="B70" s="57" t="s">
        <v>176</v>
      </c>
      <c r="C70" s="49">
        <f>November!C35</f>
        <v>1</v>
      </c>
      <c r="D70" s="50">
        <f>November!D35</f>
        <v>1</v>
      </c>
      <c r="E70" s="50">
        <f>November!E35</f>
        <v>0</v>
      </c>
      <c r="F70" s="50">
        <f>November!F35</f>
        <v>1</v>
      </c>
      <c r="G70" s="57">
        <f>November!G35</f>
        <v>0</v>
      </c>
      <c r="H70" s="49">
        <f>November!H35</f>
        <v>0</v>
      </c>
      <c r="I70" s="50">
        <f>November!I35</f>
        <v>0</v>
      </c>
      <c r="J70" s="50">
        <f>November!J35</f>
        <v>0</v>
      </c>
      <c r="K70" s="50">
        <f>November!K35</f>
        <v>0</v>
      </c>
      <c r="L70" s="51">
        <f>November!L35</f>
        <v>0</v>
      </c>
      <c r="M70" s="55">
        <f>November!M35</f>
        <v>1</v>
      </c>
      <c r="N70" s="50">
        <f>November!N35</f>
        <v>0</v>
      </c>
      <c r="O70" s="50">
        <f>November!O35</f>
        <v>0</v>
      </c>
      <c r="P70" s="51">
        <f>November!P35</f>
        <v>0</v>
      </c>
      <c r="Q70" s="55">
        <f>November!Q35</f>
        <v>0</v>
      </c>
      <c r="R70" s="50">
        <f>November!R35</f>
        <v>0</v>
      </c>
      <c r="S70" s="55">
        <f>November!S35</f>
        <v>13</v>
      </c>
      <c r="T70" s="57">
        <f>November!T35</f>
        <v>219.3</v>
      </c>
      <c r="U70" s="49">
        <f>November!U35</f>
        <v>450</v>
      </c>
      <c r="V70" s="51">
        <f>November!V35</f>
        <v>46</v>
      </c>
      <c r="W70" s="55">
        <f>November!W35</f>
        <v>4</v>
      </c>
      <c r="X70" s="50">
        <f>November!X35</f>
        <v>1</v>
      </c>
      <c r="Y70" s="50">
        <f>November!Y35</f>
        <v>0</v>
      </c>
      <c r="Z70" s="50">
        <f>November!Z35</f>
        <v>0</v>
      </c>
      <c r="AA70" s="50">
        <f>November!AA35</f>
        <v>5</v>
      </c>
      <c r="AB70" s="50">
        <f>November!AB35</f>
        <v>1</v>
      </c>
      <c r="AC70" s="51">
        <f>November!AC35</f>
        <v>11</v>
      </c>
      <c r="AD70" s="49">
        <f>November!AD35</f>
        <v>17.5</v>
      </c>
      <c r="AE70" s="50">
        <f>November!AE35</f>
        <v>2.5</v>
      </c>
      <c r="AF70" s="50">
        <f>November!AF35</f>
        <v>0</v>
      </c>
      <c r="AG70" s="50">
        <f>November!AG35</f>
        <v>0</v>
      </c>
      <c r="AH70" s="50">
        <f>November!AH35</f>
        <v>23</v>
      </c>
      <c r="AI70" s="50">
        <f>November!AI35</f>
        <v>5</v>
      </c>
      <c r="AJ70" s="51">
        <f>November!AJ35</f>
        <v>48</v>
      </c>
    </row>
    <row r="71" spans="1:36">
      <c r="A71" s="63" t="s">
        <v>126</v>
      </c>
      <c r="B71" s="64"/>
      <c r="C71" s="65">
        <f t="shared" ref="C71:S71" si="23">SUM(C66:C70)</f>
        <v>35</v>
      </c>
      <c r="D71" s="66">
        <f t="shared" si="23"/>
        <v>29</v>
      </c>
      <c r="E71" s="66">
        <f t="shared" si="23"/>
        <v>9</v>
      </c>
      <c r="F71" s="66">
        <f t="shared" si="23"/>
        <v>20</v>
      </c>
      <c r="G71" s="74">
        <f t="shared" si="23"/>
        <v>0</v>
      </c>
      <c r="H71" s="65">
        <f t="shared" si="23"/>
        <v>27</v>
      </c>
      <c r="I71" s="66">
        <f t="shared" si="23"/>
        <v>22</v>
      </c>
      <c r="J71" s="66">
        <f t="shared" si="23"/>
        <v>7</v>
      </c>
      <c r="K71" s="66">
        <f t="shared" si="23"/>
        <v>15</v>
      </c>
      <c r="L71" s="67">
        <f t="shared" si="23"/>
        <v>0</v>
      </c>
      <c r="M71" s="72">
        <f t="shared" si="23"/>
        <v>14</v>
      </c>
      <c r="N71" s="66">
        <f t="shared" si="23"/>
        <v>4</v>
      </c>
      <c r="O71" s="66">
        <f t="shared" si="23"/>
        <v>5</v>
      </c>
      <c r="P71" s="67">
        <f t="shared" si="23"/>
        <v>5</v>
      </c>
      <c r="Q71" s="72">
        <f t="shared" si="23"/>
        <v>529.7</v>
      </c>
      <c r="R71" s="66">
        <f t="shared" si="23"/>
        <v>116.8</v>
      </c>
      <c r="S71" s="72">
        <f t="shared" si="23"/>
        <v>264</v>
      </c>
      <c r="T71" s="74">
        <f t="shared" ref="T71:AJ71" si="24">SUM(T66:T70)</f>
        <v>5321.49</v>
      </c>
      <c r="U71" s="65">
        <f t="shared" si="24"/>
        <v>26466</v>
      </c>
      <c r="V71" s="67">
        <f t="shared" si="24"/>
        <v>2545</v>
      </c>
      <c r="W71" s="72">
        <f t="shared" si="24"/>
        <v>54</v>
      </c>
      <c r="X71" s="66">
        <f t="shared" si="24"/>
        <v>16</v>
      </c>
      <c r="Y71" s="66">
        <f t="shared" si="24"/>
        <v>25</v>
      </c>
      <c r="Z71" s="66">
        <f t="shared" si="24"/>
        <v>16</v>
      </c>
      <c r="AA71" s="66">
        <f t="shared" si="24"/>
        <v>56</v>
      </c>
      <c r="AB71" s="66">
        <f t="shared" si="24"/>
        <v>58</v>
      </c>
      <c r="AC71" s="67">
        <f t="shared" si="24"/>
        <v>225</v>
      </c>
      <c r="AD71" s="65">
        <f t="shared" si="24"/>
        <v>198.5</v>
      </c>
      <c r="AE71" s="66">
        <f t="shared" si="24"/>
        <v>63</v>
      </c>
      <c r="AF71" s="66">
        <f t="shared" si="24"/>
        <v>99.5</v>
      </c>
      <c r="AG71" s="66">
        <f t="shared" si="24"/>
        <v>59</v>
      </c>
      <c r="AH71" s="66">
        <f t="shared" si="24"/>
        <v>202.5</v>
      </c>
      <c r="AI71" s="66">
        <f t="shared" si="24"/>
        <v>209.5</v>
      </c>
      <c r="AJ71" s="67">
        <f t="shared" si="24"/>
        <v>832</v>
      </c>
    </row>
    <row r="72" spans="1:36">
      <c r="A72" s="138" t="s">
        <v>31</v>
      </c>
      <c r="B72" s="57" t="s">
        <v>177</v>
      </c>
      <c r="C72" s="49">
        <f>December!C11</f>
        <v>6</v>
      </c>
      <c r="D72" s="50">
        <f>December!D11</f>
        <v>4</v>
      </c>
      <c r="E72" s="50">
        <f>December!E11</f>
        <v>1</v>
      </c>
      <c r="F72" s="50">
        <f>December!F11</f>
        <v>3</v>
      </c>
      <c r="G72" s="57">
        <f>December!G11</f>
        <v>0</v>
      </c>
      <c r="H72" s="49">
        <f>December!H11</f>
        <v>9</v>
      </c>
      <c r="I72" s="50">
        <f>December!I11</f>
        <v>9</v>
      </c>
      <c r="J72" s="50">
        <f>December!J11</f>
        <v>1</v>
      </c>
      <c r="K72" s="50">
        <f>December!K11</f>
        <v>8</v>
      </c>
      <c r="L72" s="51">
        <f>December!L11</f>
        <v>0</v>
      </c>
      <c r="M72" s="55">
        <f>December!M11</f>
        <v>4</v>
      </c>
      <c r="N72" s="50">
        <f>December!N11</f>
        <v>3</v>
      </c>
      <c r="O72" s="50">
        <f>December!O11</f>
        <v>2</v>
      </c>
      <c r="P72" s="51">
        <f>December!P11</f>
        <v>1</v>
      </c>
      <c r="Q72" s="55">
        <f>December!Q11</f>
        <v>78.2</v>
      </c>
      <c r="R72" s="50">
        <f>December!R11</f>
        <v>44</v>
      </c>
      <c r="S72" s="55">
        <f>December!S11</f>
        <v>51</v>
      </c>
      <c r="T72" s="57">
        <f>December!T11</f>
        <v>1073.08</v>
      </c>
      <c r="U72" s="49">
        <f>December!U11</f>
        <v>4815</v>
      </c>
      <c r="V72" s="51">
        <f>December!V11</f>
        <v>484</v>
      </c>
      <c r="W72" s="55">
        <f>December!W11</f>
        <v>13</v>
      </c>
      <c r="X72" s="50">
        <f>December!X11</f>
        <v>2</v>
      </c>
      <c r="Y72" s="50">
        <f>December!Y11</f>
        <v>4</v>
      </c>
      <c r="Z72" s="50">
        <f>December!Z11</f>
        <v>3</v>
      </c>
      <c r="AA72" s="50">
        <f>December!AA11</f>
        <v>12</v>
      </c>
      <c r="AB72" s="50">
        <f>December!AB11</f>
        <v>10</v>
      </c>
      <c r="AC72" s="51">
        <f>December!AC11</f>
        <v>44</v>
      </c>
      <c r="AD72" s="49">
        <f>December!AD11</f>
        <v>45</v>
      </c>
      <c r="AE72" s="50">
        <f>December!AE11</f>
        <v>5</v>
      </c>
      <c r="AF72" s="50">
        <f>December!AF11</f>
        <v>15.5</v>
      </c>
      <c r="AG72" s="50">
        <f>December!AG11</f>
        <v>11.5</v>
      </c>
      <c r="AH72" s="50">
        <f>December!AH11</f>
        <v>40.5</v>
      </c>
      <c r="AI72" s="50">
        <f>December!AI11</f>
        <v>37</v>
      </c>
      <c r="AJ72" s="51">
        <f>December!AJ11</f>
        <v>154.5</v>
      </c>
    </row>
    <row r="73" spans="1:36">
      <c r="A73" s="139"/>
      <c r="B73" s="57" t="s">
        <v>178</v>
      </c>
      <c r="C73" s="49">
        <f>December!C17</f>
        <v>4</v>
      </c>
      <c r="D73" s="50">
        <f>December!D17</f>
        <v>3</v>
      </c>
      <c r="E73" s="50">
        <f>December!E17</f>
        <v>2</v>
      </c>
      <c r="F73" s="50">
        <f>December!F17</f>
        <v>1</v>
      </c>
      <c r="G73" s="57">
        <f>December!G17</f>
        <v>0</v>
      </c>
      <c r="H73" s="49">
        <f>December!H17</f>
        <v>12</v>
      </c>
      <c r="I73" s="50">
        <f>December!I17</f>
        <v>10</v>
      </c>
      <c r="J73" s="50">
        <f>December!J17</f>
        <v>2</v>
      </c>
      <c r="K73" s="50">
        <f>December!K17</f>
        <v>8</v>
      </c>
      <c r="L73" s="51">
        <f>December!L17</f>
        <v>0</v>
      </c>
      <c r="M73" s="55">
        <f>December!M17</f>
        <v>3</v>
      </c>
      <c r="N73" s="50">
        <f>December!N17</f>
        <v>2</v>
      </c>
      <c r="O73" s="50">
        <f>December!O17</f>
        <v>0</v>
      </c>
      <c r="P73" s="51">
        <f>December!P17</f>
        <v>0</v>
      </c>
      <c r="Q73" s="55">
        <f>December!Q17</f>
        <v>153.7</v>
      </c>
      <c r="R73" s="50">
        <f>December!R17</f>
        <v>0</v>
      </c>
      <c r="S73" s="55">
        <f>December!S17</f>
        <v>47</v>
      </c>
      <c r="T73" s="57">
        <f>December!T17</f>
        <v>873.27</v>
      </c>
      <c r="U73" s="49">
        <f>December!U17</f>
        <v>4951</v>
      </c>
      <c r="V73" s="51">
        <f>December!V17</f>
        <v>460</v>
      </c>
      <c r="W73" s="55">
        <f>December!W17</f>
        <v>11</v>
      </c>
      <c r="X73" s="50">
        <f>December!X17</f>
        <v>6</v>
      </c>
      <c r="Y73" s="50">
        <f>December!Y17</f>
        <v>8</v>
      </c>
      <c r="Z73" s="50">
        <f>December!Z17</f>
        <v>2</v>
      </c>
      <c r="AA73" s="50">
        <f>December!AA17</f>
        <v>16</v>
      </c>
      <c r="AB73" s="50">
        <f>December!AB17</f>
        <v>13</v>
      </c>
      <c r="AC73" s="51">
        <f>December!AC17</f>
        <v>56</v>
      </c>
      <c r="AD73" s="49">
        <f>December!AD17</f>
        <v>42.5</v>
      </c>
      <c r="AE73" s="50">
        <f>December!AE17</f>
        <v>24</v>
      </c>
      <c r="AF73" s="50">
        <f>December!AF17</f>
        <v>29</v>
      </c>
      <c r="AG73" s="50">
        <f>December!AG17</f>
        <v>6.5</v>
      </c>
      <c r="AH73" s="50">
        <f>December!AH17</f>
        <v>58.5</v>
      </c>
      <c r="AI73" s="50">
        <f>December!AI17</f>
        <v>45</v>
      </c>
      <c r="AJ73" s="51">
        <f>December!AJ17</f>
        <v>205.5</v>
      </c>
    </row>
    <row r="74" spans="1:36">
      <c r="A74" s="139"/>
      <c r="B74" s="57" t="s">
        <v>179</v>
      </c>
      <c r="C74" s="49">
        <f>December!C23</f>
        <v>7</v>
      </c>
      <c r="D74" s="50">
        <f>December!D23</f>
        <v>7</v>
      </c>
      <c r="E74" s="50">
        <f>December!E23</f>
        <v>3</v>
      </c>
      <c r="F74" s="50">
        <f>December!F23</f>
        <v>4</v>
      </c>
      <c r="G74" s="57">
        <f>December!G23</f>
        <v>0</v>
      </c>
      <c r="H74" s="49">
        <f>December!H23</f>
        <v>8</v>
      </c>
      <c r="I74" s="50">
        <f>December!I23</f>
        <v>4</v>
      </c>
      <c r="J74" s="50">
        <f>December!J23</f>
        <v>2</v>
      </c>
      <c r="K74" s="50">
        <f>December!K23</f>
        <v>2</v>
      </c>
      <c r="L74" s="51">
        <f>December!L23</f>
        <v>0</v>
      </c>
      <c r="M74" s="55">
        <f>December!M23</f>
        <v>2</v>
      </c>
      <c r="N74" s="50">
        <f>December!N23</f>
        <v>2</v>
      </c>
      <c r="O74" s="50">
        <f>December!O23</f>
        <v>1</v>
      </c>
      <c r="P74" s="51">
        <f>December!P23</f>
        <v>0</v>
      </c>
      <c r="Q74" s="55">
        <f>December!Q23</f>
        <v>130.6</v>
      </c>
      <c r="R74" s="50">
        <f>December!R23</f>
        <v>3.2</v>
      </c>
      <c r="S74" s="55">
        <f>December!S23</f>
        <v>44</v>
      </c>
      <c r="T74" s="57">
        <f>December!T23</f>
        <v>1062.99</v>
      </c>
      <c r="U74" s="49">
        <f>December!U23</f>
        <v>4199</v>
      </c>
      <c r="V74" s="51">
        <f>December!V23</f>
        <v>438</v>
      </c>
      <c r="W74" s="55">
        <f>December!W23</f>
        <v>11</v>
      </c>
      <c r="X74" s="50">
        <f>December!X23</f>
        <v>3</v>
      </c>
      <c r="Y74" s="50">
        <f>December!Y23</f>
        <v>5</v>
      </c>
      <c r="Z74" s="50">
        <f>December!Z23</f>
        <v>2</v>
      </c>
      <c r="AA74" s="50">
        <f>December!AA23</f>
        <v>12</v>
      </c>
      <c r="AB74" s="50">
        <f>December!AB23</f>
        <v>11</v>
      </c>
      <c r="AC74" s="51">
        <f>December!AC23</f>
        <v>44</v>
      </c>
      <c r="AD74" s="49">
        <f>December!AD23</f>
        <v>39.5</v>
      </c>
      <c r="AE74" s="50">
        <f>December!AE23</f>
        <v>13.5</v>
      </c>
      <c r="AF74" s="50">
        <f>December!AF23</f>
        <v>18.5</v>
      </c>
      <c r="AG74" s="50">
        <f>December!AG23</f>
        <v>8</v>
      </c>
      <c r="AH74" s="50">
        <f>December!AH23</f>
        <v>43</v>
      </c>
      <c r="AI74" s="50">
        <f>December!AI23</f>
        <v>37</v>
      </c>
      <c r="AJ74" s="51">
        <f>December!AJ23</f>
        <v>159.5</v>
      </c>
    </row>
    <row r="75" spans="1:36">
      <c r="A75" s="139"/>
      <c r="B75" s="57" t="s">
        <v>180</v>
      </c>
      <c r="C75" s="49">
        <f>December!C29</f>
        <v>9</v>
      </c>
      <c r="D75" s="50">
        <f>December!D29</f>
        <v>7</v>
      </c>
      <c r="E75" s="50">
        <f>December!E29</f>
        <v>2</v>
      </c>
      <c r="F75" s="50">
        <f>December!F29</f>
        <v>5</v>
      </c>
      <c r="G75" s="57">
        <f>December!G29</f>
        <v>0</v>
      </c>
      <c r="H75" s="49">
        <f>December!H29</f>
        <v>6</v>
      </c>
      <c r="I75" s="50">
        <f>December!I29</f>
        <v>4</v>
      </c>
      <c r="J75" s="50">
        <f>December!J29</f>
        <v>1</v>
      </c>
      <c r="K75" s="50">
        <f>December!K29</f>
        <v>3</v>
      </c>
      <c r="L75" s="51">
        <f>December!L29</f>
        <v>0</v>
      </c>
      <c r="M75" s="55">
        <f>December!M29</f>
        <v>6</v>
      </c>
      <c r="N75" s="50">
        <f>December!N29</f>
        <v>1</v>
      </c>
      <c r="O75" s="50">
        <f>December!O29</f>
        <v>0</v>
      </c>
      <c r="P75" s="51">
        <f>December!P29</f>
        <v>1</v>
      </c>
      <c r="Q75" s="55">
        <f>December!Q29</f>
        <v>150</v>
      </c>
      <c r="R75" s="50">
        <f>December!R29</f>
        <v>2.4</v>
      </c>
      <c r="S75" s="55">
        <f>December!S29</f>
        <v>71</v>
      </c>
      <c r="T75" s="57">
        <f>December!T29</f>
        <v>1525.12</v>
      </c>
      <c r="U75" s="49">
        <f>December!U29</f>
        <v>4800</v>
      </c>
      <c r="V75" s="51">
        <f>December!V29</f>
        <v>354</v>
      </c>
      <c r="W75" s="55">
        <f>December!W29</f>
        <v>15</v>
      </c>
      <c r="X75" s="50">
        <f>December!X29</f>
        <v>4</v>
      </c>
      <c r="Y75" s="50">
        <f>December!Y29</f>
        <v>6</v>
      </c>
      <c r="Z75" s="50">
        <f>December!Z29</f>
        <v>7</v>
      </c>
      <c r="AA75" s="50">
        <f>December!AA29</f>
        <v>20</v>
      </c>
      <c r="AB75" s="50">
        <f>December!AB29</f>
        <v>12</v>
      </c>
      <c r="AC75" s="51">
        <f>December!AC29</f>
        <v>64</v>
      </c>
      <c r="AD75" s="49">
        <f>December!AD29</f>
        <v>47</v>
      </c>
      <c r="AE75" s="50">
        <f>December!AE29</f>
        <v>12.5</v>
      </c>
      <c r="AF75" s="50">
        <f>December!AF29</f>
        <v>19</v>
      </c>
      <c r="AG75" s="50">
        <f>December!AG29</f>
        <v>30</v>
      </c>
      <c r="AH75" s="50">
        <f>December!AH29</f>
        <v>76</v>
      </c>
      <c r="AI75" s="50">
        <f>December!AI29</f>
        <v>49</v>
      </c>
      <c r="AJ75" s="51">
        <f>December!AJ29</f>
        <v>233.5</v>
      </c>
    </row>
    <row r="76" spans="1:36">
      <c r="A76" s="140"/>
      <c r="B76" s="57" t="s">
        <v>181</v>
      </c>
      <c r="C76" s="49">
        <f>December!C35</f>
        <v>7</v>
      </c>
      <c r="D76" s="50">
        <f>December!D35</f>
        <v>4</v>
      </c>
      <c r="E76" s="50">
        <f>December!E35</f>
        <v>1</v>
      </c>
      <c r="F76" s="50">
        <f>December!F35</f>
        <v>3</v>
      </c>
      <c r="G76" s="57">
        <f>December!G35</f>
        <v>0</v>
      </c>
      <c r="H76" s="49">
        <f>December!H35</f>
        <v>4</v>
      </c>
      <c r="I76" s="50">
        <f>December!I35</f>
        <v>3</v>
      </c>
      <c r="J76" s="50">
        <f>December!J35</f>
        <v>1</v>
      </c>
      <c r="K76" s="50">
        <f>December!K35</f>
        <v>2</v>
      </c>
      <c r="L76" s="51">
        <f>December!L35</f>
        <v>0</v>
      </c>
      <c r="M76" s="55">
        <f>December!M35</f>
        <v>0</v>
      </c>
      <c r="N76" s="50">
        <f>December!N35</f>
        <v>2</v>
      </c>
      <c r="O76" s="50">
        <f>December!O35</f>
        <v>0</v>
      </c>
      <c r="P76" s="51">
        <f>December!P35</f>
        <v>1</v>
      </c>
      <c r="Q76" s="55">
        <f>December!Q35</f>
        <v>52.1</v>
      </c>
      <c r="R76" s="50">
        <f>December!R35</f>
        <v>7.7</v>
      </c>
      <c r="S76" s="55">
        <f>December!S35</f>
        <v>40</v>
      </c>
      <c r="T76" s="57">
        <f>December!T35</f>
        <v>966.01</v>
      </c>
      <c r="U76" s="49">
        <f>December!U35</f>
        <v>6181</v>
      </c>
      <c r="V76" s="51">
        <f>December!V35</f>
        <v>463</v>
      </c>
      <c r="W76" s="55">
        <f>December!W35</f>
        <v>9</v>
      </c>
      <c r="X76" s="50">
        <f>December!X35</f>
        <v>1</v>
      </c>
      <c r="Y76" s="50">
        <f>December!Y35</f>
        <v>4</v>
      </c>
      <c r="Z76" s="50">
        <f>December!Z35</f>
        <v>2</v>
      </c>
      <c r="AA76" s="50">
        <f>December!AA35</f>
        <v>14</v>
      </c>
      <c r="AB76" s="50">
        <f>December!AB35</f>
        <v>11</v>
      </c>
      <c r="AC76" s="51">
        <f>December!AC35</f>
        <v>41</v>
      </c>
      <c r="AD76" s="49">
        <f>December!AD35</f>
        <v>23</v>
      </c>
      <c r="AE76" s="50">
        <f>December!AE35</f>
        <v>3</v>
      </c>
      <c r="AF76" s="50">
        <f>December!AF35</f>
        <v>16.5</v>
      </c>
      <c r="AG76" s="50">
        <f>December!AG35</f>
        <v>9</v>
      </c>
      <c r="AH76" s="50">
        <f>December!AH35</f>
        <v>45.5</v>
      </c>
      <c r="AI76" s="50">
        <f>December!AI35</f>
        <v>53</v>
      </c>
      <c r="AJ76" s="51">
        <f>December!AJ35</f>
        <v>150</v>
      </c>
    </row>
    <row r="77" ht="17.55" spans="1:36">
      <c r="A77" s="142" t="s">
        <v>126</v>
      </c>
      <c r="B77" s="143"/>
      <c r="C77" s="85">
        <f t="shared" ref="C77:S77" si="25">SUM(C72:C76)</f>
        <v>33</v>
      </c>
      <c r="D77" s="86">
        <f t="shared" si="25"/>
        <v>25</v>
      </c>
      <c r="E77" s="86">
        <f t="shared" si="25"/>
        <v>9</v>
      </c>
      <c r="F77" s="86">
        <f t="shared" si="25"/>
        <v>16</v>
      </c>
      <c r="G77" s="89">
        <f t="shared" si="25"/>
        <v>0</v>
      </c>
      <c r="H77" s="85">
        <f t="shared" si="25"/>
        <v>39</v>
      </c>
      <c r="I77" s="86">
        <f t="shared" si="25"/>
        <v>30</v>
      </c>
      <c r="J77" s="86">
        <f t="shared" si="25"/>
        <v>7</v>
      </c>
      <c r="K77" s="86">
        <f t="shared" si="25"/>
        <v>23</v>
      </c>
      <c r="L77" s="87">
        <f t="shared" si="25"/>
        <v>0</v>
      </c>
      <c r="M77" s="88">
        <f t="shared" si="25"/>
        <v>15</v>
      </c>
      <c r="N77" s="86">
        <f t="shared" si="25"/>
        <v>10</v>
      </c>
      <c r="O77" s="86">
        <f t="shared" si="25"/>
        <v>3</v>
      </c>
      <c r="P77" s="87">
        <f t="shared" si="25"/>
        <v>3</v>
      </c>
      <c r="Q77" s="88">
        <f t="shared" si="25"/>
        <v>564.6</v>
      </c>
      <c r="R77" s="86">
        <f t="shared" si="25"/>
        <v>57.3</v>
      </c>
      <c r="S77" s="95">
        <f t="shared" si="25"/>
        <v>253</v>
      </c>
      <c r="T77" s="98">
        <f t="shared" ref="T77:AJ77" si="26">SUM(T72:T76)</f>
        <v>5500.47</v>
      </c>
      <c r="U77" s="85">
        <f t="shared" si="26"/>
        <v>24946</v>
      </c>
      <c r="V77" s="87">
        <f t="shared" si="26"/>
        <v>2199</v>
      </c>
      <c r="W77" s="88">
        <f t="shared" si="26"/>
        <v>59</v>
      </c>
      <c r="X77" s="86">
        <f t="shared" si="26"/>
        <v>16</v>
      </c>
      <c r="Y77" s="86">
        <f t="shared" si="26"/>
        <v>27</v>
      </c>
      <c r="Z77" s="86">
        <f t="shared" si="26"/>
        <v>16</v>
      </c>
      <c r="AA77" s="86">
        <f t="shared" si="26"/>
        <v>74</v>
      </c>
      <c r="AB77" s="86">
        <f t="shared" si="26"/>
        <v>57</v>
      </c>
      <c r="AC77" s="87">
        <f t="shared" si="26"/>
        <v>249</v>
      </c>
      <c r="AD77" s="85">
        <f t="shared" si="26"/>
        <v>197</v>
      </c>
      <c r="AE77" s="86">
        <f t="shared" si="26"/>
        <v>58</v>
      </c>
      <c r="AF77" s="86">
        <f t="shared" si="26"/>
        <v>98.5</v>
      </c>
      <c r="AG77" s="86">
        <f t="shared" si="26"/>
        <v>65</v>
      </c>
      <c r="AH77" s="86">
        <f t="shared" si="26"/>
        <v>263.5</v>
      </c>
      <c r="AI77" s="86">
        <f t="shared" si="26"/>
        <v>221</v>
      </c>
      <c r="AJ77" s="87">
        <f t="shared" si="26"/>
        <v>903</v>
      </c>
    </row>
    <row r="78" s="4" customFormat="1" ht="23.4" customHeight="1" spans="1:36">
      <c r="A78" s="144" t="s">
        <v>182</v>
      </c>
      <c r="B78" s="145"/>
      <c r="C78" s="104">
        <f t="shared" ref="C78:I78" si="27">SUM(C11,C17,C23,C29,C35,C41,C47,C53,C59,C65,C71,C77)</f>
        <v>501</v>
      </c>
      <c r="D78" s="105">
        <f t="shared" si="27"/>
        <v>442</v>
      </c>
      <c r="E78" s="105">
        <f t="shared" si="27"/>
        <v>98</v>
      </c>
      <c r="F78" s="105">
        <f t="shared" si="27"/>
        <v>339</v>
      </c>
      <c r="G78" s="108">
        <f t="shared" si="27"/>
        <v>5</v>
      </c>
      <c r="H78" s="104">
        <f t="shared" si="27"/>
        <v>384</v>
      </c>
      <c r="I78" s="105">
        <f t="shared" si="27"/>
        <v>323</v>
      </c>
      <c r="J78" s="105">
        <f t="shared" ref="J78:S78" si="28">SUM(J11,J17,J23,J29,J35,J41,J47,J53,J59,J65,J71,J77)</f>
        <v>100</v>
      </c>
      <c r="K78" s="105">
        <f t="shared" si="28"/>
        <v>220</v>
      </c>
      <c r="L78" s="106">
        <f t="shared" si="28"/>
        <v>3</v>
      </c>
      <c r="M78" s="107">
        <f t="shared" si="28"/>
        <v>163</v>
      </c>
      <c r="N78" s="105">
        <f t="shared" si="28"/>
        <v>494</v>
      </c>
      <c r="O78" s="105">
        <f t="shared" si="28"/>
        <v>161</v>
      </c>
      <c r="P78" s="105">
        <f t="shared" si="28"/>
        <v>315</v>
      </c>
      <c r="Q78" s="104">
        <f t="shared" si="28"/>
        <v>7455.5</v>
      </c>
      <c r="R78" s="105">
        <f t="shared" si="28"/>
        <v>7539.6</v>
      </c>
      <c r="S78" s="114">
        <f t="shared" si="28"/>
        <v>9382</v>
      </c>
      <c r="T78" s="116">
        <f t="shared" ref="T78:AJ78" si="29">SUM(T11,T17,T23,T29,T35,T41,T47,T53,T59,T65,T71,T77)</f>
        <v>62267.69</v>
      </c>
      <c r="U78" s="104">
        <f t="shared" si="29"/>
        <v>277032</v>
      </c>
      <c r="V78" s="106">
        <f t="shared" si="29"/>
        <v>24804</v>
      </c>
      <c r="W78" s="114">
        <f t="shared" si="29"/>
        <v>627</v>
      </c>
      <c r="X78" s="110">
        <f t="shared" si="29"/>
        <v>250</v>
      </c>
      <c r="Y78" s="110">
        <f t="shared" si="29"/>
        <v>353</v>
      </c>
      <c r="Z78" s="110">
        <f t="shared" si="29"/>
        <v>432</v>
      </c>
      <c r="AA78" s="110">
        <f t="shared" si="29"/>
        <v>889.5</v>
      </c>
      <c r="AB78" s="110">
        <f t="shared" si="29"/>
        <v>705.5</v>
      </c>
      <c r="AC78" s="116">
        <f t="shared" si="29"/>
        <v>2722.5</v>
      </c>
      <c r="AD78" s="109">
        <f t="shared" si="29"/>
        <v>2316.5</v>
      </c>
      <c r="AE78" s="110">
        <f t="shared" si="29"/>
        <v>950</v>
      </c>
      <c r="AF78" s="110">
        <f t="shared" si="29"/>
        <v>1302.5</v>
      </c>
      <c r="AG78" s="110">
        <f t="shared" si="29"/>
        <v>1598.5</v>
      </c>
      <c r="AH78" s="110">
        <f t="shared" si="29"/>
        <v>2665</v>
      </c>
      <c r="AI78" s="110">
        <f t="shared" si="29"/>
        <v>2341</v>
      </c>
      <c r="AJ78" s="111">
        <f t="shared" si="29"/>
        <v>9787</v>
      </c>
    </row>
    <row r="82" spans="20:23">
      <c r="V82" s="5"/>
      <c r="W82" s="2"/>
    </row>
    <row r="83" spans="20:23">
      <c r="V83" s="5"/>
      <c r="W83" s="2"/>
    </row>
    <row r="84" spans="20:23">
      <c r="V84" s="5"/>
      <c r="W84" s="2"/>
    </row>
    <row r="85" spans="20:23">
      <c r="V85" s="5"/>
      <c r="W85" s="2"/>
    </row>
    <row r="86" spans="20:23">
      <c r="T86" s="5"/>
      <c r="W86" s="2"/>
    </row>
    <row r="87" spans="20:23">
      <c r="T87" s="5"/>
      <c r="W87" s="2"/>
    </row>
    <row r="88" spans="20:23">
      <c r="T88" s="5"/>
      <c r="W88" s="2"/>
    </row>
    <row r="89" spans="20:23">
      <c r="T89" s="5"/>
      <c r="W89" s="2"/>
    </row>
    <row r="90" spans="20:23">
      <c r="U90" s="5"/>
      <c r="W90" s="2"/>
    </row>
  </sheetData>
  <mergeCells count="34">
    <mergeCell ref="C4:G4"/>
    <mergeCell ref="H4:L4"/>
    <mergeCell ref="M4:P4"/>
    <mergeCell ref="Q4:R4"/>
    <mergeCell ref="S4:T4"/>
    <mergeCell ref="U4:V4"/>
    <mergeCell ref="W4:AC4"/>
    <mergeCell ref="AD4:AJ4"/>
    <mergeCell ref="A11:B11"/>
    <mergeCell ref="A17:B17"/>
    <mergeCell ref="A23:B23"/>
    <mergeCell ref="A29:B29"/>
    <mergeCell ref="A35:B35"/>
    <mergeCell ref="A41:B41"/>
    <mergeCell ref="A47:B47"/>
    <mergeCell ref="A53:B53"/>
    <mergeCell ref="A59:B59"/>
    <mergeCell ref="A65:B65"/>
    <mergeCell ref="A71:B71"/>
    <mergeCell ref="A77:B77"/>
    <mergeCell ref="A78:B78"/>
    <mergeCell ref="A6:A10"/>
    <mergeCell ref="A12:A16"/>
    <mergeCell ref="A18:A22"/>
    <mergeCell ref="A24:A28"/>
    <mergeCell ref="A30:A34"/>
    <mergeCell ref="A36:A40"/>
    <mergeCell ref="A42:A46"/>
    <mergeCell ref="A48:A52"/>
    <mergeCell ref="A54:A58"/>
    <mergeCell ref="A60:A64"/>
    <mergeCell ref="A66:A70"/>
    <mergeCell ref="A72:A76"/>
    <mergeCell ref="C1:Z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74"/>
  <sheetViews>
    <sheetView workbookViewId="0">
      <selection activeCell="A11" sqref="$A11:$XFD11"/>
    </sheetView>
  </sheetViews>
  <sheetFormatPr defaultColWidth="13.6923076923077" defaultRowHeight="16.8"/>
  <cols>
    <col min="1" max="1" width="3.68269230769231" style="2" customWidth="1"/>
    <col min="2" max="22" width="13.6923076923077" style="2" customWidth="1"/>
    <col min="23" max="23" width="13.6923076923077" style="5" customWidth="1"/>
    <col min="24" max="16384" width="13.6923076923077" style="2" customWidth="1"/>
  </cols>
  <sheetData>
    <row r="1" spans="1:36">
      <c r="E1" s="6" t="s">
        <v>104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36"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17.55"/>
    <row r="4" s="1" customFormat="1" ht="17.55" spans="1:36">
      <c r="C4" s="8" t="s">
        <v>105</v>
      </c>
      <c r="D4" s="9"/>
      <c r="E4" s="9"/>
      <c r="F4" s="9"/>
      <c r="G4" s="10"/>
      <c r="H4" s="9" t="s">
        <v>106</v>
      </c>
      <c r="I4" s="9"/>
      <c r="J4" s="9"/>
      <c r="K4" s="9"/>
      <c r="L4" s="9"/>
      <c r="M4" s="8" t="s">
        <v>107</v>
      </c>
      <c r="N4" s="9"/>
      <c r="O4" s="9"/>
      <c r="P4" s="11"/>
      <c r="Q4" s="12" t="s">
        <v>124</v>
      </c>
      <c r="R4" s="10"/>
      <c r="S4" s="9" t="s">
        <v>109</v>
      </c>
      <c r="T4" s="11"/>
      <c r="U4" s="13" t="s">
        <v>110</v>
      </c>
      <c r="V4" s="14"/>
      <c r="W4" s="12" t="s">
        <v>111</v>
      </c>
      <c r="X4" s="15"/>
      <c r="Y4" s="15"/>
      <c r="Z4" s="15"/>
      <c r="AA4" s="15"/>
      <c r="AB4" s="15"/>
      <c r="AC4" s="15"/>
      <c r="AD4" s="12" t="s">
        <v>112</v>
      </c>
      <c r="AE4" s="15"/>
      <c r="AF4" s="15"/>
      <c r="AG4" s="15"/>
      <c r="AH4" s="15"/>
      <c r="AI4" s="15"/>
      <c r="AJ4" s="10"/>
    </row>
    <row r="5" s="2" customFormat="1" ht="17.55" spans="1:36">
      <c r="A5" s="129" t="s">
        <v>183</v>
      </c>
      <c r="B5" s="17" t="s">
        <v>55</v>
      </c>
      <c r="C5" s="18" t="s">
        <v>47</v>
      </c>
      <c r="D5" s="19" t="s">
        <v>114</v>
      </c>
      <c r="E5" s="20" t="s">
        <v>40</v>
      </c>
      <c r="F5" s="19" t="s">
        <v>41</v>
      </c>
      <c r="G5" s="21" t="s">
        <v>42</v>
      </c>
      <c r="H5" s="22" t="s">
        <v>47</v>
      </c>
      <c r="I5" s="22" t="s">
        <v>114</v>
      </c>
      <c r="J5" s="23" t="s">
        <v>40</v>
      </c>
      <c r="K5" s="23" t="s">
        <v>41</v>
      </c>
      <c r="L5" s="24" t="s">
        <v>42</v>
      </c>
      <c r="M5" s="25" t="s">
        <v>47</v>
      </c>
      <c r="N5" s="23" t="s">
        <v>48</v>
      </c>
      <c r="O5" s="23" t="s">
        <v>49</v>
      </c>
      <c r="P5" s="26" t="s">
        <v>50</v>
      </c>
      <c r="Q5" s="25" t="s">
        <v>115</v>
      </c>
      <c r="R5" s="26" t="s">
        <v>116</v>
      </c>
      <c r="S5" s="22" t="s">
        <v>72</v>
      </c>
      <c r="T5" s="27" t="s">
        <v>73</v>
      </c>
      <c r="U5" s="19" t="s">
        <v>74</v>
      </c>
      <c r="V5" s="28" t="s">
        <v>75</v>
      </c>
      <c r="W5" s="25" t="s">
        <v>117</v>
      </c>
      <c r="X5" s="23" t="s">
        <v>118</v>
      </c>
      <c r="Y5" s="23" t="s">
        <v>119</v>
      </c>
      <c r="Z5" s="23" t="s">
        <v>110</v>
      </c>
      <c r="AA5" s="24" t="s">
        <v>120</v>
      </c>
      <c r="AB5" s="24" t="s">
        <v>121</v>
      </c>
      <c r="AC5" s="24" t="s">
        <v>39</v>
      </c>
      <c r="AD5" s="25" t="s">
        <v>117</v>
      </c>
      <c r="AE5" s="23" t="s">
        <v>118</v>
      </c>
      <c r="AF5" s="23" t="s">
        <v>122</v>
      </c>
      <c r="AG5" s="23" t="s">
        <v>110</v>
      </c>
      <c r="AH5" s="24" t="s">
        <v>120</v>
      </c>
      <c r="AI5" s="24" t="s">
        <v>121</v>
      </c>
      <c r="AJ5" s="26" t="s">
        <v>39</v>
      </c>
    </row>
    <row r="6" spans="1:36">
      <c r="A6" s="29" t="s">
        <v>184</v>
      </c>
      <c r="B6" s="30"/>
      <c r="C6" s="31"/>
      <c r="D6" s="32"/>
      <c r="E6" s="32"/>
      <c r="F6" s="32"/>
      <c r="G6" s="33"/>
      <c r="H6" s="34"/>
      <c r="I6" s="34"/>
      <c r="J6" s="32"/>
      <c r="K6" s="32"/>
      <c r="L6" s="35"/>
      <c r="M6" s="36"/>
      <c r="N6" s="37"/>
      <c r="O6" s="37"/>
      <c r="P6" s="38"/>
      <c r="Q6" s="39"/>
      <c r="R6" s="40"/>
      <c r="S6" s="41"/>
      <c r="T6" s="42"/>
      <c r="U6" s="31"/>
      <c r="V6" s="33"/>
      <c r="W6" s="41"/>
      <c r="X6" s="37"/>
      <c r="Y6" s="37"/>
      <c r="Z6" s="37"/>
      <c r="AA6" s="43"/>
      <c r="AB6" s="43"/>
      <c r="AC6" s="43">
        <f>SUM(W6:AB6)</f>
        <v>0</v>
      </c>
      <c r="AD6" s="44"/>
      <c r="AE6" s="45"/>
      <c r="AF6" s="45"/>
      <c r="AG6" s="45"/>
      <c r="AH6" s="46"/>
      <c r="AI6" s="46"/>
      <c r="AJ6" s="47">
        <f>SUM(AD6:AI6)</f>
        <v>0</v>
      </c>
    </row>
    <row r="7" spans="1:36">
      <c r="A7" s="29"/>
      <c r="B7" s="30"/>
      <c r="C7" s="36"/>
      <c r="D7" s="37"/>
      <c r="E7" s="37"/>
      <c r="F7" s="37"/>
      <c r="G7" s="38"/>
      <c r="H7" s="130"/>
      <c r="I7" s="41"/>
      <c r="J7" s="37"/>
      <c r="K7" s="37"/>
      <c r="L7" s="130"/>
      <c r="M7" s="36"/>
      <c r="N7" s="37"/>
      <c r="O7" s="37"/>
      <c r="P7" s="38"/>
      <c r="Q7" s="131"/>
      <c r="R7" s="47"/>
      <c r="S7" s="41"/>
      <c r="T7" s="42"/>
      <c r="U7" s="36"/>
      <c r="V7" s="38"/>
      <c r="W7" s="41"/>
      <c r="X7" s="37"/>
      <c r="Y7" s="37"/>
      <c r="Z7" s="37"/>
      <c r="AA7" s="43"/>
      <c r="AB7" s="43"/>
      <c r="AC7" s="43"/>
      <c r="AD7" s="44"/>
      <c r="AE7" s="45"/>
      <c r="AF7" s="45"/>
      <c r="AG7" s="45"/>
      <c r="AH7" s="46"/>
      <c r="AI7" s="46"/>
      <c r="AJ7" s="47"/>
    </row>
    <row r="8" spans="1:36">
      <c r="A8" s="29"/>
      <c r="B8" s="30"/>
      <c r="C8" s="49"/>
      <c r="D8" s="50"/>
      <c r="E8" s="50"/>
      <c r="F8" s="50"/>
      <c r="G8" s="51"/>
      <c r="H8" s="52"/>
      <c r="I8" s="50"/>
      <c r="J8" s="50"/>
      <c r="K8" s="50"/>
      <c r="L8" s="52"/>
      <c r="M8" s="49"/>
      <c r="N8" s="50"/>
      <c r="O8" s="50"/>
      <c r="P8" s="51"/>
      <c r="Q8" s="53"/>
      <c r="R8" s="54"/>
      <c r="S8" s="55"/>
      <c r="T8" s="56"/>
      <c r="U8" s="49"/>
      <c r="V8" s="51"/>
      <c r="W8" s="55"/>
      <c r="X8" s="50"/>
      <c r="Y8" s="50"/>
      <c r="Z8" s="50"/>
      <c r="AA8" s="57"/>
      <c r="AB8" s="57"/>
      <c r="AC8" s="57">
        <f>SUM(W8:AB8)</f>
        <v>0</v>
      </c>
      <c r="AD8" s="58"/>
      <c r="AE8" s="59"/>
      <c r="AF8" s="59"/>
      <c r="AG8" s="59"/>
      <c r="AH8" s="60"/>
      <c r="AI8" s="60"/>
      <c r="AJ8" s="54">
        <f>SUM(AD8:AI8)</f>
        <v>0</v>
      </c>
    </row>
    <row r="9" spans="1:36">
      <c r="A9" s="29"/>
      <c r="B9" s="48">
        <v>46023</v>
      </c>
      <c r="C9" s="49">
        <v>3</v>
      </c>
      <c r="D9" s="50">
        <v>3</v>
      </c>
      <c r="E9" s="50">
        <v>0</v>
      </c>
      <c r="F9" s="50">
        <v>3</v>
      </c>
      <c r="G9" s="51">
        <v>0</v>
      </c>
      <c r="H9" s="52">
        <v>1</v>
      </c>
      <c r="I9" s="50">
        <v>0</v>
      </c>
      <c r="J9" s="50">
        <v>0</v>
      </c>
      <c r="K9" s="50">
        <v>0</v>
      </c>
      <c r="L9" s="52">
        <v>0</v>
      </c>
      <c r="M9" s="61">
        <v>1</v>
      </c>
      <c r="N9" s="50">
        <v>0</v>
      </c>
      <c r="O9" s="50">
        <v>0</v>
      </c>
      <c r="P9" s="51">
        <v>0</v>
      </c>
      <c r="Q9" s="53">
        <v>0</v>
      </c>
      <c r="R9" s="54">
        <v>0</v>
      </c>
      <c r="S9" s="55">
        <v>3</v>
      </c>
      <c r="T9" s="56">
        <v>85.25</v>
      </c>
      <c r="U9" s="49">
        <v>1636</v>
      </c>
      <c r="V9" s="51">
        <v>153</v>
      </c>
      <c r="W9" s="55">
        <v>2</v>
      </c>
      <c r="X9" s="50">
        <v>2</v>
      </c>
      <c r="Y9" s="50">
        <v>2</v>
      </c>
      <c r="Z9" s="50">
        <v>0</v>
      </c>
      <c r="AA9" s="57">
        <v>4</v>
      </c>
      <c r="AB9" s="57">
        <v>1</v>
      </c>
      <c r="AC9" s="57">
        <f>SUM(W9:AB9)</f>
        <v>11</v>
      </c>
      <c r="AD9" s="58">
        <v>9</v>
      </c>
      <c r="AE9" s="59">
        <v>7.5</v>
      </c>
      <c r="AF9" s="59">
        <v>9</v>
      </c>
      <c r="AG9" s="59">
        <v>0</v>
      </c>
      <c r="AH9" s="60">
        <v>18.5</v>
      </c>
      <c r="AI9" s="60">
        <v>4</v>
      </c>
      <c r="AJ9" s="54">
        <f>SUM(AD9:AI9)</f>
        <v>48</v>
      </c>
    </row>
    <row r="10" spans="1:36">
      <c r="A10" s="29"/>
      <c r="B10" s="48">
        <v>46024</v>
      </c>
      <c r="C10" s="49">
        <v>3</v>
      </c>
      <c r="D10" s="50">
        <v>3</v>
      </c>
      <c r="E10" s="50">
        <v>1</v>
      </c>
      <c r="F10" s="50">
        <v>2</v>
      </c>
      <c r="G10" s="51">
        <v>0</v>
      </c>
      <c r="H10" s="52">
        <v>0</v>
      </c>
      <c r="I10" s="50">
        <v>0</v>
      </c>
      <c r="J10" s="50">
        <v>0</v>
      </c>
      <c r="K10" s="50">
        <v>0</v>
      </c>
      <c r="L10" s="52">
        <v>0</v>
      </c>
      <c r="M10" s="61">
        <v>1</v>
      </c>
      <c r="N10" s="50">
        <v>1</v>
      </c>
      <c r="O10" s="50">
        <v>0</v>
      </c>
      <c r="P10" s="51">
        <v>0</v>
      </c>
      <c r="Q10" s="53">
        <v>55.6</v>
      </c>
      <c r="R10" s="54">
        <v>0</v>
      </c>
      <c r="S10" s="55">
        <v>17</v>
      </c>
      <c r="T10" s="56">
        <v>443.68</v>
      </c>
      <c r="U10" s="49">
        <v>811</v>
      </c>
      <c r="V10" s="51">
        <v>85</v>
      </c>
      <c r="W10" s="55">
        <v>3</v>
      </c>
      <c r="X10" s="50">
        <v>1</v>
      </c>
      <c r="Y10" s="50">
        <v>0</v>
      </c>
      <c r="Z10" s="50">
        <v>0</v>
      </c>
      <c r="AA10" s="57">
        <v>1</v>
      </c>
      <c r="AB10" s="57">
        <v>3</v>
      </c>
      <c r="AC10" s="57">
        <f>SUM(W10:AB10)</f>
        <v>8</v>
      </c>
      <c r="AD10" s="58">
        <v>13</v>
      </c>
      <c r="AE10" s="59">
        <v>4</v>
      </c>
      <c r="AF10" s="59">
        <v>0</v>
      </c>
      <c r="AG10" s="59">
        <v>0</v>
      </c>
      <c r="AH10" s="60">
        <v>5.5</v>
      </c>
      <c r="AI10" s="60">
        <v>7.5</v>
      </c>
      <c r="AJ10" s="54">
        <f>SUM(AD10:AI10)</f>
        <v>30</v>
      </c>
    </row>
    <row r="11" s="3" customFormat="1" spans="1:36">
      <c r="A11" s="63" t="s">
        <v>126</v>
      </c>
      <c r="B11" s="64"/>
      <c r="C11" s="65">
        <f t="shared" ref="C11:S11" si="0">SUM(C9:C10)</f>
        <v>6</v>
      </c>
      <c r="D11" s="66">
        <f t="shared" si="0"/>
        <v>6</v>
      </c>
      <c r="E11" s="66">
        <f t="shared" si="0"/>
        <v>1</v>
      </c>
      <c r="F11" s="66">
        <f t="shared" si="0"/>
        <v>5</v>
      </c>
      <c r="G11" s="67">
        <f t="shared" si="0"/>
        <v>0</v>
      </c>
      <c r="H11" s="68">
        <f t="shared" si="0"/>
        <v>1</v>
      </c>
      <c r="I11" s="66">
        <f t="shared" si="0"/>
        <v>0</v>
      </c>
      <c r="J11" s="66">
        <f t="shared" si="0"/>
        <v>0</v>
      </c>
      <c r="K11" s="66">
        <f t="shared" si="0"/>
        <v>0</v>
      </c>
      <c r="L11" s="68">
        <f t="shared" si="0"/>
        <v>0</v>
      </c>
      <c r="M11" s="69">
        <f t="shared" si="0"/>
        <v>2</v>
      </c>
      <c r="N11" s="66">
        <f t="shared" si="0"/>
        <v>1</v>
      </c>
      <c r="O11" s="66">
        <f t="shared" si="0"/>
        <v>0</v>
      </c>
      <c r="P11" s="67">
        <f t="shared" si="0"/>
        <v>0</v>
      </c>
      <c r="Q11" s="70">
        <f t="shared" si="0"/>
        <v>55.6</v>
      </c>
      <c r="R11" s="71">
        <f t="shared" si="0"/>
        <v>0</v>
      </c>
      <c r="S11" s="72">
        <f t="shared" si="0"/>
        <v>20</v>
      </c>
      <c r="T11" s="73">
        <f t="shared" ref="T11:AJ11" si="1">SUM(T9:T10)</f>
        <v>528.93</v>
      </c>
      <c r="U11" s="65">
        <f t="shared" si="1"/>
        <v>2447</v>
      </c>
      <c r="V11" s="67">
        <f t="shared" si="1"/>
        <v>238</v>
      </c>
      <c r="W11" s="68">
        <f t="shared" si="1"/>
        <v>5</v>
      </c>
      <c r="X11" s="74">
        <f t="shared" si="1"/>
        <v>3</v>
      </c>
      <c r="Y11" s="74">
        <f t="shared" si="1"/>
        <v>2</v>
      </c>
      <c r="Z11" s="74">
        <f t="shared" si="1"/>
        <v>0</v>
      </c>
      <c r="AA11" s="74">
        <f t="shared" si="1"/>
        <v>5</v>
      </c>
      <c r="AB11" s="74">
        <f t="shared" si="1"/>
        <v>4</v>
      </c>
      <c r="AC11" s="74">
        <f t="shared" si="1"/>
        <v>19</v>
      </c>
      <c r="AD11" s="70">
        <f t="shared" si="1"/>
        <v>22</v>
      </c>
      <c r="AE11" s="75">
        <f t="shared" si="1"/>
        <v>11.5</v>
      </c>
      <c r="AF11" s="75">
        <f t="shared" si="1"/>
        <v>9</v>
      </c>
      <c r="AG11" s="75">
        <f t="shared" si="1"/>
        <v>0</v>
      </c>
      <c r="AH11" s="75">
        <f t="shared" si="1"/>
        <v>24</v>
      </c>
      <c r="AI11" s="75">
        <f t="shared" si="1"/>
        <v>11.5</v>
      </c>
      <c r="AJ11" s="71">
        <f t="shared" si="1"/>
        <v>78</v>
      </c>
    </row>
    <row r="12" spans="1:36">
      <c r="A12" s="29" t="s">
        <v>185</v>
      </c>
      <c r="B12" s="48">
        <v>46027</v>
      </c>
      <c r="C12" s="49">
        <v>1</v>
      </c>
      <c r="D12" s="50">
        <v>1</v>
      </c>
      <c r="E12" s="50">
        <v>1</v>
      </c>
      <c r="F12" s="50">
        <v>0</v>
      </c>
      <c r="G12" s="51">
        <v>0</v>
      </c>
      <c r="H12" s="52">
        <v>2</v>
      </c>
      <c r="I12" s="50">
        <v>2</v>
      </c>
      <c r="J12" s="50">
        <v>1</v>
      </c>
      <c r="K12" s="50">
        <v>1</v>
      </c>
      <c r="L12" s="52">
        <v>0</v>
      </c>
      <c r="M12" s="61">
        <v>1</v>
      </c>
      <c r="N12" s="50">
        <v>0</v>
      </c>
      <c r="O12" s="50">
        <v>0</v>
      </c>
      <c r="P12" s="51">
        <v>0</v>
      </c>
      <c r="Q12" s="53">
        <v>0</v>
      </c>
      <c r="R12" s="54">
        <v>7.2</v>
      </c>
      <c r="S12" s="55">
        <v>8</v>
      </c>
      <c r="T12" s="56">
        <v>211.98</v>
      </c>
      <c r="U12" s="49">
        <v>295</v>
      </c>
      <c r="V12" s="51">
        <v>18</v>
      </c>
      <c r="W12" s="55">
        <v>4</v>
      </c>
      <c r="X12" s="50">
        <v>1</v>
      </c>
      <c r="Y12" s="50">
        <v>0</v>
      </c>
      <c r="Z12" s="50">
        <v>0</v>
      </c>
      <c r="AA12" s="57">
        <v>4</v>
      </c>
      <c r="AB12" s="57">
        <v>2</v>
      </c>
      <c r="AC12" s="57">
        <f>SUM(W12:AB12)</f>
        <v>11</v>
      </c>
      <c r="AD12" s="58">
        <v>12.5</v>
      </c>
      <c r="AE12" s="59">
        <v>2.5</v>
      </c>
      <c r="AF12" s="59">
        <v>0</v>
      </c>
      <c r="AG12" s="59">
        <v>0</v>
      </c>
      <c r="AH12" s="60">
        <v>10.5</v>
      </c>
      <c r="AI12" s="60">
        <v>9</v>
      </c>
      <c r="AJ12" s="54">
        <f>SUM(AD12:AI12)</f>
        <v>34.5</v>
      </c>
    </row>
    <row r="13" spans="1:36">
      <c r="A13" s="29"/>
      <c r="B13" s="48">
        <v>46028</v>
      </c>
      <c r="C13" s="49">
        <v>1</v>
      </c>
      <c r="D13" s="50">
        <v>0</v>
      </c>
      <c r="E13" s="50">
        <v>0</v>
      </c>
      <c r="F13" s="50">
        <v>0</v>
      </c>
      <c r="G13" s="51">
        <v>0</v>
      </c>
      <c r="H13" s="52">
        <v>2</v>
      </c>
      <c r="I13" s="50">
        <v>2</v>
      </c>
      <c r="J13" s="50">
        <v>1</v>
      </c>
      <c r="K13" s="50">
        <v>1</v>
      </c>
      <c r="L13" s="52">
        <v>0</v>
      </c>
      <c r="M13" s="61">
        <v>1</v>
      </c>
      <c r="N13" s="50">
        <v>0</v>
      </c>
      <c r="O13" s="50">
        <v>1</v>
      </c>
      <c r="P13" s="51">
        <v>0</v>
      </c>
      <c r="Q13" s="53">
        <v>38.9</v>
      </c>
      <c r="R13" s="54">
        <v>4.9</v>
      </c>
      <c r="S13" s="55">
        <v>16</v>
      </c>
      <c r="T13" s="56">
        <v>194.65</v>
      </c>
      <c r="U13" s="49">
        <v>726</v>
      </c>
      <c r="V13" s="51">
        <v>69</v>
      </c>
      <c r="W13" s="55">
        <v>1</v>
      </c>
      <c r="X13" s="50">
        <v>1</v>
      </c>
      <c r="Y13" s="50">
        <v>1</v>
      </c>
      <c r="Z13" s="50">
        <v>0</v>
      </c>
      <c r="AA13" s="57">
        <v>4</v>
      </c>
      <c r="AB13" s="57">
        <v>3</v>
      </c>
      <c r="AC13" s="57">
        <f t="shared" ref="AC13:AC16" si="2">SUM(W13:AB13)</f>
        <v>10</v>
      </c>
      <c r="AD13" s="58">
        <v>5.5</v>
      </c>
      <c r="AE13" s="59">
        <v>3.5</v>
      </c>
      <c r="AF13" s="59">
        <v>4</v>
      </c>
      <c r="AG13" s="59">
        <v>0</v>
      </c>
      <c r="AH13" s="60">
        <v>10.5</v>
      </c>
      <c r="AI13" s="60">
        <v>10.5</v>
      </c>
      <c r="AJ13" s="54">
        <f t="shared" ref="AJ13:AJ16" si="3">SUM(AD13:AI13)</f>
        <v>34</v>
      </c>
    </row>
    <row r="14" spans="1:36">
      <c r="A14" s="29"/>
      <c r="B14" s="48">
        <v>46029</v>
      </c>
      <c r="C14" s="49">
        <v>4</v>
      </c>
      <c r="D14" s="50">
        <v>3</v>
      </c>
      <c r="E14" s="50">
        <v>0</v>
      </c>
      <c r="F14" s="50">
        <v>3</v>
      </c>
      <c r="G14" s="51">
        <v>0</v>
      </c>
      <c r="H14" s="52">
        <v>0</v>
      </c>
      <c r="I14" s="50">
        <v>0</v>
      </c>
      <c r="J14" s="50">
        <v>0</v>
      </c>
      <c r="K14" s="50">
        <v>0</v>
      </c>
      <c r="L14" s="52">
        <v>0</v>
      </c>
      <c r="M14" s="61">
        <v>0</v>
      </c>
      <c r="N14" s="50">
        <v>0</v>
      </c>
      <c r="O14" s="50">
        <v>0</v>
      </c>
      <c r="P14" s="51">
        <v>0</v>
      </c>
      <c r="Q14" s="53">
        <v>20.9</v>
      </c>
      <c r="R14" s="54">
        <v>5.6</v>
      </c>
      <c r="S14" s="55">
        <v>9</v>
      </c>
      <c r="T14" s="56">
        <v>256.81</v>
      </c>
      <c r="U14" s="49">
        <v>1368</v>
      </c>
      <c r="V14" s="51">
        <v>72</v>
      </c>
      <c r="W14" s="55">
        <v>4</v>
      </c>
      <c r="X14" s="50">
        <v>0</v>
      </c>
      <c r="Y14" s="50">
        <v>2</v>
      </c>
      <c r="Z14" s="50">
        <v>1</v>
      </c>
      <c r="AA14" s="57">
        <v>2</v>
      </c>
      <c r="AB14" s="57">
        <v>3</v>
      </c>
      <c r="AC14" s="57">
        <f t="shared" si="2"/>
        <v>12</v>
      </c>
      <c r="AD14" s="58">
        <v>9</v>
      </c>
      <c r="AE14" s="59">
        <v>0</v>
      </c>
      <c r="AF14" s="59">
        <v>7.5</v>
      </c>
      <c r="AG14" s="59">
        <v>2.5</v>
      </c>
      <c r="AH14" s="60">
        <v>4.5</v>
      </c>
      <c r="AI14" s="60">
        <v>8.5</v>
      </c>
      <c r="AJ14" s="54">
        <f t="shared" si="3"/>
        <v>32</v>
      </c>
    </row>
    <row r="15" spans="1:36">
      <c r="A15" s="29"/>
      <c r="B15" s="48">
        <v>46030</v>
      </c>
      <c r="C15" s="49">
        <v>1</v>
      </c>
      <c r="D15" s="50">
        <v>1</v>
      </c>
      <c r="E15" s="50">
        <v>1</v>
      </c>
      <c r="F15" s="50">
        <v>0</v>
      </c>
      <c r="G15" s="51">
        <v>0</v>
      </c>
      <c r="H15" s="55">
        <v>3</v>
      </c>
      <c r="I15" s="55">
        <v>2</v>
      </c>
      <c r="J15" s="50">
        <v>1</v>
      </c>
      <c r="K15" s="50">
        <v>1</v>
      </c>
      <c r="L15" s="57">
        <v>0</v>
      </c>
      <c r="M15" s="49">
        <v>0</v>
      </c>
      <c r="N15" s="50">
        <v>1</v>
      </c>
      <c r="O15" s="50">
        <v>1</v>
      </c>
      <c r="P15" s="51">
        <v>0</v>
      </c>
      <c r="Q15" s="53">
        <v>27.7</v>
      </c>
      <c r="R15" s="54">
        <v>6.7</v>
      </c>
      <c r="S15" s="55">
        <v>16</v>
      </c>
      <c r="T15" s="56">
        <v>320.91</v>
      </c>
      <c r="U15" s="49">
        <v>1839</v>
      </c>
      <c r="V15" s="51">
        <v>232</v>
      </c>
      <c r="W15" s="55">
        <v>1</v>
      </c>
      <c r="X15" s="50">
        <v>1</v>
      </c>
      <c r="Y15" s="50">
        <v>0</v>
      </c>
      <c r="Z15" s="50">
        <v>0</v>
      </c>
      <c r="AA15" s="57">
        <v>1</v>
      </c>
      <c r="AB15" s="57">
        <v>4</v>
      </c>
      <c r="AC15" s="57">
        <f t="shared" si="2"/>
        <v>7</v>
      </c>
      <c r="AD15" s="58">
        <v>4</v>
      </c>
      <c r="AE15" s="59">
        <v>4.5</v>
      </c>
      <c r="AF15" s="59">
        <v>0</v>
      </c>
      <c r="AG15" s="59">
        <v>0</v>
      </c>
      <c r="AH15" s="60">
        <v>3.5</v>
      </c>
      <c r="AI15" s="60">
        <v>11.5</v>
      </c>
      <c r="AJ15" s="54">
        <f t="shared" si="3"/>
        <v>23.5</v>
      </c>
    </row>
    <row r="16" spans="1:36">
      <c r="A16" s="29"/>
      <c r="B16" s="48">
        <v>46031</v>
      </c>
      <c r="C16" s="49">
        <v>0</v>
      </c>
      <c r="D16" s="50">
        <v>0</v>
      </c>
      <c r="E16" s="50">
        <v>0</v>
      </c>
      <c r="F16" s="50">
        <v>0</v>
      </c>
      <c r="G16" s="51">
        <v>0</v>
      </c>
      <c r="H16" s="55">
        <v>3</v>
      </c>
      <c r="I16" s="55">
        <v>2</v>
      </c>
      <c r="J16" s="50">
        <v>1</v>
      </c>
      <c r="K16" s="50">
        <v>1</v>
      </c>
      <c r="L16" s="57">
        <v>0</v>
      </c>
      <c r="M16" s="49">
        <v>0</v>
      </c>
      <c r="N16" s="50">
        <v>0</v>
      </c>
      <c r="O16" s="50">
        <v>1</v>
      </c>
      <c r="P16" s="51">
        <v>0</v>
      </c>
      <c r="Q16" s="77">
        <v>63.3</v>
      </c>
      <c r="R16" s="54">
        <v>16.1</v>
      </c>
      <c r="S16" s="78">
        <v>16</v>
      </c>
      <c r="T16" s="79">
        <v>200.85</v>
      </c>
      <c r="U16" s="80">
        <v>1285</v>
      </c>
      <c r="V16" s="81">
        <v>142</v>
      </c>
      <c r="W16" s="55">
        <v>3</v>
      </c>
      <c r="X16" s="50">
        <v>0</v>
      </c>
      <c r="Y16" s="50">
        <v>2</v>
      </c>
      <c r="Z16" s="50">
        <v>1</v>
      </c>
      <c r="AA16" s="57">
        <v>2</v>
      </c>
      <c r="AB16" s="57">
        <v>2</v>
      </c>
      <c r="AC16" s="57">
        <f t="shared" si="2"/>
        <v>10</v>
      </c>
      <c r="AD16" s="58">
        <v>10.5</v>
      </c>
      <c r="AE16" s="59">
        <v>0</v>
      </c>
      <c r="AF16" s="59">
        <v>9</v>
      </c>
      <c r="AG16" s="59">
        <v>3</v>
      </c>
      <c r="AH16" s="60">
        <v>10.5</v>
      </c>
      <c r="AI16" s="60">
        <v>10.5</v>
      </c>
      <c r="AJ16" s="54">
        <f t="shared" si="3"/>
        <v>43.5</v>
      </c>
    </row>
    <row r="17" spans="1:36">
      <c r="A17" s="63" t="s">
        <v>126</v>
      </c>
      <c r="B17" s="64"/>
      <c r="C17" s="65">
        <f t="shared" ref="C17:S17" si="4">SUM(C12:C16)</f>
        <v>7</v>
      </c>
      <c r="D17" s="66">
        <f t="shared" si="4"/>
        <v>5</v>
      </c>
      <c r="E17" s="66">
        <f t="shared" si="4"/>
        <v>2</v>
      </c>
      <c r="F17" s="66">
        <f t="shared" si="4"/>
        <v>3</v>
      </c>
      <c r="G17" s="67">
        <f t="shared" si="4"/>
        <v>0</v>
      </c>
      <c r="H17" s="72">
        <f t="shared" si="4"/>
        <v>10</v>
      </c>
      <c r="I17" s="66">
        <f t="shared" si="4"/>
        <v>8</v>
      </c>
      <c r="J17" s="66">
        <f t="shared" si="4"/>
        <v>4</v>
      </c>
      <c r="K17" s="66">
        <f t="shared" si="4"/>
        <v>4</v>
      </c>
      <c r="L17" s="74">
        <f t="shared" si="4"/>
        <v>0</v>
      </c>
      <c r="M17" s="65">
        <f t="shared" si="4"/>
        <v>2</v>
      </c>
      <c r="N17" s="66">
        <f t="shared" si="4"/>
        <v>1</v>
      </c>
      <c r="O17" s="66">
        <f t="shared" si="4"/>
        <v>3</v>
      </c>
      <c r="P17" s="67">
        <f t="shared" si="4"/>
        <v>0</v>
      </c>
      <c r="Q17" s="70">
        <f t="shared" si="4"/>
        <v>150.8</v>
      </c>
      <c r="R17" s="71">
        <f t="shared" si="4"/>
        <v>40.5</v>
      </c>
      <c r="S17" s="72">
        <f t="shared" si="4"/>
        <v>65</v>
      </c>
      <c r="T17" s="73">
        <f t="shared" ref="T17:AJ17" si="5">SUM(T12:T16)</f>
        <v>1185.2</v>
      </c>
      <c r="U17" s="65">
        <f t="shared" si="5"/>
        <v>5513</v>
      </c>
      <c r="V17" s="67">
        <f t="shared" si="5"/>
        <v>533</v>
      </c>
      <c r="W17" s="68">
        <f t="shared" si="5"/>
        <v>13</v>
      </c>
      <c r="X17" s="74">
        <f t="shared" si="5"/>
        <v>3</v>
      </c>
      <c r="Y17" s="74">
        <f t="shared" si="5"/>
        <v>5</v>
      </c>
      <c r="Z17" s="74">
        <f t="shared" si="5"/>
        <v>2</v>
      </c>
      <c r="AA17" s="74">
        <f t="shared" si="5"/>
        <v>13</v>
      </c>
      <c r="AB17" s="74">
        <f t="shared" si="5"/>
        <v>14</v>
      </c>
      <c r="AC17" s="74">
        <f t="shared" si="5"/>
        <v>50</v>
      </c>
      <c r="AD17" s="70">
        <f t="shared" si="5"/>
        <v>41.5</v>
      </c>
      <c r="AE17" s="75">
        <f t="shared" si="5"/>
        <v>10.5</v>
      </c>
      <c r="AF17" s="75">
        <f t="shared" si="5"/>
        <v>20.5</v>
      </c>
      <c r="AG17" s="75">
        <f t="shared" si="5"/>
        <v>5.5</v>
      </c>
      <c r="AH17" s="75">
        <f t="shared" si="5"/>
        <v>39.5</v>
      </c>
      <c r="AI17" s="75">
        <f t="shared" si="5"/>
        <v>50</v>
      </c>
      <c r="AJ17" s="71">
        <f t="shared" si="5"/>
        <v>167.5</v>
      </c>
    </row>
    <row r="18" spans="1:36">
      <c r="A18" s="29" t="s">
        <v>186</v>
      </c>
      <c r="B18" s="48">
        <v>46034</v>
      </c>
      <c r="C18" s="49">
        <v>2</v>
      </c>
      <c r="D18" s="50">
        <v>2</v>
      </c>
      <c r="E18" s="50">
        <v>0</v>
      </c>
      <c r="F18" s="50">
        <v>2</v>
      </c>
      <c r="G18" s="51">
        <v>0</v>
      </c>
      <c r="H18" s="55">
        <v>2</v>
      </c>
      <c r="I18" s="55">
        <v>2</v>
      </c>
      <c r="J18" s="50">
        <v>0</v>
      </c>
      <c r="K18" s="50">
        <v>2</v>
      </c>
      <c r="L18" s="57">
        <v>0</v>
      </c>
      <c r="M18" s="49">
        <v>1</v>
      </c>
      <c r="N18" s="50">
        <v>0</v>
      </c>
      <c r="O18" s="50">
        <v>1</v>
      </c>
      <c r="P18" s="51">
        <v>0</v>
      </c>
      <c r="Q18" s="53">
        <v>25.5</v>
      </c>
      <c r="R18" s="54">
        <v>8.1</v>
      </c>
      <c r="S18" s="55">
        <v>11</v>
      </c>
      <c r="T18" s="56">
        <v>141.98</v>
      </c>
      <c r="U18" s="49">
        <v>970</v>
      </c>
      <c r="V18" s="51">
        <v>52</v>
      </c>
      <c r="W18" s="55">
        <v>4</v>
      </c>
      <c r="X18" s="50">
        <v>1</v>
      </c>
      <c r="Y18" s="50">
        <v>0</v>
      </c>
      <c r="Z18" s="50">
        <v>1</v>
      </c>
      <c r="AA18" s="57">
        <v>3</v>
      </c>
      <c r="AB18" s="57">
        <v>3</v>
      </c>
      <c r="AC18" s="57">
        <f>SUM(W18:AB18)</f>
        <v>12</v>
      </c>
      <c r="AD18" s="58">
        <v>20.5</v>
      </c>
      <c r="AE18" s="59">
        <v>2.5</v>
      </c>
      <c r="AF18" s="59">
        <v>0</v>
      </c>
      <c r="AG18" s="59">
        <v>3.5</v>
      </c>
      <c r="AH18" s="60">
        <v>15.5</v>
      </c>
      <c r="AI18" s="60">
        <v>14.5</v>
      </c>
      <c r="AJ18" s="54">
        <f>SUM(AD18:AI18)</f>
        <v>56.5</v>
      </c>
    </row>
    <row r="19" spans="1:36">
      <c r="A19" s="29"/>
      <c r="B19" s="48">
        <v>46035</v>
      </c>
      <c r="C19" s="49">
        <v>3</v>
      </c>
      <c r="D19" s="50">
        <v>3</v>
      </c>
      <c r="E19" s="50">
        <v>1</v>
      </c>
      <c r="F19" s="50">
        <v>2</v>
      </c>
      <c r="G19" s="51">
        <v>0</v>
      </c>
      <c r="H19" s="55">
        <v>0</v>
      </c>
      <c r="I19" s="55">
        <v>0</v>
      </c>
      <c r="J19" s="50">
        <v>0</v>
      </c>
      <c r="K19" s="50">
        <v>0</v>
      </c>
      <c r="L19" s="57">
        <v>0</v>
      </c>
      <c r="M19" s="49">
        <v>0</v>
      </c>
      <c r="N19" s="50">
        <v>0</v>
      </c>
      <c r="O19" s="50">
        <v>0</v>
      </c>
      <c r="P19" s="51">
        <v>1</v>
      </c>
      <c r="Q19" s="53">
        <v>59.4</v>
      </c>
      <c r="R19" s="54">
        <v>7.7</v>
      </c>
      <c r="S19" s="55">
        <v>11</v>
      </c>
      <c r="T19" s="56">
        <v>275.98</v>
      </c>
      <c r="U19" s="49">
        <v>1484</v>
      </c>
      <c r="V19" s="51">
        <v>151</v>
      </c>
      <c r="W19" s="55">
        <v>2</v>
      </c>
      <c r="X19" s="50">
        <v>0</v>
      </c>
      <c r="Y19" s="50">
        <v>2</v>
      </c>
      <c r="Z19" s="50">
        <v>1</v>
      </c>
      <c r="AA19" s="57">
        <v>5</v>
      </c>
      <c r="AB19" s="57">
        <v>2</v>
      </c>
      <c r="AC19" s="57">
        <f t="shared" ref="AC19:AC22" si="6">SUM(W19:AB19)</f>
        <v>12</v>
      </c>
      <c r="AD19" s="58">
        <v>6.5</v>
      </c>
      <c r="AE19" s="59">
        <v>0</v>
      </c>
      <c r="AF19" s="59">
        <v>9</v>
      </c>
      <c r="AG19" s="59">
        <v>4</v>
      </c>
      <c r="AH19" s="60">
        <v>17</v>
      </c>
      <c r="AI19" s="60">
        <v>8.5</v>
      </c>
      <c r="AJ19" s="54">
        <f t="shared" ref="AJ19:AJ22" si="7">SUM(AD19:AI19)</f>
        <v>45</v>
      </c>
    </row>
    <row r="20" spans="1:36">
      <c r="A20" s="29"/>
      <c r="B20" s="48">
        <v>46036</v>
      </c>
      <c r="C20" s="49">
        <v>1</v>
      </c>
      <c r="D20" s="50">
        <v>1</v>
      </c>
      <c r="E20" s="50">
        <v>0</v>
      </c>
      <c r="F20" s="50">
        <v>1</v>
      </c>
      <c r="G20" s="51">
        <v>0</v>
      </c>
      <c r="H20" s="55">
        <v>1</v>
      </c>
      <c r="I20" s="55">
        <v>1</v>
      </c>
      <c r="J20" s="50">
        <v>0</v>
      </c>
      <c r="K20" s="50">
        <v>1</v>
      </c>
      <c r="L20" s="57">
        <v>0</v>
      </c>
      <c r="M20" s="49">
        <v>0</v>
      </c>
      <c r="N20" s="50">
        <v>1</v>
      </c>
      <c r="O20" s="50">
        <v>1</v>
      </c>
      <c r="P20" s="51">
        <v>0</v>
      </c>
      <c r="Q20" s="53">
        <v>0</v>
      </c>
      <c r="R20" s="54">
        <v>0</v>
      </c>
      <c r="S20" s="55">
        <v>17</v>
      </c>
      <c r="T20" s="56">
        <v>459.37</v>
      </c>
      <c r="U20" s="82">
        <v>793</v>
      </c>
      <c r="V20" s="51">
        <v>85</v>
      </c>
      <c r="W20" s="55">
        <v>2</v>
      </c>
      <c r="X20" s="50">
        <v>2</v>
      </c>
      <c r="Y20" s="50">
        <v>1</v>
      </c>
      <c r="Z20" s="50">
        <v>2</v>
      </c>
      <c r="AA20" s="57">
        <v>4</v>
      </c>
      <c r="AB20" s="57">
        <v>2</v>
      </c>
      <c r="AC20" s="57">
        <f t="shared" si="6"/>
        <v>13</v>
      </c>
      <c r="AD20" s="58">
        <v>7.5</v>
      </c>
      <c r="AE20" s="59">
        <v>7.5</v>
      </c>
      <c r="AF20" s="59">
        <v>5.5</v>
      </c>
      <c r="AG20" s="59">
        <v>6.5</v>
      </c>
      <c r="AH20" s="60">
        <v>11.5</v>
      </c>
      <c r="AI20" s="60">
        <v>5.5</v>
      </c>
      <c r="AJ20" s="54">
        <f t="shared" si="7"/>
        <v>44</v>
      </c>
    </row>
    <row r="21" spans="1:36">
      <c r="A21" s="29"/>
      <c r="B21" s="48">
        <v>46037</v>
      </c>
      <c r="C21" s="49">
        <v>2</v>
      </c>
      <c r="D21" s="50">
        <v>2</v>
      </c>
      <c r="E21" s="50">
        <v>0</v>
      </c>
      <c r="F21" s="50">
        <v>2</v>
      </c>
      <c r="G21" s="51">
        <v>0</v>
      </c>
      <c r="H21" s="55">
        <v>3</v>
      </c>
      <c r="I21" s="55">
        <v>2</v>
      </c>
      <c r="J21" s="50">
        <v>0</v>
      </c>
      <c r="K21" s="50">
        <v>2</v>
      </c>
      <c r="L21" s="57">
        <v>0</v>
      </c>
      <c r="M21" s="49">
        <v>2</v>
      </c>
      <c r="N21" s="50">
        <v>0</v>
      </c>
      <c r="O21" s="50">
        <v>0</v>
      </c>
      <c r="P21" s="51">
        <v>0</v>
      </c>
      <c r="Q21" s="53">
        <v>0</v>
      </c>
      <c r="R21" s="54">
        <v>8.2</v>
      </c>
      <c r="S21" s="55">
        <v>3</v>
      </c>
      <c r="T21" s="56">
        <v>65.75</v>
      </c>
      <c r="U21" s="49">
        <v>736</v>
      </c>
      <c r="V21" s="51">
        <v>15</v>
      </c>
      <c r="W21" s="55">
        <v>4</v>
      </c>
      <c r="X21" s="50">
        <v>0</v>
      </c>
      <c r="Y21" s="50">
        <v>1</v>
      </c>
      <c r="Z21" s="50">
        <v>1</v>
      </c>
      <c r="AA21" s="57">
        <v>3</v>
      </c>
      <c r="AB21" s="57">
        <v>4</v>
      </c>
      <c r="AC21" s="57">
        <f t="shared" si="6"/>
        <v>13</v>
      </c>
      <c r="AD21" s="58">
        <v>13</v>
      </c>
      <c r="AE21" s="59">
        <v>0</v>
      </c>
      <c r="AF21" s="59">
        <v>3</v>
      </c>
      <c r="AG21" s="59">
        <v>4.5</v>
      </c>
      <c r="AH21" s="60">
        <v>13</v>
      </c>
      <c r="AI21" s="60">
        <v>21.5</v>
      </c>
      <c r="AJ21" s="54">
        <f t="shared" si="7"/>
        <v>55</v>
      </c>
    </row>
    <row r="22" spans="1:36">
      <c r="A22" s="29"/>
      <c r="B22" s="48">
        <v>46038</v>
      </c>
      <c r="C22" s="49">
        <v>4</v>
      </c>
      <c r="D22" s="50">
        <v>4</v>
      </c>
      <c r="E22" s="50">
        <v>1</v>
      </c>
      <c r="F22" s="50">
        <v>3</v>
      </c>
      <c r="G22" s="51">
        <v>0</v>
      </c>
      <c r="H22" s="55">
        <v>1</v>
      </c>
      <c r="I22" s="55">
        <v>0</v>
      </c>
      <c r="J22" s="50">
        <v>0</v>
      </c>
      <c r="K22" s="50">
        <v>0</v>
      </c>
      <c r="L22" s="57">
        <v>0</v>
      </c>
      <c r="M22" s="49">
        <v>1</v>
      </c>
      <c r="N22" s="50">
        <v>1</v>
      </c>
      <c r="O22" s="50">
        <v>0</v>
      </c>
      <c r="P22" s="51">
        <v>0</v>
      </c>
      <c r="Q22" s="77">
        <v>0</v>
      </c>
      <c r="R22" s="54">
        <v>17.3</v>
      </c>
      <c r="S22" s="78">
        <v>15</v>
      </c>
      <c r="T22" s="79">
        <v>435.96</v>
      </c>
      <c r="U22" s="80">
        <v>1100</v>
      </c>
      <c r="V22" s="81">
        <v>169</v>
      </c>
      <c r="W22" s="55">
        <v>4</v>
      </c>
      <c r="X22" s="50">
        <v>1</v>
      </c>
      <c r="Y22" s="50">
        <v>2</v>
      </c>
      <c r="Z22" s="50">
        <v>0</v>
      </c>
      <c r="AA22" s="57">
        <v>5</v>
      </c>
      <c r="AB22" s="57">
        <v>4</v>
      </c>
      <c r="AC22" s="57">
        <f t="shared" si="6"/>
        <v>16</v>
      </c>
      <c r="AD22" s="58">
        <v>9</v>
      </c>
      <c r="AE22" s="59">
        <v>3.5</v>
      </c>
      <c r="AF22" s="59">
        <v>6.5</v>
      </c>
      <c r="AG22" s="59">
        <v>0</v>
      </c>
      <c r="AH22" s="60">
        <v>23</v>
      </c>
      <c r="AI22" s="60">
        <v>17</v>
      </c>
      <c r="AJ22" s="54">
        <f t="shared" si="7"/>
        <v>59</v>
      </c>
    </row>
    <row r="23" spans="1:36">
      <c r="A23" s="63" t="s">
        <v>126</v>
      </c>
      <c r="B23" s="64"/>
      <c r="C23" s="65">
        <f t="shared" ref="C23:S23" si="8">SUM(C18:C22)</f>
        <v>12</v>
      </c>
      <c r="D23" s="66">
        <f t="shared" si="8"/>
        <v>12</v>
      </c>
      <c r="E23" s="66">
        <f t="shared" si="8"/>
        <v>2</v>
      </c>
      <c r="F23" s="66">
        <f t="shared" si="8"/>
        <v>10</v>
      </c>
      <c r="G23" s="67">
        <f t="shared" si="8"/>
        <v>0</v>
      </c>
      <c r="H23" s="72">
        <f t="shared" si="8"/>
        <v>7</v>
      </c>
      <c r="I23" s="66">
        <f t="shared" si="8"/>
        <v>5</v>
      </c>
      <c r="J23" s="66">
        <f t="shared" si="8"/>
        <v>0</v>
      </c>
      <c r="K23" s="66">
        <f t="shared" si="8"/>
        <v>5</v>
      </c>
      <c r="L23" s="74">
        <f t="shared" si="8"/>
        <v>0</v>
      </c>
      <c r="M23" s="65">
        <f t="shared" si="8"/>
        <v>4</v>
      </c>
      <c r="N23" s="66">
        <f t="shared" si="8"/>
        <v>2</v>
      </c>
      <c r="O23" s="66">
        <f t="shared" si="8"/>
        <v>2</v>
      </c>
      <c r="P23" s="67">
        <f t="shared" si="8"/>
        <v>1</v>
      </c>
      <c r="Q23" s="70">
        <f t="shared" si="8"/>
        <v>84.9</v>
      </c>
      <c r="R23" s="71">
        <f t="shared" si="8"/>
        <v>41.3</v>
      </c>
      <c r="S23" s="72">
        <f t="shared" si="8"/>
        <v>57</v>
      </c>
      <c r="T23" s="73">
        <f t="shared" ref="T23:AJ23" si="9">SUM(T18:T22)</f>
        <v>1379.04</v>
      </c>
      <c r="U23" s="65">
        <f t="shared" si="9"/>
        <v>5083</v>
      </c>
      <c r="V23" s="67">
        <f t="shared" si="9"/>
        <v>472</v>
      </c>
      <c r="W23" s="68">
        <f t="shared" si="9"/>
        <v>16</v>
      </c>
      <c r="X23" s="74">
        <f t="shared" si="9"/>
        <v>4</v>
      </c>
      <c r="Y23" s="74">
        <f t="shared" si="9"/>
        <v>6</v>
      </c>
      <c r="Z23" s="74">
        <f t="shared" si="9"/>
        <v>5</v>
      </c>
      <c r="AA23" s="74">
        <f t="shared" si="9"/>
        <v>20</v>
      </c>
      <c r="AB23" s="74">
        <f t="shared" si="9"/>
        <v>15</v>
      </c>
      <c r="AC23" s="74">
        <f t="shared" si="9"/>
        <v>66</v>
      </c>
      <c r="AD23" s="70">
        <f t="shared" si="9"/>
        <v>56.5</v>
      </c>
      <c r="AE23" s="75">
        <f t="shared" si="9"/>
        <v>13.5</v>
      </c>
      <c r="AF23" s="75">
        <f t="shared" si="9"/>
        <v>24</v>
      </c>
      <c r="AG23" s="75">
        <f t="shared" si="9"/>
        <v>18.5</v>
      </c>
      <c r="AH23" s="75">
        <f t="shared" si="9"/>
        <v>80</v>
      </c>
      <c r="AI23" s="75">
        <f t="shared" si="9"/>
        <v>67</v>
      </c>
      <c r="AJ23" s="71">
        <f t="shared" si="9"/>
        <v>259.5</v>
      </c>
    </row>
    <row r="24" spans="1:36">
      <c r="A24" s="29" t="s">
        <v>187</v>
      </c>
      <c r="B24" s="48">
        <v>46041</v>
      </c>
      <c r="C24" s="49">
        <v>1</v>
      </c>
      <c r="D24" s="50">
        <v>1</v>
      </c>
      <c r="E24" s="50">
        <v>1</v>
      </c>
      <c r="F24" s="50">
        <v>0</v>
      </c>
      <c r="G24" s="51">
        <v>0</v>
      </c>
      <c r="H24" s="55">
        <v>2</v>
      </c>
      <c r="I24" s="55">
        <v>1</v>
      </c>
      <c r="J24" s="50">
        <v>1</v>
      </c>
      <c r="K24" s="50">
        <v>0</v>
      </c>
      <c r="L24" s="57">
        <v>0</v>
      </c>
      <c r="M24" s="49">
        <v>0</v>
      </c>
      <c r="N24" s="50">
        <v>0</v>
      </c>
      <c r="O24" s="50">
        <v>0</v>
      </c>
      <c r="P24" s="51">
        <v>0</v>
      </c>
      <c r="Q24" s="53">
        <v>64.2</v>
      </c>
      <c r="R24" s="54">
        <v>21.7</v>
      </c>
      <c r="S24" s="55">
        <v>7</v>
      </c>
      <c r="T24" s="56">
        <v>119.69</v>
      </c>
      <c r="U24" s="49">
        <v>1693</v>
      </c>
      <c r="V24" s="51">
        <v>108</v>
      </c>
      <c r="W24" s="55">
        <v>4</v>
      </c>
      <c r="X24" s="50">
        <v>0</v>
      </c>
      <c r="Y24" s="50">
        <v>1</v>
      </c>
      <c r="Z24" s="50">
        <v>1</v>
      </c>
      <c r="AA24" s="57">
        <v>4</v>
      </c>
      <c r="AB24" s="57">
        <v>3</v>
      </c>
      <c r="AC24" s="57">
        <f>SUM(W24:AB24)</f>
        <v>13</v>
      </c>
      <c r="AD24" s="58">
        <v>22</v>
      </c>
      <c r="AE24" s="59">
        <v>0</v>
      </c>
      <c r="AF24" s="59">
        <v>5.5</v>
      </c>
      <c r="AG24" s="59">
        <v>3.5</v>
      </c>
      <c r="AH24" s="60">
        <v>22</v>
      </c>
      <c r="AI24" s="60">
        <v>12</v>
      </c>
      <c r="AJ24" s="54">
        <f>SUM(AD24:AI24)</f>
        <v>65</v>
      </c>
    </row>
    <row r="25" spans="1:36">
      <c r="A25" s="29"/>
      <c r="B25" s="48">
        <v>46042</v>
      </c>
      <c r="C25" s="49">
        <v>3</v>
      </c>
      <c r="D25" s="50">
        <v>2</v>
      </c>
      <c r="E25" s="50">
        <v>1</v>
      </c>
      <c r="F25" s="50">
        <v>1</v>
      </c>
      <c r="G25" s="51">
        <v>0</v>
      </c>
      <c r="H25" s="55">
        <v>3</v>
      </c>
      <c r="I25" s="55">
        <v>3</v>
      </c>
      <c r="J25" s="50">
        <v>0</v>
      </c>
      <c r="K25" s="50">
        <v>3</v>
      </c>
      <c r="L25" s="57">
        <v>0</v>
      </c>
      <c r="M25" s="49">
        <v>1</v>
      </c>
      <c r="N25" s="50">
        <v>0</v>
      </c>
      <c r="O25" s="50">
        <v>0</v>
      </c>
      <c r="P25" s="51">
        <v>0</v>
      </c>
      <c r="Q25" s="53">
        <v>42.1</v>
      </c>
      <c r="R25" s="54">
        <v>0</v>
      </c>
      <c r="S25" s="55">
        <v>13</v>
      </c>
      <c r="T25" s="56">
        <v>263.1</v>
      </c>
      <c r="U25" s="49">
        <v>2009</v>
      </c>
      <c r="V25" s="51">
        <v>178</v>
      </c>
      <c r="W25" s="55">
        <v>3</v>
      </c>
      <c r="X25" s="50">
        <v>0</v>
      </c>
      <c r="Y25" s="50">
        <v>2</v>
      </c>
      <c r="Z25" s="50">
        <v>0</v>
      </c>
      <c r="AA25" s="57">
        <v>2</v>
      </c>
      <c r="AB25" s="57">
        <v>1</v>
      </c>
      <c r="AC25" s="57">
        <f t="shared" ref="AC25:AC28" si="10">SUM(W25:AB25)</f>
        <v>8</v>
      </c>
      <c r="AD25" s="58">
        <v>13</v>
      </c>
      <c r="AE25" s="59">
        <v>0</v>
      </c>
      <c r="AF25" s="59">
        <v>8</v>
      </c>
      <c r="AG25" s="59">
        <v>0</v>
      </c>
      <c r="AH25" s="60">
        <v>5</v>
      </c>
      <c r="AI25" s="60">
        <v>5</v>
      </c>
      <c r="AJ25" s="54">
        <f t="shared" ref="AJ25:AJ28" si="11">SUM(AD25:AI25)</f>
        <v>31</v>
      </c>
    </row>
    <row r="26" spans="1:36">
      <c r="A26" s="29"/>
      <c r="B26" s="48">
        <v>46043</v>
      </c>
      <c r="C26" s="49">
        <v>2</v>
      </c>
      <c r="D26" s="50">
        <v>1</v>
      </c>
      <c r="E26" s="50">
        <v>0</v>
      </c>
      <c r="F26" s="50">
        <v>1</v>
      </c>
      <c r="G26" s="51">
        <v>0</v>
      </c>
      <c r="H26" s="55">
        <v>2</v>
      </c>
      <c r="I26" s="55">
        <v>2</v>
      </c>
      <c r="J26" s="50">
        <v>0</v>
      </c>
      <c r="K26" s="50">
        <v>2</v>
      </c>
      <c r="L26" s="57">
        <v>0</v>
      </c>
      <c r="M26" s="49">
        <v>2</v>
      </c>
      <c r="N26" s="50">
        <v>1</v>
      </c>
      <c r="O26" s="50">
        <v>0</v>
      </c>
      <c r="P26" s="51">
        <v>0</v>
      </c>
      <c r="Q26" s="53">
        <v>8.3</v>
      </c>
      <c r="R26" s="54">
        <v>10</v>
      </c>
      <c r="S26" s="55">
        <v>19</v>
      </c>
      <c r="T26" s="56">
        <v>551.37</v>
      </c>
      <c r="U26" s="49">
        <v>2010</v>
      </c>
      <c r="V26" s="51">
        <v>229</v>
      </c>
      <c r="W26" s="55">
        <v>3</v>
      </c>
      <c r="X26" s="50">
        <v>1</v>
      </c>
      <c r="Y26" s="50">
        <v>1</v>
      </c>
      <c r="Z26" s="50">
        <v>2</v>
      </c>
      <c r="AA26" s="57">
        <v>4</v>
      </c>
      <c r="AB26" s="57">
        <v>1</v>
      </c>
      <c r="AC26" s="57">
        <f t="shared" si="10"/>
        <v>12</v>
      </c>
      <c r="AD26" s="58">
        <v>11.5</v>
      </c>
      <c r="AE26" s="59">
        <v>3.5</v>
      </c>
      <c r="AF26" s="59">
        <v>2</v>
      </c>
      <c r="AG26" s="59">
        <v>6</v>
      </c>
      <c r="AH26" s="60">
        <v>10.5</v>
      </c>
      <c r="AI26" s="60">
        <v>5</v>
      </c>
      <c r="AJ26" s="54">
        <f t="shared" si="11"/>
        <v>38.5</v>
      </c>
    </row>
    <row r="27" spans="1:36">
      <c r="A27" s="29"/>
      <c r="B27" s="48">
        <v>46044</v>
      </c>
      <c r="C27" s="49">
        <v>4</v>
      </c>
      <c r="D27" s="50">
        <v>3</v>
      </c>
      <c r="E27" s="50">
        <v>1</v>
      </c>
      <c r="F27" s="50">
        <v>2</v>
      </c>
      <c r="G27" s="51">
        <v>0</v>
      </c>
      <c r="H27" s="55">
        <v>2</v>
      </c>
      <c r="I27" s="55">
        <v>2</v>
      </c>
      <c r="J27" s="50">
        <v>0</v>
      </c>
      <c r="K27" s="50">
        <v>2</v>
      </c>
      <c r="L27" s="57">
        <v>0</v>
      </c>
      <c r="M27" s="49">
        <v>1</v>
      </c>
      <c r="N27" s="50">
        <v>0</v>
      </c>
      <c r="O27" s="50">
        <v>1</v>
      </c>
      <c r="P27" s="51">
        <v>0</v>
      </c>
      <c r="Q27" s="53">
        <v>24.4</v>
      </c>
      <c r="R27" s="54">
        <v>0</v>
      </c>
      <c r="S27" s="55">
        <v>19</v>
      </c>
      <c r="T27" s="56">
        <v>441.99</v>
      </c>
      <c r="U27" s="49">
        <v>1740</v>
      </c>
      <c r="V27" s="51">
        <v>82</v>
      </c>
      <c r="W27" s="55">
        <v>4</v>
      </c>
      <c r="X27" s="50">
        <v>1</v>
      </c>
      <c r="Y27" s="50">
        <v>2</v>
      </c>
      <c r="Z27" s="50">
        <v>0</v>
      </c>
      <c r="AA27" s="57">
        <v>5</v>
      </c>
      <c r="AB27" s="57">
        <v>4</v>
      </c>
      <c r="AC27" s="57">
        <f t="shared" si="10"/>
        <v>16</v>
      </c>
      <c r="AD27" s="58">
        <v>12.5</v>
      </c>
      <c r="AE27" s="59">
        <v>5.5</v>
      </c>
      <c r="AF27" s="59">
        <v>7</v>
      </c>
      <c r="AG27" s="59">
        <v>0</v>
      </c>
      <c r="AH27" s="60">
        <v>19</v>
      </c>
      <c r="AI27" s="60">
        <v>19.5</v>
      </c>
      <c r="AJ27" s="54">
        <f t="shared" si="11"/>
        <v>63.5</v>
      </c>
    </row>
    <row r="28" spans="1:36">
      <c r="A28" s="29"/>
      <c r="B28" s="48">
        <v>46045</v>
      </c>
      <c r="C28" s="49">
        <v>2</v>
      </c>
      <c r="D28" s="50">
        <v>1</v>
      </c>
      <c r="E28" s="50">
        <v>0</v>
      </c>
      <c r="F28" s="50">
        <v>1</v>
      </c>
      <c r="G28" s="51">
        <v>0</v>
      </c>
      <c r="H28" s="55">
        <v>0</v>
      </c>
      <c r="I28" s="55">
        <v>0</v>
      </c>
      <c r="J28" s="50">
        <v>0</v>
      </c>
      <c r="K28" s="50">
        <v>0</v>
      </c>
      <c r="L28" s="57">
        <v>0</v>
      </c>
      <c r="M28" s="49">
        <v>2</v>
      </c>
      <c r="N28" s="50">
        <v>0</v>
      </c>
      <c r="O28" s="50">
        <v>0</v>
      </c>
      <c r="P28" s="51">
        <v>0</v>
      </c>
      <c r="Q28" s="77">
        <v>51.5</v>
      </c>
      <c r="R28" s="54">
        <v>0</v>
      </c>
      <c r="S28" s="78">
        <v>7</v>
      </c>
      <c r="T28" s="79">
        <v>183.48</v>
      </c>
      <c r="U28" s="80">
        <v>284</v>
      </c>
      <c r="V28" s="81">
        <v>44</v>
      </c>
      <c r="W28" s="55">
        <v>1</v>
      </c>
      <c r="X28" s="50">
        <v>2</v>
      </c>
      <c r="Y28" s="50">
        <v>2</v>
      </c>
      <c r="Z28" s="50">
        <v>0</v>
      </c>
      <c r="AA28" s="57">
        <v>1</v>
      </c>
      <c r="AB28" s="57">
        <v>1</v>
      </c>
      <c r="AC28" s="57">
        <f t="shared" si="10"/>
        <v>7</v>
      </c>
      <c r="AD28" s="58">
        <v>5</v>
      </c>
      <c r="AE28" s="59">
        <v>10.5</v>
      </c>
      <c r="AF28" s="59">
        <v>7</v>
      </c>
      <c r="AG28" s="59">
        <v>0</v>
      </c>
      <c r="AH28" s="60">
        <v>5</v>
      </c>
      <c r="AI28" s="60">
        <v>3.5</v>
      </c>
      <c r="AJ28" s="54">
        <f t="shared" si="11"/>
        <v>31</v>
      </c>
    </row>
    <row r="29" spans="1:36">
      <c r="A29" s="63" t="s">
        <v>126</v>
      </c>
      <c r="B29" s="64"/>
      <c r="C29" s="65">
        <f t="shared" ref="C29:S29" si="12">SUM(C24:C28)</f>
        <v>12</v>
      </c>
      <c r="D29" s="66">
        <f t="shared" si="12"/>
        <v>8</v>
      </c>
      <c r="E29" s="66">
        <f t="shared" si="12"/>
        <v>3</v>
      </c>
      <c r="F29" s="66">
        <f t="shared" si="12"/>
        <v>5</v>
      </c>
      <c r="G29" s="67">
        <f t="shared" si="12"/>
        <v>0</v>
      </c>
      <c r="H29" s="72">
        <f t="shared" si="12"/>
        <v>9</v>
      </c>
      <c r="I29" s="66">
        <f t="shared" si="12"/>
        <v>8</v>
      </c>
      <c r="J29" s="66">
        <f t="shared" si="12"/>
        <v>1</v>
      </c>
      <c r="K29" s="66">
        <f t="shared" si="12"/>
        <v>7</v>
      </c>
      <c r="L29" s="74">
        <f t="shared" si="12"/>
        <v>0</v>
      </c>
      <c r="M29" s="65">
        <f t="shared" si="12"/>
        <v>6</v>
      </c>
      <c r="N29" s="66">
        <f t="shared" si="12"/>
        <v>1</v>
      </c>
      <c r="O29" s="66">
        <f t="shared" si="12"/>
        <v>1</v>
      </c>
      <c r="P29" s="67">
        <f t="shared" si="12"/>
        <v>0</v>
      </c>
      <c r="Q29" s="70">
        <f t="shared" si="12"/>
        <v>190.5</v>
      </c>
      <c r="R29" s="71">
        <f t="shared" si="12"/>
        <v>31.7</v>
      </c>
      <c r="S29" s="72">
        <f t="shared" si="12"/>
        <v>65</v>
      </c>
      <c r="T29" s="73">
        <f t="shared" ref="T29:AJ29" si="13">SUM(T24:T28)</f>
        <v>1559.63</v>
      </c>
      <c r="U29" s="65">
        <f t="shared" si="13"/>
        <v>7736</v>
      </c>
      <c r="V29" s="67">
        <f t="shared" si="13"/>
        <v>641</v>
      </c>
      <c r="W29" s="68">
        <f t="shared" si="13"/>
        <v>15</v>
      </c>
      <c r="X29" s="74">
        <f t="shared" si="13"/>
        <v>4</v>
      </c>
      <c r="Y29" s="74">
        <f t="shared" si="13"/>
        <v>8</v>
      </c>
      <c r="Z29" s="74">
        <f t="shared" si="13"/>
        <v>3</v>
      </c>
      <c r="AA29" s="74">
        <f t="shared" si="13"/>
        <v>16</v>
      </c>
      <c r="AB29" s="74">
        <f t="shared" si="13"/>
        <v>10</v>
      </c>
      <c r="AC29" s="74">
        <f t="shared" si="13"/>
        <v>56</v>
      </c>
      <c r="AD29" s="70">
        <f t="shared" si="13"/>
        <v>64</v>
      </c>
      <c r="AE29" s="75">
        <f t="shared" si="13"/>
        <v>19.5</v>
      </c>
      <c r="AF29" s="75">
        <f t="shared" si="13"/>
        <v>29.5</v>
      </c>
      <c r="AG29" s="75">
        <f t="shared" si="13"/>
        <v>9.5</v>
      </c>
      <c r="AH29" s="75">
        <f t="shared" si="13"/>
        <v>61.5</v>
      </c>
      <c r="AI29" s="75">
        <f t="shared" si="13"/>
        <v>45</v>
      </c>
      <c r="AJ29" s="71">
        <f t="shared" si="13"/>
        <v>229</v>
      </c>
    </row>
    <row r="30" spans="1:36">
      <c r="A30" s="29" t="s">
        <v>188</v>
      </c>
      <c r="B30" s="48">
        <v>46048</v>
      </c>
      <c r="C30" s="49">
        <v>4</v>
      </c>
      <c r="D30" s="50">
        <v>4</v>
      </c>
      <c r="E30" s="50">
        <v>0</v>
      </c>
      <c r="F30" s="50">
        <v>4</v>
      </c>
      <c r="G30" s="51">
        <v>0</v>
      </c>
      <c r="H30" s="55">
        <v>3</v>
      </c>
      <c r="I30" s="55">
        <v>3</v>
      </c>
      <c r="J30" s="50">
        <v>0</v>
      </c>
      <c r="K30" s="50">
        <v>3</v>
      </c>
      <c r="L30" s="57">
        <v>0</v>
      </c>
      <c r="M30" s="49">
        <v>1</v>
      </c>
      <c r="N30" s="50">
        <v>0</v>
      </c>
      <c r="O30" s="50">
        <v>0</v>
      </c>
      <c r="P30" s="51">
        <v>0</v>
      </c>
      <c r="Q30" s="53">
        <v>29.2</v>
      </c>
      <c r="R30" s="54">
        <v>14.6</v>
      </c>
      <c r="S30" s="55">
        <v>15</v>
      </c>
      <c r="T30" s="56">
        <v>385.96</v>
      </c>
      <c r="U30" s="49">
        <v>1249</v>
      </c>
      <c r="V30" s="51">
        <v>110</v>
      </c>
      <c r="W30" s="55">
        <v>4</v>
      </c>
      <c r="X30" s="50">
        <v>1</v>
      </c>
      <c r="Y30" s="50">
        <v>1</v>
      </c>
      <c r="Z30" s="50">
        <v>1</v>
      </c>
      <c r="AA30" s="57">
        <v>1</v>
      </c>
      <c r="AB30" s="57">
        <v>1</v>
      </c>
      <c r="AC30" s="57">
        <f>SUM(W30:AB30)</f>
        <v>9</v>
      </c>
      <c r="AD30" s="58">
        <v>16.5</v>
      </c>
      <c r="AE30" s="59">
        <v>3.5</v>
      </c>
      <c r="AF30" s="59">
        <v>5</v>
      </c>
      <c r="AG30" s="59">
        <v>4</v>
      </c>
      <c r="AH30" s="60">
        <v>4</v>
      </c>
      <c r="AI30" s="60">
        <v>3.5</v>
      </c>
      <c r="AJ30" s="54">
        <f>SUM(AD30:AI30)</f>
        <v>36.5</v>
      </c>
    </row>
    <row r="31" spans="1:36">
      <c r="A31" s="29"/>
      <c r="B31" s="48">
        <v>46049</v>
      </c>
      <c r="C31" s="49">
        <v>1</v>
      </c>
      <c r="D31" s="50">
        <v>0</v>
      </c>
      <c r="E31" s="50">
        <v>0</v>
      </c>
      <c r="F31" s="50">
        <v>0</v>
      </c>
      <c r="G31" s="51">
        <v>0</v>
      </c>
      <c r="H31" s="55">
        <v>2</v>
      </c>
      <c r="I31" s="55">
        <v>2</v>
      </c>
      <c r="J31" s="50">
        <v>1</v>
      </c>
      <c r="K31" s="50">
        <v>1</v>
      </c>
      <c r="L31" s="57">
        <v>0</v>
      </c>
      <c r="M31" s="49">
        <v>1</v>
      </c>
      <c r="N31" s="50">
        <v>1</v>
      </c>
      <c r="O31" s="50">
        <v>0</v>
      </c>
      <c r="P31" s="51">
        <v>1</v>
      </c>
      <c r="Q31" s="53">
        <v>63.4</v>
      </c>
      <c r="R31" s="54">
        <v>0</v>
      </c>
      <c r="S31" s="55">
        <v>21</v>
      </c>
      <c r="T31" s="56">
        <v>584.15</v>
      </c>
      <c r="U31" s="49">
        <v>342</v>
      </c>
      <c r="V31" s="51">
        <v>27</v>
      </c>
      <c r="W31" s="55">
        <v>1</v>
      </c>
      <c r="X31" s="50">
        <v>1</v>
      </c>
      <c r="Y31" s="50">
        <v>1</v>
      </c>
      <c r="Z31" s="50">
        <v>1</v>
      </c>
      <c r="AA31" s="57">
        <v>2</v>
      </c>
      <c r="AB31" s="57">
        <v>4</v>
      </c>
      <c r="AC31" s="57">
        <f t="shared" ref="AC31:AC34" si="14">SUM(W31:AB31)</f>
        <v>10</v>
      </c>
      <c r="AD31" s="58">
        <v>3.5</v>
      </c>
      <c r="AE31" s="59">
        <v>2.5</v>
      </c>
      <c r="AF31" s="59">
        <v>2.5</v>
      </c>
      <c r="AG31" s="59">
        <v>3</v>
      </c>
      <c r="AH31" s="60">
        <v>9.5</v>
      </c>
      <c r="AI31" s="60">
        <v>11</v>
      </c>
      <c r="AJ31" s="54">
        <f t="shared" ref="AJ31:AJ34" si="15">SUM(AD31:AI31)</f>
        <v>32</v>
      </c>
    </row>
    <row r="32" spans="1:36">
      <c r="A32" s="29"/>
      <c r="B32" s="48">
        <v>46050</v>
      </c>
      <c r="C32" s="49">
        <v>0</v>
      </c>
      <c r="D32" s="50">
        <v>0</v>
      </c>
      <c r="E32" s="50">
        <v>0</v>
      </c>
      <c r="F32" s="50">
        <v>0</v>
      </c>
      <c r="G32" s="51">
        <v>0</v>
      </c>
      <c r="H32" s="55">
        <v>0</v>
      </c>
      <c r="I32" s="55">
        <v>0</v>
      </c>
      <c r="J32" s="50">
        <v>0</v>
      </c>
      <c r="K32" s="50">
        <v>0</v>
      </c>
      <c r="L32" s="57">
        <v>0</v>
      </c>
      <c r="M32" s="49">
        <v>1</v>
      </c>
      <c r="N32" s="50">
        <v>0</v>
      </c>
      <c r="O32" s="50">
        <v>0</v>
      </c>
      <c r="P32" s="51">
        <v>0</v>
      </c>
      <c r="Q32" s="53">
        <v>16.8</v>
      </c>
      <c r="R32" s="54">
        <v>5.6</v>
      </c>
      <c r="S32" s="55">
        <v>9</v>
      </c>
      <c r="T32" s="56">
        <v>257.09</v>
      </c>
      <c r="U32" s="49">
        <v>1434</v>
      </c>
      <c r="V32" s="51">
        <v>229</v>
      </c>
      <c r="W32" s="55">
        <v>1</v>
      </c>
      <c r="X32" s="50">
        <v>1</v>
      </c>
      <c r="Y32" s="50">
        <v>0</v>
      </c>
      <c r="Z32" s="50">
        <v>2</v>
      </c>
      <c r="AA32" s="57">
        <v>4</v>
      </c>
      <c r="AB32" s="57">
        <v>1</v>
      </c>
      <c r="AC32" s="57">
        <f t="shared" si="14"/>
        <v>9</v>
      </c>
      <c r="AD32" s="58">
        <v>4</v>
      </c>
      <c r="AE32" s="59">
        <v>3.5</v>
      </c>
      <c r="AF32" s="59">
        <v>0</v>
      </c>
      <c r="AG32" s="59">
        <v>11</v>
      </c>
      <c r="AH32" s="60">
        <v>21</v>
      </c>
      <c r="AI32" s="60">
        <v>3.5</v>
      </c>
      <c r="AJ32" s="54">
        <f t="shared" si="15"/>
        <v>43</v>
      </c>
    </row>
    <row r="33" spans="1:36">
      <c r="A33" s="29"/>
      <c r="B33" s="48">
        <v>46051</v>
      </c>
      <c r="C33" s="49">
        <v>1</v>
      </c>
      <c r="D33" s="50">
        <v>1</v>
      </c>
      <c r="E33" s="50">
        <v>0</v>
      </c>
      <c r="F33" s="50">
        <v>1</v>
      </c>
      <c r="G33" s="51">
        <v>0</v>
      </c>
      <c r="H33" s="55">
        <v>1</v>
      </c>
      <c r="I33" s="55">
        <v>1</v>
      </c>
      <c r="J33" s="50">
        <v>1</v>
      </c>
      <c r="K33" s="50">
        <v>0</v>
      </c>
      <c r="L33" s="57">
        <v>0</v>
      </c>
      <c r="M33" s="49">
        <v>2</v>
      </c>
      <c r="N33" s="50">
        <v>0</v>
      </c>
      <c r="O33" s="50">
        <v>0</v>
      </c>
      <c r="P33" s="51">
        <v>0</v>
      </c>
      <c r="Q33" s="53">
        <v>25.9</v>
      </c>
      <c r="R33" s="54">
        <v>0</v>
      </c>
      <c r="S33" s="55">
        <v>7</v>
      </c>
      <c r="T33" s="56">
        <v>134.11</v>
      </c>
      <c r="U33" s="49">
        <v>2025</v>
      </c>
      <c r="V33" s="51">
        <v>247</v>
      </c>
      <c r="W33" s="55">
        <v>4</v>
      </c>
      <c r="X33" s="50">
        <v>2</v>
      </c>
      <c r="Y33" s="50">
        <v>1</v>
      </c>
      <c r="Z33" s="50">
        <v>2</v>
      </c>
      <c r="AA33" s="57">
        <v>1</v>
      </c>
      <c r="AB33" s="57">
        <v>2</v>
      </c>
      <c r="AC33" s="57">
        <f t="shared" si="14"/>
        <v>12</v>
      </c>
      <c r="AD33" s="58">
        <v>10</v>
      </c>
      <c r="AE33" s="59">
        <v>10</v>
      </c>
      <c r="AF33" s="59">
        <v>3</v>
      </c>
      <c r="AG33" s="59">
        <v>11</v>
      </c>
      <c r="AH33" s="60">
        <v>3.5</v>
      </c>
      <c r="AI33" s="60">
        <v>5.5</v>
      </c>
      <c r="AJ33" s="54">
        <f t="shared" si="15"/>
        <v>43</v>
      </c>
    </row>
    <row r="34" spans="1:36">
      <c r="A34" s="29"/>
      <c r="B34" s="48">
        <v>46052</v>
      </c>
      <c r="C34" s="49">
        <v>3</v>
      </c>
      <c r="D34" s="50">
        <v>3</v>
      </c>
      <c r="E34" s="50">
        <v>0</v>
      </c>
      <c r="F34" s="50">
        <v>3</v>
      </c>
      <c r="G34" s="51">
        <v>0</v>
      </c>
      <c r="H34" s="55">
        <v>0</v>
      </c>
      <c r="I34" s="55">
        <v>0</v>
      </c>
      <c r="J34" s="50">
        <v>0</v>
      </c>
      <c r="K34" s="50">
        <v>0</v>
      </c>
      <c r="L34" s="57">
        <v>0</v>
      </c>
      <c r="M34" s="49">
        <v>0</v>
      </c>
      <c r="N34" s="50">
        <v>0</v>
      </c>
      <c r="O34" s="50">
        <v>0</v>
      </c>
      <c r="P34" s="51">
        <v>0</v>
      </c>
      <c r="Q34" s="77">
        <v>50.9</v>
      </c>
      <c r="R34" s="54">
        <v>5.8</v>
      </c>
      <c r="S34" s="78">
        <v>15</v>
      </c>
      <c r="T34" s="79">
        <v>299.35</v>
      </c>
      <c r="U34" s="80">
        <v>1844</v>
      </c>
      <c r="V34" s="81">
        <v>87</v>
      </c>
      <c r="W34" s="55">
        <v>2</v>
      </c>
      <c r="X34" s="50">
        <v>2</v>
      </c>
      <c r="Y34" s="50">
        <v>0</v>
      </c>
      <c r="Z34" s="50">
        <v>0</v>
      </c>
      <c r="AA34" s="57">
        <v>4</v>
      </c>
      <c r="AB34" s="57">
        <v>4</v>
      </c>
      <c r="AC34" s="57">
        <f t="shared" si="14"/>
        <v>12</v>
      </c>
      <c r="AD34" s="58">
        <v>5</v>
      </c>
      <c r="AE34" s="59">
        <v>7.5</v>
      </c>
      <c r="AF34" s="59">
        <v>0</v>
      </c>
      <c r="AG34" s="59">
        <v>0</v>
      </c>
      <c r="AH34" s="60">
        <v>8.5</v>
      </c>
      <c r="AI34" s="60">
        <v>21.5</v>
      </c>
      <c r="AJ34" s="54">
        <f t="shared" si="15"/>
        <v>42.5</v>
      </c>
    </row>
    <row r="35" ht="17.55" spans="1:36">
      <c r="A35" s="83" t="s">
        <v>126</v>
      </c>
      <c r="B35" s="84"/>
      <c r="C35" s="85">
        <f t="shared" ref="C35:S35" si="16">SUM(C30:C34)</f>
        <v>9</v>
      </c>
      <c r="D35" s="86">
        <f t="shared" si="16"/>
        <v>8</v>
      </c>
      <c r="E35" s="86">
        <f t="shared" si="16"/>
        <v>0</v>
      </c>
      <c r="F35" s="86">
        <f t="shared" si="16"/>
        <v>8</v>
      </c>
      <c r="G35" s="87">
        <f t="shared" si="16"/>
        <v>0</v>
      </c>
      <c r="H35" s="88">
        <f t="shared" si="16"/>
        <v>6</v>
      </c>
      <c r="I35" s="86">
        <f t="shared" si="16"/>
        <v>6</v>
      </c>
      <c r="J35" s="86">
        <f t="shared" si="16"/>
        <v>2</v>
      </c>
      <c r="K35" s="86">
        <f t="shared" si="16"/>
        <v>4</v>
      </c>
      <c r="L35" s="89">
        <f t="shared" si="16"/>
        <v>0</v>
      </c>
      <c r="M35" s="90">
        <f t="shared" si="16"/>
        <v>5</v>
      </c>
      <c r="N35" s="91">
        <f t="shared" si="16"/>
        <v>1</v>
      </c>
      <c r="O35" s="91">
        <f t="shared" si="16"/>
        <v>0</v>
      </c>
      <c r="P35" s="92">
        <f t="shared" si="16"/>
        <v>1</v>
      </c>
      <c r="Q35" s="93">
        <f t="shared" si="16"/>
        <v>186.2</v>
      </c>
      <c r="R35" s="94">
        <f t="shared" si="16"/>
        <v>26</v>
      </c>
      <c r="S35" s="95">
        <f t="shared" si="16"/>
        <v>67</v>
      </c>
      <c r="T35" s="96">
        <f t="shared" ref="T35:AJ35" si="17">SUM(T30:T34)</f>
        <v>1660.66</v>
      </c>
      <c r="U35" s="85">
        <f t="shared" si="17"/>
        <v>6894</v>
      </c>
      <c r="V35" s="87">
        <f t="shared" si="17"/>
        <v>700</v>
      </c>
      <c r="W35" s="97">
        <f t="shared" si="17"/>
        <v>12</v>
      </c>
      <c r="X35" s="98">
        <f t="shared" si="17"/>
        <v>7</v>
      </c>
      <c r="Y35" s="98">
        <f t="shared" si="17"/>
        <v>3</v>
      </c>
      <c r="Z35" s="98">
        <f t="shared" si="17"/>
        <v>6</v>
      </c>
      <c r="AA35" s="98">
        <f t="shared" si="17"/>
        <v>12</v>
      </c>
      <c r="AB35" s="98">
        <f t="shared" si="17"/>
        <v>12</v>
      </c>
      <c r="AC35" s="98">
        <f t="shared" si="17"/>
        <v>52</v>
      </c>
      <c r="AD35" s="99">
        <f t="shared" si="17"/>
        <v>39</v>
      </c>
      <c r="AE35" s="100">
        <f t="shared" si="17"/>
        <v>27</v>
      </c>
      <c r="AF35" s="100">
        <f t="shared" si="17"/>
        <v>10.5</v>
      </c>
      <c r="AG35" s="100">
        <f t="shared" si="17"/>
        <v>29</v>
      </c>
      <c r="AH35" s="100">
        <f t="shared" si="17"/>
        <v>46.5</v>
      </c>
      <c r="AI35" s="100">
        <f t="shared" si="17"/>
        <v>45</v>
      </c>
      <c r="AJ35" s="101">
        <f t="shared" si="17"/>
        <v>197</v>
      </c>
    </row>
    <row r="36" s="4" customFormat="1" ht="37.2" customHeight="1" spans="1:36">
      <c r="A36" s="102" t="s">
        <v>189</v>
      </c>
      <c r="B36" s="103"/>
      <c r="C36" s="104">
        <f t="shared" ref="C36:S36" si="18">C11+C17+C23+C29+C35</f>
        <v>46</v>
      </c>
      <c r="D36" s="105">
        <f t="shared" si="18"/>
        <v>39</v>
      </c>
      <c r="E36" s="105">
        <f t="shared" si="18"/>
        <v>8</v>
      </c>
      <c r="F36" s="105">
        <f t="shared" si="18"/>
        <v>31</v>
      </c>
      <c r="G36" s="106">
        <f t="shared" si="18"/>
        <v>0</v>
      </c>
      <c r="H36" s="107">
        <f t="shared" si="18"/>
        <v>33</v>
      </c>
      <c r="I36" s="105">
        <f t="shared" si="18"/>
        <v>27</v>
      </c>
      <c r="J36" s="105">
        <f t="shared" si="18"/>
        <v>7</v>
      </c>
      <c r="K36" s="105">
        <f t="shared" si="18"/>
        <v>20</v>
      </c>
      <c r="L36" s="108">
        <f t="shared" si="18"/>
        <v>0</v>
      </c>
      <c r="M36" s="109">
        <f t="shared" si="18"/>
        <v>19</v>
      </c>
      <c r="N36" s="110">
        <f t="shared" si="18"/>
        <v>6</v>
      </c>
      <c r="O36" s="110">
        <f t="shared" si="18"/>
        <v>6</v>
      </c>
      <c r="P36" s="111">
        <f t="shared" si="18"/>
        <v>2</v>
      </c>
      <c r="Q36" s="112">
        <f t="shared" si="18"/>
        <v>668</v>
      </c>
      <c r="R36" s="113">
        <f t="shared" si="18"/>
        <v>139.5</v>
      </c>
      <c r="S36" s="114">
        <f t="shared" si="18"/>
        <v>274</v>
      </c>
      <c r="T36" s="115">
        <f t="shared" ref="T36:AJ36" si="19">T11+T17+T23+T29+T35</f>
        <v>6313.46</v>
      </c>
      <c r="U36" s="105">
        <f t="shared" si="19"/>
        <v>27673</v>
      </c>
      <c r="V36" s="105">
        <f t="shared" si="19"/>
        <v>2584</v>
      </c>
      <c r="W36" s="116">
        <f t="shared" si="19"/>
        <v>61</v>
      </c>
      <c r="X36" s="116">
        <f t="shared" si="19"/>
        <v>21</v>
      </c>
      <c r="Y36" s="116">
        <f t="shared" si="19"/>
        <v>24</v>
      </c>
      <c r="Z36" s="116">
        <f t="shared" si="19"/>
        <v>16</v>
      </c>
      <c r="AA36" s="116">
        <f t="shared" si="19"/>
        <v>66</v>
      </c>
      <c r="AB36" s="116">
        <f t="shared" si="19"/>
        <v>55</v>
      </c>
      <c r="AC36" s="116">
        <f t="shared" si="19"/>
        <v>243</v>
      </c>
      <c r="AD36" s="117">
        <f t="shared" si="19"/>
        <v>223</v>
      </c>
      <c r="AE36" s="118">
        <f t="shared" si="19"/>
        <v>82</v>
      </c>
      <c r="AF36" s="118">
        <f t="shared" si="19"/>
        <v>93.5</v>
      </c>
      <c r="AG36" s="118">
        <f t="shared" si="19"/>
        <v>62.5</v>
      </c>
      <c r="AH36" s="118">
        <f t="shared" si="19"/>
        <v>251.5</v>
      </c>
      <c r="AI36" s="118">
        <f t="shared" si="19"/>
        <v>218.5</v>
      </c>
      <c r="AJ36" s="113">
        <f t="shared" si="19"/>
        <v>931</v>
      </c>
    </row>
    <row r="41" spans="1:36">
      <c r="H41" s="2" t="str">
        <f>UPPER(G41)</f>
        <v/>
      </c>
      <c r="U41" s="5"/>
      <c r="W41" s="2"/>
    </row>
    <row r="42" spans="1:36">
      <c r="U42" s="5"/>
      <c r="W42" s="2"/>
    </row>
    <row r="43" spans="1:36">
      <c r="U43" s="5"/>
      <c r="W43" s="2"/>
    </row>
    <row r="44" spans="1:36">
      <c r="U44" s="5"/>
      <c r="W44" s="2"/>
    </row>
    <row r="45" spans="1:36">
      <c r="U45" s="5"/>
      <c r="W45" s="2"/>
    </row>
    <row r="46" spans="1:36">
      <c r="U46" s="5"/>
      <c r="W46" s="2"/>
    </row>
    <row r="47" spans="1:36">
      <c r="U47" s="5"/>
      <c r="W47" s="2"/>
    </row>
    <row r="48" spans="1:36">
      <c r="U48" s="5"/>
      <c r="W48" s="2"/>
    </row>
    <row r="49" spans="21:23">
      <c r="U49" s="5"/>
      <c r="W49" s="2"/>
    </row>
    <row r="50" spans="21:23">
      <c r="U50" s="5"/>
      <c r="W50" s="2"/>
    </row>
    <row r="51" spans="21:23">
      <c r="U51" s="5"/>
      <c r="W51" s="2"/>
    </row>
    <row r="52" spans="21:23">
      <c r="U52" s="5"/>
      <c r="W52" s="2"/>
    </row>
    <row r="53" spans="21:23">
      <c r="U53" s="5"/>
      <c r="W53" s="2"/>
    </row>
    <row r="54" spans="21:23">
      <c r="U54" s="5"/>
      <c r="W54" s="2"/>
    </row>
    <row r="55" spans="21:23">
      <c r="U55" s="5"/>
      <c r="W55" s="2"/>
    </row>
    <row r="56" spans="21:23">
      <c r="U56" s="5"/>
      <c r="W56" s="2"/>
    </row>
    <row r="57" spans="21:23">
      <c r="U57" s="5"/>
      <c r="W57" s="2"/>
    </row>
    <row r="58" spans="21:23">
      <c r="U58" s="5"/>
      <c r="W58" s="2"/>
    </row>
    <row r="59" spans="21:23">
      <c r="U59" s="5"/>
      <c r="W59" s="2"/>
    </row>
    <row r="60" spans="21:23">
      <c r="U60" s="5"/>
      <c r="W60" s="2"/>
    </row>
    <row r="61" spans="21:23">
      <c r="U61" s="5"/>
      <c r="W61" s="2"/>
    </row>
    <row r="62" spans="21:23">
      <c r="U62" s="5"/>
      <c r="W62" s="2"/>
    </row>
    <row r="63" spans="21:23">
      <c r="U63" s="5"/>
      <c r="W63" s="2"/>
    </row>
    <row r="64" spans="21:23">
      <c r="U64" s="5"/>
      <c r="W64" s="2"/>
    </row>
    <row r="65" spans="21:23">
      <c r="U65" s="5"/>
      <c r="W65" s="2"/>
    </row>
    <row r="66" spans="21:23">
      <c r="U66" s="5"/>
      <c r="W66" s="2"/>
    </row>
    <row r="67" spans="21:23">
      <c r="U67" s="5"/>
      <c r="W67" s="2"/>
    </row>
    <row r="68" spans="21:23">
      <c r="U68" s="5"/>
      <c r="W68" s="2"/>
    </row>
    <row r="69" spans="21:23">
      <c r="U69" s="5"/>
      <c r="W69" s="2"/>
    </row>
    <row r="70" spans="21:23">
      <c r="U70" s="5"/>
      <c r="W70" s="2"/>
    </row>
    <row r="71" spans="21:23">
      <c r="U71" s="5"/>
      <c r="W71" s="2"/>
    </row>
    <row r="72" spans="21:23">
      <c r="U72" s="5"/>
      <c r="W72" s="2"/>
    </row>
    <row r="73" spans="21:23">
      <c r="U73" s="5"/>
      <c r="W73" s="2"/>
    </row>
    <row r="74" spans="21:23">
      <c r="U74" s="5"/>
      <c r="W74" s="2"/>
    </row>
  </sheetData>
  <mergeCells count="20">
    <mergeCell ref="C4:G4"/>
    <mergeCell ref="H4:L4"/>
    <mergeCell ref="M4:P4"/>
    <mergeCell ref="Q4:R4"/>
    <mergeCell ref="S4:T4"/>
    <mergeCell ref="U4:V4"/>
    <mergeCell ref="W4:AC4"/>
    <mergeCell ref="AD4:AJ4"/>
    <mergeCell ref="A11:B11"/>
    <mergeCell ref="A17:B17"/>
    <mergeCell ref="A23:B23"/>
    <mergeCell ref="A29:B29"/>
    <mergeCell ref="A35:B35"/>
    <mergeCell ref="A36:B36"/>
    <mergeCell ref="A6:A10"/>
    <mergeCell ref="A12:A16"/>
    <mergeCell ref="A18:A22"/>
    <mergeCell ref="A24:A28"/>
    <mergeCell ref="A30:A34"/>
    <mergeCell ref="E1:AA2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75"/>
  <sheetViews>
    <sheetView workbookViewId="0">
      <selection activeCell="A1" sqref="A1"/>
    </sheetView>
  </sheetViews>
  <sheetFormatPr defaultColWidth="13.6923076923077" defaultRowHeight="16.8"/>
  <cols>
    <col min="1" max="1" width="3.68269230769231" style="2" customWidth="1"/>
    <col min="2" max="22" width="13.6923076923077" style="2" customWidth="1"/>
    <col min="23" max="23" width="13.6923076923077" style="5" customWidth="1"/>
    <col min="24" max="16384" width="13.6923076923077" style="2" customWidth="1"/>
  </cols>
  <sheetData>
    <row r="1" ht="14.4" customHeight="1" spans="1:36">
      <c r="E1" s="6" t="s">
        <v>104</v>
      </c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</row>
    <row r="2" spans="1:36"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</row>
    <row r="3" ht="17.55"/>
    <row r="4" s="1" customFormat="1" ht="17.55" spans="1:36">
      <c r="C4" s="8" t="s">
        <v>105</v>
      </c>
      <c r="D4" s="9"/>
      <c r="E4" s="9"/>
      <c r="F4" s="9"/>
      <c r="G4" s="10"/>
      <c r="H4" s="9" t="s">
        <v>106</v>
      </c>
      <c r="I4" s="9"/>
      <c r="J4" s="9"/>
      <c r="K4" s="9"/>
      <c r="L4" s="9"/>
      <c r="M4" s="8" t="s">
        <v>107</v>
      </c>
      <c r="N4" s="9"/>
      <c r="O4" s="9"/>
      <c r="P4" s="11"/>
      <c r="Q4" s="12" t="s">
        <v>124</v>
      </c>
      <c r="R4" s="10"/>
      <c r="S4" s="9" t="s">
        <v>109</v>
      </c>
      <c r="T4" s="11"/>
      <c r="U4" s="13" t="s">
        <v>110</v>
      </c>
      <c r="V4" s="14"/>
      <c r="W4" s="12" t="s">
        <v>111</v>
      </c>
      <c r="X4" s="15"/>
      <c r="Y4" s="15"/>
      <c r="Z4" s="15"/>
      <c r="AA4" s="15"/>
      <c r="AB4" s="15"/>
      <c r="AC4" s="15"/>
      <c r="AD4" s="12" t="s">
        <v>112</v>
      </c>
      <c r="AE4" s="15"/>
      <c r="AF4" s="15"/>
      <c r="AG4" s="15"/>
      <c r="AH4" s="15"/>
      <c r="AI4" s="15"/>
      <c r="AJ4" s="10"/>
    </row>
    <row r="5" s="2" customFormat="1" ht="17.55" spans="1:36">
      <c r="A5" s="16" t="s">
        <v>190</v>
      </c>
      <c r="B5" s="17" t="s">
        <v>55</v>
      </c>
      <c r="C5" s="18" t="s">
        <v>47</v>
      </c>
      <c r="D5" s="19" t="s">
        <v>114</v>
      </c>
      <c r="E5" s="20" t="s">
        <v>40</v>
      </c>
      <c r="F5" s="19" t="s">
        <v>41</v>
      </c>
      <c r="G5" s="21" t="s">
        <v>42</v>
      </c>
      <c r="H5" s="22" t="s">
        <v>47</v>
      </c>
      <c r="I5" s="22" t="s">
        <v>114</v>
      </c>
      <c r="J5" s="23" t="s">
        <v>40</v>
      </c>
      <c r="K5" s="23" t="s">
        <v>41</v>
      </c>
      <c r="L5" s="24" t="s">
        <v>42</v>
      </c>
      <c r="M5" s="25" t="s">
        <v>47</v>
      </c>
      <c r="N5" s="23" t="s">
        <v>48</v>
      </c>
      <c r="O5" s="23" t="s">
        <v>49</v>
      </c>
      <c r="P5" s="26" t="s">
        <v>50</v>
      </c>
      <c r="Q5" s="25" t="s">
        <v>115</v>
      </c>
      <c r="R5" s="26" t="s">
        <v>116</v>
      </c>
      <c r="S5" s="22" t="s">
        <v>72</v>
      </c>
      <c r="T5" s="27" t="s">
        <v>73</v>
      </c>
      <c r="U5" s="19" t="s">
        <v>74</v>
      </c>
      <c r="V5" s="28" t="s">
        <v>75</v>
      </c>
      <c r="W5" s="25" t="s">
        <v>117</v>
      </c>
      <c r="X5" s="23" t="s">
        <v>118</v>
      </c>
      <c r="Y5" s="23" t="s">
        <v>119</v>
      </c>
      <c r="Z5" s="23" t="s">
        <v>110</v>
      </c>
      <c r="AA5" s="24" t="s">
        <v>120</v>
      </c>
      <c r="AB5" s="24" t="s">
        <v>121</v>
      </c>
      <c r="AC5" s="24" t="s">
        <v>39</v>
      </c>
      <c r="AD5" s="25" t="s">
        <v>117</v>
      </c>
      <c r="AE5" s="23" t="s">
        <v>118</v>
      </c>
      <c r="AF5" s="23" t="s">
        <v>122</v>
      </c>
      <c r="AG5" s="23" t="s">
        <v>110</v>
      </c>
      <c r="AH5" s="24" t="s">
        <v>120</v>
      </c>
      <c r="AI5" s="24" t="s">
        <v>121</v>
      </c>
      <c r="AJ5" s="26" t="s">
        <v>39</v>
      </c>
    </row>
    <row r="6" spans="1:36">
      <c r="A6" s="29" t="s">
        <v>184</v>
      </c>
      <c r="B6" s="48">
        <v>46055</v>
      </c>
      <c r="C6" s="31">
        <v>1</v>
      </c>
      <c r="D6" s="32">
        <v>0</v>
      </c>
      <c r="E6" s="32">
        <v>0</v>
      </c>
      <c r="F6" s="32">
        <v>0</v>
      </c>
      <c r="G6" s="33">
        <v>0</v>
      </c>
      <c r="H6" s="34">
        <v>3</v>
      </c>
      <c r="I6" s="34">
        <v>3</v>
      </c>
      <c r="J6" s="32">
        <v>0</v>
      </c>
      <c r="K6" s="32">
        <v>3</v>
      </c>
      <c r="L6" s="35">
        <v>0</v>
      </c>
      <c r="M6" s="36">
        <v>1</v>
      </c>
      <c r="N6" s="37">
        <v>0</v>
      </c>
      <c r="O6" s="37">
        <v>0</v>
      </c>
      <c r="P6" s="38">
        <v>0</v>
      </c>
      <c r="Q6" s="39">
        <v>26.9</v>
      </c>
      <c r="R6" s="40">
        <v>0</v>
      </c>
      <c r="S6" s="41">
        <v>20</v>
      </c>
      <c r="T6" s="42">
        <v>596.72</v>
      </c>
      <c r="U6" s="31">
        <v>1197</v>
      </c>
      <c r="V6" s="33">
        <v>170</v>
      </c>
      <c r="W6" s="41">
        <v>1</v>
      </c>
      <c r="X6" s="37">
        <v>0</v>
      </c>
      <c r="Y6" s="37">
        <v>2</v>
      </c>
      <c r="Z6" s="37">
        <v>0</v>
      </c>
      <c r="AA6" s="43">
        <v>5</v>
      </c>
      <c r="AB6" s="43">
        <v>3</v>
      </c>
      <c r="AC6" s="43">
        <f>SUM(W6:AB6)</f>
        <v>11</v>
      </c>
      <c r="AD6" s="44">
        <v>3.5</v>
      </c>
      <c r="AE6" s="45">
        <v>0</v>
      </c>
      <c r="AF6" s="45">
        <v>8.5</v>
      </c>
      <c r="AG6" s="45">
        <v>0</v>
      </c>
      <c r="AH6" s="46">
        <v>25</v>
      </c>
      <c r="AI6" s="46">
        <v>8</v>
      </c>
      <c r="AJ6" s="47">
        <f>SUM(AD6:AI6)</f>
        <v>45</v>
      </c>
    </row>
    <row r="7" spans="1:36">
      <c r="A7" s="29"/>
      <c r="B7" s="48">
        <v>46056</v>
      </c>
      <c r="C7" s="49">
        <v>3</v>
      </c>
      <c r="D7" s="50">
        <v>3</v>
      </c>
      <c r="E7" s="50">
        <v>1</v>
      </c>
      <c r="F7" s="50">
        <v>2</v>
      </c>
      <c r="G7" s="51">
        <v>0</v>
      </c>
      <c r="H7" s="52">
        <v>2</v>
      </c>
      <c r="I7" s="50">
        <v>1</v>
      </c>
      <c r="J7" s="50">
        <v>1</v>
      </c>
      <c r="K7" s="50">
        <v>0</v>
      </c>
      <c r="L7" s="52">
        <v>0</v>
      </c>
      <c r="M7" s="49">
        <v>0</v>
      </c>
      <c r="N7" s="50">
        <v>0</v>
      </c>
      <c r="O7" s="50">
        <v>0</v>
      </c>
      <c r="P7" s="51">
        <v>0</v>
      </c>
      <c r="Q7" s="53">
        <v>15.2</v>
      </c>
      <c r="R7" s="54">
        <v>2.3</v>
      </c>
      <c r="S7" s="55">
        <v>19</v>
      </c>
      <c r="T7" s="56">
        <v>395.6</v>
      </c>
      <c r="U7" s="49">
        <v>1945</v>
      </c>
      <c r="V7" s="51">
        <v>195</v>
      </c>
      <c r="W7" s="55">
        <v>4</v>
      </c>
      <c r="X7" s="50">
        <v>0</v>
      </c>
      <c r="Y7" s="50">
        <v>1</v>
      </c>
      <c r="Z7" s="50">
        <v>1</v>
      </c>
      <c r="AA7" s="57">
        <v>4</v>
      </c>
      <c r="AB7" s="57">
        <v>4</v>
      </c>
      <c r="AC7" s="57">
        <f t="shared" ref="AC7:AC10" si="0">SUM(W7:AB7)</f>
        <v>14</v>
      </c>
      <c r="AD7" s="58">
        <v>20.5</v>
      </c>
      <c r="AE7" s="59">
        <v>0</v>
      </c>
      <c r="AF7" s="59">
        <v>4.5</v>
      </c>
      <c r="AG7" s="59">
        <v>4.5</v>
      </c>
      <c r="AH7" s="60">
        <v>11.5</v>
      </c>
      <c r="AI7" s="60">
        <v>11.5</v>
      </c>
      <c r="AJ7" s="54">
        <f t="shared" ref="AJ7:AJ10" si="1">SUM(AD7:AI7)</f>
        <v>52.5</v>
      </c>
    </row>
    <row r="8" spans="1:36">
      <c r="A8" s="29"/>
      <c r="B8" s="48">
        <v>46057</v>
      </c>
      <c r="C8" s="49">
        <v>2</v>
      </c>
      <c r="D8" s="50">
        <v>2</v>
      </c>
      <c r="E8" s="50">
        <v>1</v>
      </c>
      <c r="F8" s="50">
        <v>1</v>
      </c>
      <c r="G8" s="51">
        <v>0</v>
      </c>
      <c r="H8" s="52">
        <v>3</v>
      </c>
      <c r="I8" s="50">
        <v>3</v>
      </c>
      <c r="J8" s="50">
        <v>0</v>
      </c>
      <c r="K8" s="50">
        <v>3</v>
      </c>
      <c r="L8" s="52">
        <v>0</v>
      </c>
      <c r="M8" s="61">
        <v>1</v>
      </c>
      <c r="N8" s="50">
        <v>0</v>
      </c>
      <c r="O8" s="50">
        <v>0</v>
      </c>
      <c r="P8" s="51">
        <v>0</v>
      </c>
      <c r="Q8" s="53">
        <v>16.6</v>
      </c>
      <c r="R8" s="54">
        <v>0</v>
      </c>
      <c r="S8" s="55">
        <v>6</v>
      </c>
      <c r="T8" s="56">
        <v>175.84</v>
      </c>
      <c r="U8" s="49">
        <v>603</v>
      </c>
      <c r="V8" s="51">
        <v>30</v>
      </c>
      <c r="W8" s="55">
        <v>3</v>
      </c>
      <c r="X8" s="50">
        <v>0</v>
      </c>
      <c r="Y8" s="50">
        <v>0</v>
      </c>
      <c r="Z8" s="50">
        <v>2</v>
      </c>
      <c r="AA8" s="57">
        <v>2</v>
      </c>
      <c r="AB8" s="57">
        <v>3</v>
      </c>
      <c r="AC8" s="57">
        <f t="shared" si="0"/>
        <v>10</v>
      </c>
      <c r="AD8" s="58">
        <v>6.5</v>
      </c>
      <c r="AE8" s="59">
        <v>0</v>
      </c>
      <c r="AF8" s="59">
        <v>0</v>
      </c>
      <c r="AG8" s="59">
        <v>5.5</v>
      </c>
      <c r="AH8" s="60">
        <v>8.5</v>
      </c>
      <c r="AI8" s="60">
        <v>7</v>
      </c>
      <c r="AJ8" s="54">
        <f t="shared" si="1"/>
        <v>27.5</v>
      </c>
    </row>
    <row r="9" spans="1:36">
      <c r="A9" s="29"/>
      <c r="B9" s="48">
        <v>46058</v>
      </c>
      <c r="C9" s="49">
        <v>2</v>
      </c>
      <c r="D9" s="50">
        <v>1</v>
      </c>
      <c r="E9" s="50">
        <v>0</v>
      </c>
      <c r="F9" s="50">
        <v>1</v>
      </c>
      <c r="G9" s="51">
        <v>0</v>
      </c>
      <c r="H9" s="52">
        <v>2</v>
      </c>
      <c r="I9" s="50">
        <v>1</v>
      </c>
      <c r="J9" s="50">
        <v>0</v>
      </c>
      <c r="K9" s="50">
        <v>1</v>
      </c>
      <c r="L9" s="52">
        <v>0</v>
      </c>
      <c r="M9" s="61">
        <v>0</v>
      </c>
      <c r="N9" s="50">
        <v>1</v>
      </c>
      <c r="O9" s="50">
        <v>0</v>
      </c>
      <c r="P9" s="51">
        <v>0</v>
      </c>
      <c r="Q9" s="53">
        <v>33</v>
      </c>
      <c r="R9" s="54">
        <v>0</v>
      </c>
      <c r="S9" s="55">
        <v>20</v>
      </c>
      <c r="T9" s="56">
        <v>372.35</v>
      </c>
      <c r="U9" s="49">
        <v>1793</v>
      </c>
      <c r="V9" s="51">
        <v>237</v>
      </c>
      <c r="W9" s="128">
        <v>2</v>
      </c>
      <c r="X9" s="50">
        <v>0</v>
      </c>
      <c r="Y9" s="50">
        <v>1</v>
      </c>
      <c r="Z9" s="50">
        <v>1</v>
      </c>
      <c r="AA9" s="57">
        <v>5</v>
      </c>
      <c r="AB9" s="57">
        <v>4</v>
      </c>
      <c r="AC9" s="57">
        <f t="shared" si="0"/>
        <v>13</v>
      </c>
      <c r="AD9" s="58">
        <v>7</v>
      </c>
      <c r="AE9" s="59">
        <v>0</v>
      </c>
      <c r="AF9" s="59">
        <v>3.5</v>
      </c>
      <c r="AG9" s="59">
        <v>5</v>
      </c>
      <c r="AH9" s="60">
        <v>16.5</v>
      </c>
      <c r="AI9" s="60">
        <v>20</v>
      </c>
      <c r="AJ9" s="54">
        <f t="shared" si="1"/>
        <v>52</v>
      </c>
    </row>
    <row r="10" spans="1:36">
      <c r="A10" s="62"/>
      <c r="B10" s="48">
        <v>46059</v>
      </c>
      <c r="C10" s="49">
        <v>4</v>
      </c>
      <c r="D10" s="50">
        <v>3</v>
      </c>
      <c r="E10" s="50">
        <v>1</v>
      </c>
      <c r="F10" s="50">
        <v>2</v>
      </c>
      <c r="G10" s="51">
        <v>0</v>
      </c>
      <c r="H10" s="52">
        <v>1</v>
      </c>
      <c r="I10" s="50">
        <v>1</v>
      </c>
      <c r="J10" s="50">
        <v>0</v>
      </c>
      <c r="K10" s="50">
        <v>1</v>
      </c>
      <c r="L10" s="52">
        <v>0</v>
      </c>
      <c r="M10" s="61">
        <v>1</v>
      </c>
      <c r="N10" s="50">
        <v>0</v>
      </c>
      <c r="O10" s="50">
        <v>0</v>
      </c>
      <c r="P10" s="51">
        <v>0</v>
      </c>
      <c r="Q10" s="53">
        <v>55.2</v>
      </c>
      <c r="R10" s="54">
        <v>0</v>
      </c>
      <c r="S10" s="55">
        <v>14</v>
      </c>
      <c r="T10" s="56">
        <v>271.02</v>
      </c>
      <c r="U10" s="49">
        <v>944</v>
      </c>
      <c r="V10" s="51">
        <v>107</v>
      </c>
      <c r="W10" s="55">
        <v>2</v>
      </c>
      <c r="X10" s="50">
        <v>2</v>
      </c>
      <c r="Y10" s="50">
        <v>2</v>
      </c>
      <c r="Z10" s="50">
        <v>1</v>
      </c>
      <c r="AA10" s="57">
        <v>5</v>
      </c>
      <c r="AB10" s="57">
        <v>3</v>
      </c>
      <c r="AC10" s="57">
        <f t="shared" si="0"/>
        <v>15</v>
      </c>
      <c r="AD10" s="58">
        <v>5</v>
      </c>
      <c r="AE10" s="59">
        <v>10.5</v>
      </c>
      <c r="AF10" s="59">
        <v>10</v>
      </c>
      <c r="AG10" s="59">
        <v>3</v>
      </c>
      <c r="AH10" s="60">
        <v>16.5</v>
      </c>
      <c r="AI10" s="60">
        <v>6.5</v>
      </c>
      <c r="AJ10" s="54">
        <f t="shared" si="1"/>
        <v>51.5</v>
      </c>
    </row>
    <row r="11" s="3" customFormat="1" spans="1:36">
      <c r="A11" s="63" t="s">
        <v>126</v>
      </c>
      <c r="B11" s="64"/>
      <c r="C11" s="65">
        <f>SUM(C6:C10)</f>
        <v>12</v>
      </c>
      <c r="D11" s="66">
        <f>SUM(D6:D10)</f>
        <v>9</v>
      </c>
      <c r="E11" s="66">
        <f>SUM(E6:E10)</f>
        <v>3</v>
      </c>
      <c r="F11" s="66">
        <f>SUM(F6:F10)</f>
        <v>6</v>
      </c>
      <c r="G11" s="67">
        <f>SUM(G6:G10)</f>
        <v>0</v>
      </c>
      <c r="H11" s="68">
        <f t="shared" ref="H11:V11" si="2">SUM(H6:H10)</f>
        <v>11</v>
      </c>
      <c r="I11" s="66">
        <f t="shared" si="2"/>
        <v>9</v>
      </c>
      <c r="J11" s="66">
        <f t="shared" si="2"/>
        <v>1</v>
      </c>
      <c r="K11" s="66">
        <f t="shared" si="2"/>
        <v>8</v>
      </c>
      <c r="L11" s="68">
        <f t="shared" si="2"/>
        <v>0</v>
      </c>
      <c r="M11" s="69">
        <f t="shared" si="2"/>
        <v>3</v>
      </c>
      <c r="N11" s="66">
        <f t="shared" si="2"/>
        <v>1</v>
      </c>
      <c r="O11" s="66">
        <f t="shared" si="2"/>
        <v>0</v>
      </c>
      <c r="P11" s="67">
        <f t="shared" si="2"/>
        <v>0</v>
      </c>
      <c r="Q11" s="70">
        <f t="shared" si="2"/>
        <v>146.9</v>
      </c>
      <c r="R11" s="71">
        <f t="shared" si="2"/>
        <v>2.3</v>
      </c>
      <c r="S11" s="72">
        <f t="shared" si="2"/>
        <v>79</v>
      </c>
      <c r="T11" s="73">
        <f t="shared" si="2"/>
        <v>1811.53</v>
      </c>
      <c r="U11" s="65">
        <f t="shared" si="2"/>
        <v>6482</v>
      </c>
      <c r="V11" s="67">
        <f t="shared" si="2"/>
        <v>739</v>
      </c>
      <c r="W11" s="68">
        <f t="shared" ref="W11:AJ11" si="3">SUM(W6:W10)</f>
        <v>12</v>
      </c>
      <c r="X11" s="74">
        <f t="shared" si="3"/>
        <v>2</v>
      </c>
      <c r="Y11" s="74">
        <f t="shared" si="3"/>
        <v>6</v>
      </c>
      <c r="Z11" s="74">
        <f t="shared" si="3"/>
        <v>5</v>
      </c>
      <c r="AA11" s="74">
        <f t="shared" si="3"/>
        <v>21</v>
      </c>
      <c r="AB11" s="74">
        <f t="shared" si="3"/>
        <v>17</v>
      </c>
      <c r="AC11" s="74">
        <f t="shared" si="3"/>
        <v>63</v>
      </c>
      <c r="AD11" s="70">
        <f t="shared" si="3"/>
        <v>42.5</v>
      </c>
      <c r="AE11" s="75">
        <f t="shared" si="3"/>
        <v>10.5</v>
      </c>
      <c r="AF11" s="75">
        <f t="shared" si="3"/>
        <v>26.5</v>
      </c>
      <c r="AG11" s="75">
        <f t="shared" si="3"/>
        <v>18</v>
      </c>
      <c r="AH11" s="75">
        <f t="shared" si="3"/>
        <v>78</v>
      </c>
      <c r="AI11" s="75">
        <f t="shared" si="3"/>
        <v>53</v>
      </c>
      <c r="AJ11" s="71">
        <f t="shared" si="3"/>
        <v>228.5</v>
      </c>
    </row>
    <row r="12" spans="1:36">
      <c r="A12" s="29" t="s">
        <v>185</v>
      </c>
      <c r="B12" s="48">
        <v>46062</v>
      </c>
      <c r="C12" s="49">
        <v>4</v>
      </c>
      <c r="D12" s="50">
        <v>4</v>
      </c>
      <c r="E12" s="50">
        <v>0</v>
      </c>
      <c r="F12" s="50">
        <v>4</v>
      </c>
      <c r="G12" s="51">
        <v>0</v>
      </c>
      <c r="H12" s="52">
        <v>1</v>
      </c>
      <c r="I12" s="50">
        <v>1</v>
      </c>
      <c r="J12" s="50">
        <v>1</v>
      </c>
      <c r="K12" s="50">
        <v>0</v>
      </c>
      <c r="L12" s="52">
        <v>0</v>
      </c>
      <c r="M12" s="61">
        <v>0</v>
      </c>
      <c r="N12" s="50">
        <v>1</v>
      </c>
      <c r="O12" s="50">
        <v>0</v>
      </c>
      <c r="P12" s="51">
        <v>0</v>
      </c>
      <c r="Q12" s="53">
        <v>0</v>
      </c>
      <c r="R12" s="54">
        <v>15.9</v>
      </c>
      <c r="S12" s="55">
        <v>22</v>
      </c>
      <c r="T12" s="56">
        <v>437.38</v>
      </c>
      <c r="U12" s="49">
        <v>1799</v>
      </c>
      <c r="V12" s="51">
        <v>122</v>
      </c>
      <c r="W12" s="55">
        <v>2</v>
      </c>
      <c r="X12" s="50">
        <v>1</v>
      </c>
      <c r="Y12" s="50">
        <v>0</v>
      </c>
      <c r="Z12" s="50">
        <v>2</v>
      </c>
      <c r="AA12" s="57">
        <v>4</v>
      </c>
      <c r="AB12" s="57">
        <v>1</v>
      </c>
      <c r="AC12" s="57">
        <f>SUM(W12:AB12)</f>
        <v>10</v>
      </c>
      <c r="AD12" s="58">
        <v>8.5</v>
      </c>
      <c r="AE12" s="59">
        <v>3.5</v>
      </c>
      <c r="AF12" s="59">
        <v>0</v>
      </c>
      <c r="AG12" s="59">
        <v>7.5</v>
      </c>
      <c r="AH12" s="60">
        <v>12</v>
      </c>
      <c r="AI12" s="60">
        <v>4.5</v>
      </c>
      <c r="AJ12" s="54">
        <f>SUM(AD12:AI12)</f>
        <v>36</v>
      </c>
    </row>
    <row r="13" spans="1:36">
      <c r="A13" s="29"/>
      <c r="B13" s="48">
        <v>46063</v>
      </c>
      <c r="C13" s="49">
        <v>2</v>
      </c>
      <c r="D13" s="50">
        <v>1</v>
      </c>
      <c r="E13" s="50">
        <v>1</v>
      </c>
      <c r="F13" s="50">
        <v>0</v>
      </c>
      <c r="G13" s="51">
        <v>0</v>
      </c>
      <c r="H13" s="52">
        <v>3</v>
      </c>
      <c r="I13" s="50">
        <v>3</v>
      </c>
      <c r="J13" s="50">
        <v>0</v>
      </c>
      <c r="K13" s="50">
        <v>3</v>
      </c>
      <c r="L13" s="52">
        <v>0</v>
      </c>
      <c r="M13" s="61">
        <v>1</v>
      </c>
      <c r="N13" s="50">
        <v>0</v>
      </c>
      <c r="O13" s="50">
        <v>1</v>
      </c>
      <c r="P13" s="51">
        <v>0</v>
      </c>
      <c r="Q13" s="53">
        <v>29.5</v>
      </c>
      <c r="R13" s="54">
        <v>0</v>
      </c>
      <c r="S13" s="55">
        <v>16</v>
      </c>
      <c r="T13" s="56">
        <v>299.31</v>
      </c>
      <c r="U13" s="49">
        <v>1000</v>
      </c>
      <c r="V13" s="51">
        <v>146</v>
      </c>
      <c r="W13" s="55">
        <v>4</v>
      </c>
      <c r="X13" s="50">
        <v>1</v>
      </c>
      <c r="Y13" s="50">
        <v>1</v>
      </c>
      <c r="Z13" s="50">
        <v>0</v>
      </c>
      <c r="AA13" s="57">
        <v>1</v>
      </c>
      <c r="AB13" s="57">
        <v>2</v>
      </c>
      <c r="AC13" s="57">
        <f t="shared" ref="AC13:AC16" si="4">SUM(W13:AB13)</f>
        <v>9</v>
      </c>
      <c r="AD13" s="58">
        <v>18.5</v>
      </c>
      <c r="AE13" s="59">
        <v>4.5</v>
      </c>
      <c r="AF13" s="59">
        <v>4</v>
      </c>
      <c r="AG13" s="59">
        <v>0</v>
      </c>
      <c r="AH13" s="60">
        <v>4.5</v>
      </c>
      <c r="AI13" s="60">
        <v>5.5</v>
      </c>
      <c r="AJ13" s="54">
        <f t="shared" ref="AJ13:AJ16" si="5">SUM(AD13:AI13)</f>
        <v>37</v>
      </c>
    </row>
    <row r="14" spans="1:36">
      <c r="A14" s="29"/>
      <c r="B14" s="48">
        <v>46064</v>
      </c>
      <c r="C14" s="49">
        <v>4</v>
      </c>
      <c r="D14" s="50">
        <v>3</v>
      </c>
      <c r="E14" s="50">
        <v>1</v>
      </c>
      <c r="F14" s="50">
        <v>2</v>
      </c>
      <c r="G14" s="51">
        <v>0</v>
      </c>
      <c r="H14" s="52">
        <v>1</v>
      </c>
      <c r="I14" s="50">
        <v>1</v>
      </c>
      <c r="J14" s="50">
        <v>0</v>
      </c>
      <c r="K14" s="50">
        <v>1</v>
      </c>
      <c r="L14" s="52">
        <v>0</v>
      </c>
      <c r="M14" s="61">
        <v>2</v>
      </c>
      <c r="N14" s="50">
        <v>1</v>
      </c>
      <c r="O14" s="50">
        <v>1</v>
      </c>
      <c r="P14" s="51">
        <v>0</v>
      </c>
      <c r="Q14" s="53">
        <v>56</v>
      </c>
      <c r="R14" s="54">
        <v>0</v>
      </c>
      <c r="S14" s="55">
        <v>19</v>
      </c>
      <c r="T14" s="56">
        <v>318.2</v>
      </c>
      <c r="U14" s="49">
        <v>1717</v>
      </c>
      <c r="V14" s="51">
        <v>96</v>
      </c>
      <c r="W14" s="55">
        <v>1</v>
      </c>
      <c r="X14" s="50">
        <v>1</v>
      </c>
      <c r="Y14" s="50">
        <v>1</v>
      </c>
      <c r="Z14" s="50">
        <v>1</v>
      </c>
      <c r="AA14" s="57">
        <v>4</v>
      </c>
      <c r="AB14" s="57">
        <v>4</v>
      </c>
      <c r="AC14" s="57">
        <f t="shared" si="4"/>
        <v>12</v>
      </c>
      <c r="AD14" s="58">
        <v>4</v>
      </c>
      <c r="AE14" s="59">
        <v>5.5</v>
      </c>
      <c r="AF14" s="59">
        <v>2.5</v>
      </c>
      <c r="AG14" s="59">
        <v>3</v>
      </c>
      <c r="AH14" s="60">
        <v>16.5</v>
      </c>
      <c r="AI14" s="60">
        <v>8.5</v>
      </c>
      <c r="AJ14" s="54">
        <f t="shared" si="5"/>
        <v>40</v>
      </c>
    </row>
    <row r="15" spans="1:36">
      <c r="A15" s="29"/>
      <c r="B15" s="48">
        <v>46065</v>
      </c>
      <c r="C15" s="49">
        <v>0</v>
      </c>
      <c r="D15" s="50">
        <v>0</v>
      </c>
      <c r="E15" s="50">
        <v>0</v>
      </c>
      <c r="F15" s="50">
        <v>0</v>
      </c>
      <c r="G15" s="51">
        <v>0</v>
      </c>
      <c r="H15" s="55">
        <v>3</v>
      </c>
      <c r="I15" s="55">
        <v>2</v>
      </c>
      <c r="J15" s="50">
        <v>1</v>
      </c>
      <c r="K15" s="50">
        <v>1</v>
      </c>
      <c r="L15" s="57">
        <v>0</v>
      </c>
      <c r="M15" s="49">
        <v>0</v>
      </c>
      <c r="N15" s="50">
        <v>0</v>
      </c>
      <c r="O15" s="50">
        <v>0</v>
      </c>
      <c r="P15" s="51">
        <v>0</v>
      </c>
      <c r="Q15" s="53">
        <v>58.4</v>
      </c>
      <c r="R15" s="54">
        <v>0</v>
      </c>
      <c r="S15" s="55">
        <v>4</v>
      </c>
      <c r="T15" s="56">
        <v>85.12</v>
      </c>
      <c r="U15" s="49">
        <v>711</v>
      </c>
      <c r="V15" s="51">
        <v>34</v>
      </c>
      <c r="W15" s="55">
        <v>1</v>
      </c>
      <c r="X15" s="50">
        <v>1</v>
      </c>
      <c r="Y15" s="50">
        <v>2</v>
      </c>
      <c r="Z15" s="50">
        <v>2</v>
      </c>
      <c r="AA15" s="57">
        <v>2</v>
      </c>
      <c r="AB15" s="57">
        <v>4</v>
      </c>
      <c r="AC15" s="57">
        <f t="shared" si="4"/>
        <v>12</v>
      </c>
      <c r="AD15" s="58">
        <v>4</v>
      </c>
      <c r="AE15" s="59">
        <v>3</v>
      </c>
      <c r="AF15" s="59">
        <v>7.5</v>
      </c>
      <c r="AG15" s="59">
        <v>10</v>
      </c>
      <c r="AH15" s="60">
        <v>9</v>
      </c>
      <c r="AI15" s="60">
        <v>18.5</v>
      </c>
      <c r="AJ15" s="54">
        <f t="shared" si="5"/>
        <v>52</v>
      </c>
    </row>
    <row r="16" spans="1:36">
      <c r="A16" s="29"/>
      <c r="B16" s="48">
        <v>46066</v>
      </c>
      <c r="C16" s="49">
        <v>2</v>
      </c>
      <c r="D16" s="50">
        <v>2</v>
      </c>
      <c r="E16" s="50">
        <v>1</v>
      </c>
      <c r="F16" s="50">
        <v>1</v>
      </c>
      <c r="G16" s="51">
        <v>0</v>
      </c>
      <c r="H16" s="55">
        <v>1</v>
      </c>
      <c r="I16" s="55">
        <v>0</v>
      </c>
      <c r="J16" s="50">
        <v>0</v>
      </c>
      <c r="K16" s="50">
        <v>0</v>
      </c>
      <c r="L16" s="57">
        <v>0</v>
      </c>
      <c r="M16" s="49">
        <v>0</v>
      </c>
      <c r="N16" s="50">
        <v>0</v>
      </c>
      <c r="O16" s="50">
        <v>0</v>
      </c>
      <c r="P16" s="51">
        <v>0</v>
      </c>
      <c r="Q16" s="77">
        <v>0</v>
      </c>
      <c r="R16" s="54">
        <v>0</v>
      </c>
      <c r="S16" s="78">
        <v>3</v>
      </c>
      <c r="T16" s="79">
        <v>73.16</v>
      </c>
      <c r="U16" s="80">
        <v>1359</v>
      </c>
      <c r="V16" s="81">
        <v>157</v>
      </c>
      <c r="W16" s="55">
        <v>3</v>
      </c>
      <c r="X16" s="50">
        <v>2</v>
      </c>
      <c r="Y16" s="50">
        <v>2</v>
      </c>
      <c r="Z16" s="50">
        <v>0</v>
      </c>
      <c r="AA16" s="57">
        <v>4</v>
      </c>
      <c r="AB16" s="57">
        <v>2</v>
      </c>
      <c r="AC16" s="57">
        <f t="shared" si="4"/>
        <v>13</v>
      </c>
      <c r="AD16" s="58">
        <v>9.5</v>
      </c>
      <c r="AE16" s="59">
        <v>10.5</v>
      </c>
      <c r="AF16" s="59">
        <v>6</v>
      </c>
      <c r="AG16" s="59">
        <v>0</v>
      </c>
      <c r="AH16" s="60">
        <v>20</v>
      </c>
      <c r="AI16" s="60">
        <v>8</v>
      </c>
      <c r="AJ16" s="54">
        <f t="shared" si="5"/>
        <v>54</v>
      </c>
    </row>
    <row r="17" spans="1:36">
      <c r="A17" s="63" t="s">
        <v>126</v>
      </c>
      <c r="B17" s="64"/>
      <c r="C17" s="65">
        <f>SUM(C12:C16)</f>
        <v>12</v>
      </c>
      <c r="D17" s="66">
        <f>SUM(D12:D16)</f>
        <v>10</v>
      </c>
      <c r="E17" s="66">
        <f>SUM(E12:E16)</f>
        <v>3</v>
      </c>
      <c r="F17" s="66">
        <f>SUM(F12:F16)</f>
        <v>7</v>
      </c>
      <c r="G17" s="67">
        <f>SUM(G12:G16)</f>
        <v>0</v>
      </c>
      <c r="H17" s="72">
        <f t="shared" ref="H17:V17" si="6">SUM(H12:H16)</f>
        <v>9</v>
      </c>
      <c r="I17" s="66">
        <f t="shared" si="6"/>
        <v>7</v>
      </c>
      <c r="J17" s="66">
        <f t="shared" si="6"/>
        <v>2</v>
      </c>
      <c r="K17" s="66">
        <f t="shared" si="6"/>
        <v>5</v>
      </c>
      <c r="L17" s="74">
        <f t="shared" si="6"/>
        <v>0</v>
      </c>
      <c r="M17" s="65">
        <f t="shared" si="6"/>
        <v>3</v>
      </c>
      <c r="N17" s="66">
        <f t="shared" si="6"/>
        <v>2</v>
      </c>
      <c r="O17" s="66">
        <f t="shared" si="6"/>
        <v>2</v>
      </c>
      <c r="P17" s="67">
        <f t="shared" si="6"/>
        <v>0</v>
      </c>
      <c r="Q17" s="70">
        <f t="shared" si="6"/>
        <v>143.9</v>
      </c>
      <c r="R17" s="71">
        <f t="shared" si="6"/>
        <v>15.9</v>
      </c>
      <c r="S17" s="72">
        <f t="shared" si="6"/>
        <v>64</v>
      </c>
      <c r="T17" s="73">
        <f t="shared" si="6"/>
        <v>1213.17</v>
      </c>
      <c r="U17" s="65">
        <f t="shared" si="6"/>
        <v>6586</v>
      </c>
      <c r="V17" s="67">
        <f t="shared" si="6"/>
        <v>555</v>
      </c>
      <c r="W17" s="68">
        <f t="shared" ref="W17:AJ17" si="7">SUM(W12:W16)</f>
        <v>11</v>
      </c>
      <c r="X17" s="74">
        <f t="shared" si="7"/>
        <v>6</v>
      </c>
      <c r="Y17" s="74">
        <f t="shared" si="7"/>
        <v>6</v>
      </c>
      <c r="Z17" s="74">
        <f t="shared" si="7"/>
        <v>5</v>
      </c>
      <c r="AA17" s="74">
        <f t="shared" si="7"/>
        <v>15</v>
      </c>
      <c r="AB17" s="74">
        <f t="shared" si="7"/>
        <v>13</v>
      </c>
      <c r="AC17" s="74">
        <f t="shared" si="7"/>
        <v>56</v>
      </c>
      <c r="AD17" s="70">
        <f t="shared" si="7"/>
        <v>44.5</v>
      </c>
      <c r="AE17" s="75">
        <f t="shared" si="7"/>
        <v>27</v>
      </c>
      <c r="AF17" s="75">
        <f t="shared" si="7"/>
        <v>20</v>
      </c>
      <c r="AG17" s="75">
        <f t="shared" si="7"/>
        <v>20.5</v>
      </c>
      <c r="AH17" s="75">
        <f t="shared" si="7"/>
        <v>62</v>
      </c>
      <c r="AI17" s="75">
        <f t="shared" si="7"/>
        <v>45</v>
      </c>
      <c r="AJ17" s="71">
        <f t="shared" si="7"/>
        <v>219</v>
      </c>
    </row>
    <row r="18" spans="1:36">
      <c r="A18" s="29" t="s">
        <v>186</v>
      </c>
      <c r="B18" s="48">
        <v>46069</v>
      </c>
      <c r="C18" s="49">
        <v>1</v>
      </c>
      <c r="D18" s="50">
        <v>0</v>
      </c>
      <c r="E18" s="50">
        <v>0</v>
      </c>
      <c r="F18" s="50">
        <v>0</v>
      </c>
      <c r="G18" s="51">
        <v>0</v>
      </c>
      <c r="H18" s="55">
        <v>3</v>
      </c>
      <c r="I18" s="55">
        <v>3</v>
      </c>
      <c r="J18" s="50">
        <v>1</v>
      </c>
      <c r="K18" s="50">
        <v>2</v>
      </c>
      <c r="L18" s="57">
        <v>0</v>
      </c>
      <c r="M18" s="49">
        <v>0</v>
      </c>
      <c r="N18" s="50">
        <v>0</v>
      </c>
      <c r="O18" s="50">
        <v>0</v>
      </c>
      <c r="P18" s="51">
        <v>0</v>
      </c>
      <c r="Q18" s="53">
        <v>0</v>
      </c>
      <c r="R18" s="54">
        <v>6.2</v>
      </c>
      <c r="S18" s="55">
        <v>10</v>
      </c>
      <c r="T18" s="56">
        <v>236.8</v>
      </c>
      <c r="U18" s="49">
        <v>1386</v>
      </c>
      <c r="V18" s="51">
        <v>75</v>
      </c>
      <c r="W18" s="55">
        <v>1</v>
      </c>
      <c r="X18" s="50">
        <v>0</v>
      </c>
      <c r="Y18" s="50">
        <v>1</v>
      </c>
      <c r="Z18" s="50">
        <v>2</v>
      </c>
      <c r="AA18" s="57">
        <v>4</v>
      </c>
      <c r="AB18" s="57">
        <v>4</v>
      </c>
      <c r="AC18" s="57">
        <f>SUM(W18:AB18)</f>
        <v>12</v>
      </c>
      <c r="AD18" s="58">
        <v>5</v>
      </c>
      <c r="AE18" s="59">
        <v>0</v>
      </c>
      <c r="AF18" s="59">
        <v>2</v>
      </c>
      <c r="AG18" s="59">
        <v>4.5</v>
      </c>
      <c r="AH18" s="60">
        <v>18.5</v>
      </c>
      <c r="AI18" s="60">
        <v>21</v>
      </c>
      <c r="AJ18" s="54">
        <f>SUM(AD18:AI18)</f>
        <v>51</v>
      </c>
    </row>
    <row r="19" spans="1:36">
      <c r="A19" s="29"/>
      <c r="B19" s="48">
        <v>46070</v>
      </c>
      <c r="C19" s="49">
        <v>0</v>
      </c>
      <c r="D19" s="50">
        <v>0</v>
      </c>
      <c r="E19" s="50">
        <v>0</v>
      </c>
      <c r="F19" s="50">
        <v>0</v>
      </c>
      <c r="G19" s="51">
        <v>0</v>
      </c>
      <c r="H19" s="55">
        <v>2</v>
      </c>
      <c r="I19" s="55">
        <v>2</v>
      </c>
      <c r="J19" s="50">
        <v>0</v>
      </c>
      <c r="K19" s="50">
        <v>2</v>
      </c>
      <c r="L19" s="57">
        <v>0</v>
      </c>
      <c r="M19" s="49">
        <v>0</v>
      </c>
      <c r="N19" s="50">
        <v>0</v>
      </c>
      <c r="O19" s="50">
        <v>1</v>
      </c>
      <c r="P19" s="51">
        <v>1</v>
      </c>
      <c r="Q19" s="53">
        <v>63.8</v>
      </c>
      <c r="R19" s="54">
        <v>0</v>
      </c>
      <c r="S19" s="55">
        <v>19</v>
      </c>
      <c r="T19" s="56">
        <v>545.29</v>
      </c>
      <c r="U19" s="49">
        <v>1626</v>
      </c>
      <c r="V19" s="51">
        <v>56</v>
      </c>
      <c r="W19" s="55">
        <v>2</v>
      </c>
      <c r="X19" s="50">
        <v>0</v>
      </c>
      <c r="Y19" s="50">
        <v>0</v>
      </c>
      <c r="Z19" s="50">
        <v>1</v>
      </c>
      <c r="AA19" s="57">
        <v>3</v>
      </c>
      <c r="AB19" s="57">
        <v>1</v>
      </c>
      <c r="AC19" s="57">
        <f t="shared" ref="AC19:AC22" si="8">SUM(W19:AB19)</f>
        <v>7</v>
      </c>
      <c r="AD19" s="58">
        <v>9</v>
      </c>
      <c r="AE19" s="59">
        <v>0</v>
      </c>
      <c r="AF19" s="59">
        <v>0</v>
      </c>
      <c r="AG19" s="59">
        <v>2</v>
      </c>
      <c r="AH19" s="60">
        <v>7</v>
      </c>
      <c r="AI19" s="60">
        <v>3.5</v>
      </c>
      <c r="AJ19" s="54">
        <f t="shared" ref="AJ19:AJ22" si="9">SUM(AD19:AI19)</f>
        <v>21.5</v>
      </c>
    </row>
    <row r="20" spans="1:36">
      <c r="A20" s="29"/>
      <c r="B20" s="48">
        <v>46071</v>
      </c>
      <c r="C20" s="49">
        <v>0</v>
      </c>
      <c r="D20" s="50">
        <v>0</v>
      </c>
      <c r="E20" s="50">
        <v>0</v>
      </c>
      <c r="F20" s="50">
        <v>0</v>
      </c>
      <c r="G20" s="51">
        <v>0</v>
      </c>
      <c r="H20" s="55">
        <v>0</v>
      </c>
      <c r="I20" s="55">
        <v>0</v>
      </c>
      <c r="J20" s="50">
        <v>0</v>
      </c>
      <c r="K20" s="50">
        <v>0</v>
      </c>
      <c r="L20" s="57">
        <v>0</v>
      </c>
      <c r="M20" s="49">
        <v>0</v>
      </c>
      <c r="N20" s="50">
        <v>1</v>
      </c>
      <c r="O20" s="50">
        <v>1</v>
      </c>
      <c r="P20" s="51">
        <v>0</v>
      </c>
      <c r="Q20" s="53">
        <v>44.6</v>
      </c>
      <c r="R20" s="54">
        <v>0</v>
      </c>
      <c r="S20" s="55">
        <v>20</v>
      </c>
      <c r="T20" s="56">
        <v>417.44</v>
      </c>
      <c r="U20" s="82">
        <v>1336</v>
      </c>
      <c r="V20" s="51">
        <v>128</v>
      </c>
      <c r="W20" s="55">
        <v>3</v>
      </c>
      <c r="X20" s="50">
        <v>0</v>
      </c>
      <c r="Y20" s="50">
        <v>0</v>
      </c>
      <c r="Z20" s="50">
        <v>1</v>
      </c>
      <c r="AA20" s="57">
        <v>5</v>
      </c>
      <c r="AB20" s="57">
        <v>4</v>
      </c>
      <c r="AC20" s="57">
        <f t="shared" si="8"/>
        <v>13</v>
      </c>
      <c r="AD20" s="58">
        <v>9</v>
      </c>
      <c r="AE20" s="59">
        <v>0</v>
      </c>
      <c r="AF20" s="59">
        <v>0</v>
      </c>
      <c r="AG20" s="59">
        <v>3</v>
      </c>
      <c r="AH20" s="60">
        <v>23</v>
      </c>
      <c r="AI20" s="60">
        <v>17.5</v>
      </c>
      <c r="AJ20" s="54">
        <f t="shared" si="9"/>
        <v>52.5</v>
      </c>
    </row>
    <row r="21" spans="1:36">
      <c r="A21" s="29"/>
      <c r="B21" s="48">
        <v>46072</v>
      </c>
      <c r="C21" s="49">
        <v>3</v>
      </c>
      <c r="D21" s="50">
        <v>3</v>
      </c>
      <c r="E21" s="50">
        <v>1</v>
      </c>
      <c r="F21" s="50">
        <v>2</v>
      </c>
      <c r="G21" s="51">
        <v>0</v>
      </c>
      <c r="H21" s="55">
        <v>0</v>
      </c>
      <c r="I21" s="55">
        <v>0</v>
      </c>
      <c r="J21" s="50">
        <v>0</v>
      </c>
      <c r="K21" s="50">
        <v>0</v>
      </c>
      <c r="L21" s="57">
        <v>0</v>
      </c>
      <c r="M21" s="49">
        <v>0</v>
      </c>
      <c r="N21" s="50">
        <v>1</v>
      </c>
      <c r="O21" s="50">
        <v>0</v>
      </c>
      <c r="P21" s="51">
        <v>0</v>
      </c>
      <c r="Q21" s="53">
        <v>0</v>
      </c>
      <c r="R21" s="54">
        <v>0</v>
      </c>
      <c r="S21" s="55">
        <v>9</v>
      </c>
      <c r="T21" s="56">
        <v>243.75</v>
      </c>
      <c r="U21" s="49">
        <v>2051</v>
      </c>
      <c r="V21" s="51">
        <v>210</v>
      </c>
      <c r="W21" s="55">
        <v>1</v>
      </c>
      <c r="X21" s="50">
        <v>1</v>
      </c>
      <c r="Y21" s="50">
        <v>2</v>
      </c>
      <c r="Z21" s="50">
        <v>2</v>
      </c>
      <c r="AA21" s="57">
        <v>3</v>
      </c>
      <c r="AB21" s="57">
        <v>2</v>
      </c>
      <c r="AC21" s="57">
        <f t="shared" si="8"/>
        <v>11</v>
      </c>
      <c r="AD21" s="58">
        <v>4.5</v>
      </c>
      <c r="AE21" s="59">
        <v>5.5</v>
      </c>
      <c r="AF21" s="59">
        <v>8.5</v>
      </c>
      <c r="AG21" s="59">
        <v>7</v>
      </c>
      <c r="AH21" s="60">
        <v>6.5</v>
      </c>
      <c r="AI21" s="60">
        <v>7.5</v>
      </c>
      <c r="AJ21" s="54">
        <f t="shared" si="9"/>
        <v>39.5</v>
      </c>
    </row>
    <row r="22" spans="1:36">
      <c r="A22" s="29"/>
      <c r="B22" s="48">
        <v>46073</v>
      </c>
      <c r="C22" s="49">
        <v>0</v>
      </c>
      <c r="D22" s="50">
        <v>0</v>
      </c>
      <c r="E22" s="50">
        <v>0</v>
      </c>
      <c r="F22" s="50">
        <v>0</v>
      </c>
      <c r="G22" s="51">
        <v>0</v>
      </c>
      <c r="H22" s="55">
        <v>1</v>
      </c>
      <c r="I22" s="55">
        <v>1</v>
      </c>
      <c r="J22" s="50">
        <v>1</v>
      </c>
      <c r="K22" s="50">
        <v>0</v>
      </c>
      <c r="L22" s="57">
        <v>0</v>
      </c>
      <c r="M22" s="49">
        <v>0</v>
      </c>
      <c r="N22" s="50">
        <v>0</v>
      </c>
      <c r="O22" s="50">
        <v>1</v>
      </c>
      <c r="P22" s="51">
        <v>0</v>
      </c>
      <c r="Q22" s="77">
        <v>17.8</v>
      </c>
      <c r="R22" s="54">
        <v>0</v>
      </c>
      <c r="S22" s="78">
        <v>3</v>
      </c>
      <c r="T22" s="79">
        <v>103.25</v>
      </c>
      <c r="U22" s="80">
        <v>525</v>
      </c>
      <c r="V22" s="81">
        <v>40</v>
      </c>
      <c r="W22" s="55">
        <v>2</v>
      </c>
      <c r="X22" s="50">
        <v>2</v>
      </c>
      <c r="Y22" s="50">
        <v>1</v>
      </c>
      <c r="Z22" s="50">
        <v>0</v>
      </c>
      <c r="AA22" s="57">
        <v>5</v>
      </c>
      <c r="AB22" s="57">
        <v>3</v>
      </c>
      <c r="AC22" s="57">
        <f t="shared" si="8"/>
        <v>13</v>
      </c>
      <c r="AD22" s="58">
        <v>4.5</v>
      </c>
      <c r="AE22" s="59">
        <v>8</v>
      </c>
      <c r="AF22" s="59">
        <v>4.5</v>
      </c>
      <c r="AG22" s="59">
        <v>0</v>
      </c>
      <c r="AH22" s="60">
        <v>18.5</v>
      </c>
      <c r="AI22" s="60">
        <v>15.5</v>
      </c>
      <c r="AJ22" s="54">
        <f t="shared" si="9"/>
        <v>51</v>
      </c>
    </row>
    <row r="23" spans="1:36">
      <c r="A23" s="63" t="s">
        <v>126</v>
      </c>
      <c r="B23" s="64"/>
      <c r="C23" s="65">
        <f>SUM(C18:C22)</f>
        <v>4</v>
      </c>
      <c r="D23" s="66">
        <f>SUM(D18:D22)</f>
        <v>3</v>
      </c>
      <c r="E23" s="66">
        <f>SUM(E18:E22)</f>
        <v>1</v>
      </c>
      <c r="F23" s="66">
        <f>SUM(F18:F22)</f>
        <v>2</v>
      </c>
      <c r="G23" s="67">
        <f>SUM(G18:G22)</f>
        <v>0</v>
      </c>
      <c r="H23" s="72">
        <f t="shared" ref="H23:V23" si="10">SUM(H18:H22)</f>
        <v>6</v>
      </c>
      <c r="I23" s="66">
        <f t="shared" si="10"/>
        <v>6</v>
      </c>
      <c r="J23" s="66">
        <f t="shared" si="10"/>
        <v>2</v>
      </c>
      <c r="K23" s="66">
        <f t="shared" si="10"/>
        <v>4</v>
      </c>
      <c r="L23" s="74">
        <f t="shared" si="10"/>
        <v>0</v>
      </c>
      <c r="M23" s="65">
        <f t="shared" si="10"/>
        <v>0</v>
      </c>
      <c r="N23" s="66">
        <f t="shared" si="10"/>
        <v>2</v>
      </c>
      <c r="O23" s="66">
        <f t="shared" si="10"/>
        <v>3</v>
      </c>
      <c r="P23" s="67">
        <f t="shared" si="10"/>
        <v>1</v>
      </c>
      <c r="Q23" s="70">
        <f t="shared" si="10"/>
        <v>126.2</v>
      </c>
      <c r="R23" s="71">
        <f t="shared" si="10"/>
        <v>6.2</v>
      </c>
      <c r="S23" s="72">
        <f t="shared" si="10"/>
        <v>61</v>
      </c>
      <c r="T23" s="73">
        <f t="shared" si="10"/>
        <v>1546.53</v>
      </c>
      <c r="U23" s="65">
        <f t="shared" si="10"/>
        <v>6924</v>
      </c>
      <c r="V23" s="67">
        <f t="shared" si="10"/>
        <v>509</v>
      </c>
      <c r="W23" s="68">
        <f t="shared" ref="W23:AJ23" si="11">SUM(W18:W22)</f>
        <v>9</v>
      </c>
      <c r="X23" s="74">
        <f t="shared" si="11"/>
        <v>3</v>
      </c>
      <c r="Y23" s="74">
        <f t="shared" si="11"/>
        <v>4</v>
      </c>
      <c r="Z23" s="74">
        <f t="shared" si="11"/>
        <v>6</v>
      </c>
      <c r="AA23" s="74">
        <f t="shared" si="11"/>
        <v>20</v>
      </c>
      <c r="AB23" s="74">
        <f t="shared" si="11"/>
        <v>14</v>
      </c>
      <c r="AC23" s="74">
        <f t="shared" si="11"/>
        <v>56</v>
      </c>
      <c r="AD23" s="70">
        <f t="shared" si="11"/>
        <v>32</v>
      </c>
      <c r="AE23" s="75">
        <f t="shared" si="11"/>
        <v>13.5</v>
      </c>
      <c r="AF23" s="75">
        <f t="shared" si="11"/>
        <v>15</v>
      </c>
      <c r="AG23" s="75">
        <f t="shared" si="11"/>
        <v>16.5</v>
      </c>
      <c r="AH23" s="75">
        <f t="shared" si="11"/>
        <v>73.5</v>
      </c>
      <c r="AI23" s="75">
        <f t="shared" si="11"/>
        <v>65</v>
      </c>
      <c r="AJ23" s="71">
        <f t="shared" si="11"/>
        <v>215.5</v>
      </c>
    </row>
    <row r="24" spans="1:36">
      <c r="A24" s="29" t="s">
        <v>187</v>
      </c>
      <c r="B24" s="48">
        <v>46076</v>
      </c>
      <c r="C24" s="49">
        <v>3</v>
      </c>
      <c r="D24" s="50">
        <v>3</v>
      </c>
      <c r="E24" s="50">
        <v>0</v>
      </c>
      <c r="F24" s="50">
        <v>3</v>
      </c>
      <c r="G24" s="51">
        <v>0</v>
      </c>
      <c r="H24" s="55">
        <v>1</v>
      </c>
      <c r="I24" s="55">
        <v>1</v>
      </c>
      <c r="J24" s="50">
        <v>0</v>
      </c>
      <c r="K24" s="50">
        <v>1</v>
      </c>
      <c r="L24" s="57">
        <v>0</v>
      </c>
      <c r="M24" s="49">
        <v>1</v>
      </c>
      <c r="N24" s="50">
        <v>0</v>
      </c>
      <c r="O24" s="50">
        <v>0</v>
      </c>
      <c r="P24" s="51">
        <v>0</v>
      </c>
      <c r="Q24" s="53">
        <v>62.7</v>
      </c>
      <c r="R24" s="54">
        <v>14.7</v>
      </c>
      <c r="S24" s="55">
        <v>10</v>
      </c>
      <c r="T24" s="56">
        <v>256.27</v>
      </c>
      <c r="U24" s="49">
        <v>259</v>
      </c>
      <c r="V24" s="51">
        <v>18</v>
      </c>
      <c r="W24" s="55">
        <v>2</v>
      </c>
      <c r="X24" s="50">
        <v>1</v>
      </c>
      <c r="Y24" s="50">
        <v>1</v>
      </c>
      <c r="Z24" s="50">
        <v>0</v>
      </c>
      <c r="AA24" s="57">
        <v>5</v>
      </c>
      <c r="AB24" s="57">
        <v>1</v>
      </c>
      <c r="AC24" s="57">
        <f>SUM(W24:AB24)</f>
        <v>10</v>
      </c>
      <c r="AD24" s="58">
        <v>9.5</v>
      </c>
      <c r="AE24" s="59">
        <v>2</v>
      </c>
      <c r="AF24" s="59">
        <v>4.5</v>
      </c>
      <c r="AG24" s="59">
        <v>0</v>
      </c>
      <c r="AH24" s="60">
        <v>14.5</v>
      </c>
      <c r="AI24" s="60">
        <v>2.5</v>
      </c>
      <c r="AJ24" s="54">
        <f>SUM(AD24:AI24)</f>
        <v>33</v>
      </c>
    </row>
    <row r="25" spans="1:36">
      <c r="A25" s="29"/>
      <c r="B25" s="48">
        <v>46077</v>
      </c>
      <c r="C25" s="49">
        <v>3</v>
      </c>
      <c r="D25" s="50">
        <v>3</v>
      </c>
      <c r="E25" s="50">
        <v>1</v>
      </c>
      <c r="F25" s="50">
        <v>2</v>
      </c>
      <c r="G25" s="51">
        <v>0</v>
      </c>
      <c r="H25" s="55">
        <v>1</v>
      </c>
      <c r="I25" s="55">
        <v>1</v>
      </c>
      <c r="J25" s="50">
        <v>1</v>
      </c>
      <c r="K25" s="50">
        <v>0</v>
      </c>
      <c r="L25" s="57">
        <v>0</v>
      </c>
      <c r="M25" s="49">
        <v>1</v>
      </c>
      <c r="N25" s="50">
        <v>0</v>
      </c>
      <c r="O25" s="50">
        <v>1</v>
      </c>
      <c r="P25" s="51">
        <v>1</v>
      </c>
      <c r="Q25" s="53">
        <v>13.7</v>
      </c>
      <c r="R25" s="54">
        <v>20.7</v>
      </c>
      <c r="S25" s="55">
        <v>3</v>
      </c>
      <c r="T25" s="56">
        <v>109.16</v>
      </c>
      <c r="U25" s="49">
        <v>514</v>
      </c>
      <c r="V25" s="51">
        <v>21</v>
      </c>
      <c r="W25" s="55">
        <v>4</v>
      </c>
      <c r="X25" s="50">
        <v>1</v>
      </c>
      <c r="Y25" s="50">
        <v>1</v>
      </c>
      <c r="Z25" s="50">
        <v>0</v>
      </c>
      <c r="AA25" s="57">
        <v>1</v>
      </c>
      <c r="AB25" s="57">
        <v>3</v>
      </c>
      <c r="AC25" s="57">
        <f t="shared" ref="AC25:AC28" si="12">SUM(W25:AB25)</f>
        <v>10</v>
      </c>
      <c r="AD25" s="58">
        <v>19.5</v>
      </c>
      <c r="AE25" s="59">
        <v>3.5</v>
      </c>
      <c r="AF25" s="59">
        <v>2.5</v>
      </c>
      <c r="AG25" s="59">
        <v>0</v>
      </c>
      <c r="AH25" s="60">
        <v>3</v>
      </c>
      <c r="AI25" s="60">
        <v>12.5</v>
      </c>
      <c r="AJ25" s="54">
        <f t="shared" ref="AJ25:AJ28" si="13">SUM(AD25:AI25)</f>
        <v>41</v>
      </c>
    </row>
    <row r="26" spans="1:36">
      <c r="A26" s="29"/>
      <c r="B26" s="48">
        <v>46078</v>
      </c>
      <c r="C26" s="49">
        <v>4</v>
      </c>
      <c r="D26" s="50">
        <v>4</v>
      </c>
      <c r="E26" s="50">
        <v>1</v>
      </c>
      <c r="F26" s="50">
        <v>3</v>
      </c>
      <c r="G26" s="51">
        <v>0</v>
      </c>
      <c r="H26" s="55">
        <v>1</v>
      </c>
      <c r="I26" s="55">
        <v>0</v>
      </c>
      <c r="J26" s="50">
        <v>0</v>
      </c>
      <c r="K26" s="50">
        <v>0</v>
      </c>
      <c r="L26" s="57">
        <v>0</v>
      </c>
      <c r="M26" s="49">
        <v>1</v>
      </c>
      <c r="N26" s="50">
        <v>0</v>
      </c>
      <c r="O26" s="50">
        <v>0</v>
      </c>
      <c r="P26" s="51">
        <v>0</v>
      </c>
      <c r="Q26" s="53">
        <v>54.5</v>
      </c>
      <c r="R26" s="54">
        <v>0</v>
      </c>
      <c r="S26" s="55">
        <v>10</v>
      </c>
      <c r="T26" s="56">
        <v>283.15</v>
      </c>
      <c r="U26" s="49">
        <v>2047</v>
      </c>
      <c r="V26" s="51">
        <v>202</v>
      </c>
      <c r="W26" s="55">
        <v>1</v>
      </c>
      <c r="X26" s="50">
        <v>0</v>
      </c>
      <c r="Y26" s="50">
        <v>1</v>
      </c>
      <c r="Z26" s="50">
        <v>0</v>
      </c>
      <c r="AA26" s="57">
        <v>2</v>
      </c>
      <c r="AB26" s="57">
        <v>1</v>
      </c>
      <c r="AC26" s="57">
        <f t="shared" si="12"/>
        <v>5</v>
      </c>
      <c r="AD26" s="58">
        <v>3</v>
      </c>
      <c r="AE26" s="59">
        <v>0</v>
      </c>
      <c r="AF26" s="59">
        <v>4</v>
      </c>
      <c r="AG26" s="59">
        <v>0</v>
      </c>
      <c r="AH26" s="60">
        <v>5</v>
      </c>
      <c r="AI26" s="60">
        <v>4.5</v>
      </c>
      <c r="AJ26" s="54">
        <f t="shared" si="13"/>
        <v>16.5</v>
      </c>
    </row>
    <row r="27" spans="1:36">
      <c r="A27" s="29"/>
      <c r="B27" s="48">
        <v>46079</v>
      </c>
      <c r="C27" s="49">
        <v>1</v>
      </c>
      <c r="D27" s="50">
        <v>0</v>
      </c>
      <c r="E27" s="50">
        <v>0</v>
      </c>
      <c r="F27" s="50">
        <v>0</v>
      </c>
      <c r="G27" s="51">
        <v>0</v>
      </c>
      <c r="H27" s="55">
        <v>1</v>
      </c>
      <c r="I27" s="55">
        <v>0</v>
      </c>
      <c r="J27" s="50">
        <v>0</v>
      </c>
      <c r="K27" s="50">
        <v>0</v>
      </c>
      <c r="L27" s="57">
        <v>0</v>
      </c>
      <c r="M27" s="49">
        <v>2</v>
      </c>
      <c r="N27" s="50">
        <v>1</v>
      </c>
      <c r="O27" s="50">
        <v>0</v>
      </c>
      <c r="P27" s="51">
        <v>1</v>
      </c>
      <c r="Q27" s="53">
        <v>47.5</v>
      </c>
      <c r="R27" s="54">
        <v>0</v>
      </c>
      <c r="S27" s="55">
        <v>12</v>
      </c>
      <c r="T27" s="56">
        <v>258.99</v>
      </c>
      <c r="U27" s="49">
        <v>685</v>
      </c>
      <c r="V27" s="51">
        <v>22</v>
      </c>
      <c r="W27" s="55">
        <v>1</v>
      </c>
      <c r="X27" s="50">
        <v>1</v>
      </c>
      <c r="Y27" s="50">
        <v>1</v>
      </c>
      <c r="Z27" s="50">
        <v>0</v>
      </c>
      <c r="AA27" s="57">
        <v>4</v>
      </c>
      <c r="AB27" s="57">
        <v>4</v>
      </c>
      <c r="AC27" s="57">
        <f t="shared" si="12"/>
        <v>11</v>
      </c>
      <c r="AD27" s="58">
        <v>4</v>
      </c>
      <c r="AE27" s="59">
        <v>4.5</v>
      </c>
      <c r="AF27" s="59">
        <v>3.5</v>
      </c>
      <c r="AG27" s="59">
        <v>0</v>
      </c>
      <c r="AH27" s="60">
        <v>13.5</v>
      </c>
      <c r="AI27" s="60">
        <v>19</v>
      </c>
      <c r="AJ27" s="54">
        <f t="shared" si="13"/>
        <v>44.5</v>
      </c>
    </row>
    <row r="28" spans="1:36">
      <c r="A28" s="29"/>
      <c r="B28" s="48">
        <v>46080</v>
      </c>
      <c r="C28" s="49">
        <v>0</v>
      </c>
      <c r="D28" s="50">
        <v>0</v>
      </c>
      <c r="E28" s="50">
        <v>0</v>
      </c>
      <c r="F28" s="50">
        <v>0</v>
      </c>
      <c r="G28" s="51">
        <v>0</v>
      </c>
      <c r="H28" s="55">
        <v>0</v>
      </c>
      <c r="I28" s="55">
        <v>0</v>
      </c>
      <c r="J28" s="50">
        <v>0</v>
      </c>
      <c r="K28" s="50">
        <v>0</v>
      </c>
      <c r="L28" s="57">
        <v>0</v>
      </c>
      <c r="M28" s="49">
        <v>1</v>
      </c>
      <c r="N28" s="50">
        <v>0</v>
      </c>
      <c r="O28" s="50">
        <v>0</v>
      </c>
      <c r="P28" s="51">
        <v>0</v>
      </c>
      <c r="Q28" s="77">
        <v>40.5</v>
      </c>
      <c r="R28" s="54">
        <v>19</v>
      </c>
      <c r="S28" s="78">
        <v>11</v>
      </c>
      <c r="T28" s="79">
        <v>216.28</v>
      </c>
      <c r="U28" s="80">
        <v>433</v>
      </c>
      <c r="V28" s="81">
        <v>12</v>
      </c>
      <c r="W28" s="55">
        <v>2</v>
      </c>
      <c r="X28" s="50">
        <v>0</v>
      </c>
      <c r="Y28" s="50">
        <v>0</v>
      </c>
      <c r="Z28" s="50">
        <v>2</v>
      </c>
      <c r="AA28" s="57">
        <v>2</v>
      </c>
      <c r="AB28" s="57">
        <v>2</v>
      </c>
      <c r="AC28" s="57">
        <f t="shared" si="12"/>
        <v>8</v>
      </c>
      <c r="AD28" s="58">
        <v>5.5</v>
      </c>
      <c r="AE28" s="59">
        <v>0</v>
      </c>
      <c r="AF28" s="59">
        <v>0</v>
      </c>
      <c r="AG28" s="59">
        <v>6.5</v>
      </c>
      <c r="AH28" s="60">
        <v>11</v>
      </c>
      <c r="AI28" s="60">
        <v>4.5</v>
      </c>
      <c r="AJ28" s="54">
        <f t="shared" si="13"/>
        <v>27.5</v>
      </c>
    </row>
    <row r="29" spans="1:36">
      <c r="A29" s="63" t="s">
        <v>126</v>
      </c>
      <c r="B29" s="64"/>
      <c r="C29" s="65">
        <f>SUM(C24:C28)</f>
        <v>11</v>
      </c>
      <c r="D29" s="66">
        <f>SUM(D24:D28)</f>
        <v>10</v>
      </c>
      <c r="E29" s="66">
        <f>SUM(E24:E28)</f>
        <v>2</v>
      </c>
      <c r="F29" s="66">
        <f>SUM(F24:F28)</f>
        <v>8</v>
      </c>
      <c r="G29" s="67">
        <f>SUM(G24:G28)</f>
        <v>0</v>
      </c>
      <c r="H29" s="72">
        <f t="shared" ref="H29:V29" si="14">SUM(H24:H28)</f>
        <v>4</v>
      </c>
      <c r="I29" s="66">
        <f t="shared" si="14"/>
        <v>2</v>
      </c>
      <c r="J29" s="66">
        <f t="shared" si="14"/>
        <v>1</v>
      </c>
      <c r="K29" s="66">
        <f t="shared" si="14"/>
        <v>1</v>
      </c>
      <c r="L29" s="74">
        <f t="shared" si="14"/>
        <v>0</v>
      </c>
      <c r="M29" s="65">
        <f t="shared" si="14"/>
        <v>6</v>
      </c>
      <c r="N29" s="66">
        <f t="shared" si="14"/>
        <v>1</v>
      </c>
      <c r="O29" s="66">
        <f t="shared" si="14"/>
        <v>1</v>
      </c>
      <c r="P29" s="67">
        <f t="shared" si="14"/>
        <v>2</v>
      </c>
      <c r="Q29" s="70">
        <f t="shared" si="14"/>
        <v>218.9</v>
      </c>
      <c r="R29" s="71">
        <f t="shared" si="14"/>
        <v>54.4</v>
      </c>
      <c r="S29" s="72">
        <f t="shared" si="14"/>
        <v>46</v>
      </c>
      <c r="T29" s="73">
        <f t="shared" si="14"/>
        <v>1123.85</v>
      </c>
      <c r="U29" s="65">
        <f t="shared" si="14"/>
        <v>3938</v>
      </c>
      <c r="V29" s="67">
        <f t="shared" si="14"/>
        <v>275</v>
      </c>
      <c r="W29" s="68">
        <f t="shared" ref="W29:AJ29" si="15">SUM(W24:W28)</f>
        <v>10</v>
      </c>
      <c r="X29" s="74">
        <f t="shared" si="15"/>
        <v>3</v>
      </c>
      <c r="Y29" s="74">
        <f t="shared" si="15"/>
        <v>4</v>
      </c>
      <c r="Z29" s="74">
        <f t="shared" si="15"/>
        <v>2</v>
      </c>
      <c r="AA29" s="74">
        <f t="shared" si="15"/>
        <v>14</v>
      </c>
      <c r="AB29" s="74">
        <f t="shared" si="15"/>
        <v>11</v>
      </c>
      <c r="AC29" s="74">
        <f t="shared" si="15"/>
        <v>44</v>
      </c>
      <c r="AD29" s="70">
        <f t="shared" si="15"/>
        <v>41.5</v>
      </c>
      <c r="AE29" s="75">
        <f t="shared" si="15"/>
        <v>10</v>
      </c>
      <c r="AF29" s="75">
        <f t="shared" si="15"/>
        <v>14.5</v>
      </c>
      <c r="AG29" s="75">
        <f t="shared" si="15"/>
        <v>6.5</v>
      </c>
      <c r="AH29" s="75">
        <f t="shared" si="15"/>
        <v>47</v>
      </c>
      <c r="AI29" s="75">
        <f t="shared" si="15"/>
        <v>43</v>
      </c>
      <c r="AJ29" s="71">
        <f t="shared" si="15"/>
        <v>162.5</v>
      </c>
    </row>
    <row r="30" spans="1:36">
      <c r="A30" s="29" t="s">
        <v>188</v>
      </c>
      <c r="B30" s="48"/>
      <c r="C30" s="49"/>
      <c r="D30" s="50"/>
      <c r="E30" s="50"/>
      <c r="F30" s="50"/>
      <c r="G30" s="51"/>
      <c r="H30" s="55"/>
      <c r="I30" s="55"/>
      <c r="J30" s="50"/>
      <c r="K30" s="50"/>
      <c r="L30" s="57"/>
      <c r="M30" s="49"/>
      <c r="N30" s="50"/>
      <c r="O30" s="50"/>
      <c r="P30" s="51"/>
      <c r="Q30" s="53"/>
      <c r="R30" s="54"/>
      <c r="S30" s="55"/>
      <c r="T30" s="56"/>
      <c r="U30" s="49"/>
      <c r="V30" s="51"/>
      <c r="W30" s="55"/>
      <c r="X30" s="50"/>
      <c r="Y30" s="50"/>
      <c r="Z30" s="50"/>
      <c r="AA30" s="57"/>
      <c r="AB30" s="57"/>
      <c r="AC30" s="57">
        <f>SUM(W30:AB30)</f>
        <v>0</v>
      </c>
      <c r="AD30" s="58"/>
      <c r="AE30" s="59"/>
      <c r="AF30" s="59"/>
      <c r="AG30" s="59"/>
      <c r="AH30" s="60"/>
      <c r="AI30" s="60"/>
      <c r="AJ30" s="54">
        <f>SUM(AD30:AI30)</f>
        <v>0</v>
      </c>
    </row>
    <row r="31" spans="1:36">
      <c r="A31" s="29"/>
      <c r="B31" s="61"/>
      <c r="C31" s="49"/>
      <c r="D31" s="50"/>
      <c r="E31" s="50"/>
      <c r="F31" s="50"/>
      <c r="G31" s="51"/>
      <c r="H31" s="55"/>
      <c r="I31" s="55"/>
      <c r="J31" s="50"/>
      <c r="K31" s="50"/>
      <c r="L31" s="57"/>
      <c r="M31" s="49"/>
      <c r="N31" s="50"/>
      <c r="O31" s="50"/>
      <c r="P31" s="51"/>
      <c r="Q31" s="53"/>
      <c r="R31" s="54"/>
      <c r="S31" s="55"/>
      <c r="T31" s="56"/>
      <c r="U31" s="49"/>
      <c r="V31" s="51"/>
      <c r="W31" s="55"/>
      <c r="X31" s="50"/>
      <c r="Y31" s="50"/>
      <c r="Z31" s="50"/>
      <c r="AA31" s="57"/>
      <c r="AB31" s="57"/>
      <c r="AC31" s="57">
        <f t="shared" ref="AC31:AC34" si="16">SUM(W31:AB31)</f>
        <v>0</v>
      </c>
      <c r="AD31" s="58"/>
      <c r="AE31" s="59"/>
      <c r="AF31" s="59"/>
      <c r="AG31" s="59"/>
      <c r="AH31" s="60"/>
      <c r="AI31" s="60"/>
      <c r="AJ31" s="54">
        <f t="shared" ref="AJ31:AJ34" si="17">SUM(AD31:AI31)</f>
        <v>0</v>
      </c>
    </row>
    <row r="32" spans="1:36">
      <c r="A32" s="29"/>
      <c r="B32" s="61"/>
      <c r="C32" s="49"/>
      <c r="D32" s="50"/>
      <c r="E32" s="50"/>
      <c r="F32" s="50"/>
      <c r="G32" s="51"/>
      <c r="H32" s="55"/>
      <c r="I32" s="55"/>
      <c r="J32" s="50"/>
      <c r="K32" s="50"/>
      <c r="L32" s="57"/>
      <c r="M32" s="49"/>
      <c r="N32" s="50"/>
      <c r="O32" s="50"/>
      <c r="P32" s="51"/>
      <c r="Q32" s="53"/>
      <c r="R32" s="54"/>
      <c r="S32" s="55"/>
      <c r="T32" s="56"/>
      <c r="U32" s="49"/>
      <c r="V32" s="51"/>
      <c r="W32" s="55"/>
      <c r="X32" s="50"/>
      <c r="Y32" s="50"/>
      <c r="Z32" s="50"/>
      <c r="AA32" s="57"/>
      <c r="AB32" s="57"/>
      <c r="AC32" s="57">
        <f t="shared" si="16"/>
        <v>0</v>
      </c>
      <c r="AD32" s="58"/>
      <c r="AE32" s="59"/>
      <c r="AF32" s="59"/>
      <c r="AG32" s="59"/>
      <c r="AH32" s="60"/>
      <c r="AI32" s="60"/>
      <c r="AJ32" s="54">
        <f t="shared" si="17"/>
        <v>0</v>
      </c>
    </row>
    <row r="33" spans="1:36">
      <c r="A33" s="29"/>
      <c r="B33" s="61"/>
      <c r="C33" s="49"/>
      <c r="D33" s="50"/>
      <c r="E33" s="50"/>
      <c r="F33" s="50"/>
      <c r="G33" s="51"/>
      <c r="H33" s="55"/>
      <c r="I33" s="55"/>
      <c r="J33" s="50"/>
      <c r="K33" s="50"/>
      <c r="L33" s="57"/>
      <c r="M33" s="49"/>
      <c r="N33" s="50"/>
      <c r="O33" s="50"/>
      <c r="P33" s="51"/>
      <c r="Q33" s="53"/>
      <c r="R33" s="54"/>
      <c r="S33" s="55"/>
      <c r="T33" s="56"/>
      <c r="U33" s="49"/>
      <c r="V33" s="51"/>
      <c r="W33" s="55"/>
      <c r="X33" s="50"/>
      <c r="Y33" s="50"/>
      <c r="Z33" s="50"/>
      <c r="AA33" s="57"/>
      <c r="AB33" s="57"/>
      <c r="AC33" s="57">
        <f t="shared" si="16"/>
        <v>0</v>
      </c>
      <c r="AD33" s="58"/>
      <c r="AE33" s="59"/>
      <c r="AF33" s="59"/>
      <c r="AG33" s="59"/>
      <c r="AH33" s="60"/>
      <c r="AI33" s="60"/>
      <c r="AJ33" s="54">
        <f t="shared" si="17"/>
        <v>0</v>
      </c>
    </row>
    <row r="34" spans="1:36">
      <c r="A34" s="29"/>
      <c r="B34" s="61"/>
      <c r="C34" s="49"/>
      <c r="D34" s="50"/>
      <c r="E34" s="50"/>
      <c r="F34" s="50"/>
      <c r="G34" s="51"/>
      <c r="H34" s="55"/>
      <c r="I34" s="55"/>
      <c r="J34" s="50"/>
      <c r="K34" s="50"/>
      <c r="L34" s="57"/>
      <c r="M34" s="49"/>
      <c r="N34" s="50"/>
      <c r="O34" s="50"/>
      <c r="P34" s="51"/>
      <c r="Q34" s="77"/>
      <c r="R34" s="54"/>
      <c r="S34" s="78"/>
      <c r="T34" s="79"/>
      <c r="U34" s="80"/>
      <c r="V34" s="81"/>
      <c r="W34" s="55"/>
      <c r="X34" s="50"/>
      <c r="Y34" s="50"/>
      <c r="Z34" s="50"/>
      <c r="AA34" s="57"/>
      <c r="AB34" s="57"/>
      <c r="AC34" s="57">
        <f t="shared" si="16"/>
        <v>0</v>
      </c>
      <c r="AD34" s="58"/>
      <c r="AE34" s="59"/>
      <c r="AF34" s="59"/>
      <c r="AG34" s="59"/>
      <c r="AH34" s="60"/>
      <c r="AI34" s="60"/>
      <c r="AJ34" s="54">
        <f t="shared" si="17"/>
        <v>0</v>
      </c>
    </row>
    <row r="35" ht="17.55" spans="1:36">
      <c r="A35" s="83" t="s">
        <v>126</v>
      </c>
      <c r="B35" s="84"/>
      <c r="C35" s="85">
        <v>0</v>
      </c>
      <c r="D35" s="86">
        <v>0</v>
      </c>
      <c r="E35" s="86">
        <v>0</v>
      </c>
      <c r="F35" s="86">
        <v>0</v>
      </c>
      <c r="G35" s="87">
        <v>0</v>
      </c>
      <c r="H35" s="88">
        <f t="shared" ref="H35:V35" si="18">SUM(H30:H34)</f>
        <v>0</v>
      </c>
      <c r="I35" s="86">
        <f t="shared" si="18"/>
        <v>0</v>
      </c>
      <c r="J35" s="86">
        <f t="shared" si="18"/>
        <v>0</v>
      </c>
      <c r="K35" s="86">
        <f t="shared" si="18"/>
        <v>0</v>
      </c>
      <c r="L35" s="89">
        <f t="shared" si="18"/>
        <v>0</v>
      </c>
      <c r="M35" s="90">
        <f t="shared" si="18"/>
        <v>0</v>
      </c>
      <c r="N35" s="91">
        <f t="shared" si="18"/>
        <v>0</v>
      </c>
      <c r="O35" s="91">
        <f t="shared" si="18"/>
        <v>0</v>
      </c>
      <c r="P35" s="92">
        <f t="shared" si="18"/>
        <v>0</v>
      </c>
      <c r="Q35" s="93">
        <f t="shared" si="18"/>
        <v>0</v>
      </c>
      <c r="R35" s="94">
        <f t="shared" si="18"/>
        <v>0</v>
      </c>
      <c r="S35" s="95">
        <f t="shared" si="18"/>
        <v>0</v>
      </c>
      <c r="T35" s="96">
        <f t="shared" si="18"/>
        <v>0</v>
      </c>
      <c r="U35" s="85">
        <f t="shared" si="18"/>
        <v>0</v>
      </c>
      <c r="V35" s="87">
        <f t="shared" si="18"/>
        <v>0</v>
      </c>
      <c r="W35" s="97">
        <f t="shared" ref="W35:AJ35" si="19">SUM(W30:W34)</f>
        <v>0</v>
      </c>
      <c r="X35" s="98">
        <f t="shared" si="19"/>
        <v>0</v>
      </c>
      <c r="Y35" s="98">
        <f t="shared" si="19"/>
        <v>0</v>
      </c>
      <c r="Z35" s="98">
        <f t="shared" si="19"/>
        <v>0</v>
      </c>
      <c r="AA35" s="98">
        <f t="shared" si="19"/>
        <v>0</v>
      </c>
      <c r="AB35" s="98">
        <f t="shared" si="19"/>
        <v>0</v>
      </c>
      <c r="AC35" s="98">
        <f t="shared" si="19"/>
        <v>0</v>
      </c>
      <c r="AD35" s="99">
        <f t="shared" si="19"/>
        <v>0</v>
      </c>
      <c r="AE35" s="100">
        <f t="shared" si="19"/>
        <v>0</v>
      </c>
      <c r="AF35" s="100">
        <f t="shared" si="19"/>
        <v>0</v>
      </c>
      <c r="AG35" s="100">
        <f t="shared" si="19"/>
        <v>0</v>
      </c>
      <c r="AH35" s="100">
        <f t="shared" si="19"/>
        <v>0</v>
      </c>
      <c r="AI35" s="100">
        <f t="shared" si="19"/>
        <v>0</v>
      </c>
      <c r="AJ35" s="101">
        <f t="shared" si="19"/>
        <v>0</v>
      </c>
    </row>
    <row r="36" s="4" customFormat="1" ht="37.2" customHeight="1" spans="1:36">
      <c r="A36" s="102" t="s">
        <v>191</v>
      </c>
      <c r="B36" s="103"/>
      <c r="C36" s="104">
        <f t="shared" ref="C36:S36" si="20">C11+C17+C23+C29+C35</f>
        <v>39</v>
      </c>
      <c r="D36" s="105">
        <f t="shared" si="20"/>
        <v>32</v>
      </c>
      <c r="E36" s="105">
        <f t="shared" si="20"/>
        <v>9</v>
      </c>
      <c r="F36" s="105">
        <f t="shared" si="20"/>
        <v>23</v>
      </c>
      <c r="G36" s="106">
        <f t="shared" si="20"/>
        <v>0</v>
      </c>
      <c r="H36" s="107">
        <f t="shared" si="20"/>
        <v>30</v>
      </c>
      <c r="I36" s="105">
        <f t="shared" si="20"/>
        <v>24</v>
      </c>
      <c r="J36" s="105">
        <f t="shared" si="20"/>
        <v>6</v>
      </c>
      <c r="K36" s="105">
        <f t="shared" si="20"/>
        <v>18</v>
      </c>
      <c r="L36" s="108">
        <f t="shared" si="20"/>
        <v>0</v>
      </c>
      <c r="M36" s="109">
        <f t="shared" si="20"/>
        <v>12</v>
      </c>
      <c r="N36" s="110">
        <f t="shared" si="20"/>
        <v>6</v>
      </c>
      <c r="O36" s="110">
        <f t="shared" si="20"/>
        <v>6</v>
      </c>
      <c r="P36" s="111">
        <f t="shared" si="20"/>
        <v>3</v>
      </c>
      <c r="Q36" s="112">
        <f t="shared" si="20"/>
        <v>635.9</v>
      </c>
      <c r="R36" s="113">
        <f t="shared" si="20"/>
        <v>78.8</v>
      </c>
      <c r="S36" s="114">
        <f t="shared" si="20"/>
        <v>250</v>
      </c>
      <c r="T36" s="115">
        <f t="shared" ref="T36:AJ36" si="21">T11+T17+T23+T29+T35</f>
        <v>5695.08</v>
      </c>
      <c r="U36" s="105">
        <f t="shared" si="21"/>
        <v>23930</v>
      </c>
      <c r="V36" s="105">
        <f t="shared" si="21"/>
        <v>2078</v>
      </c>
      <c r="W36" s="116">
        <f t="shared" si="21"/>
        <v>42</v>
      </c>
      <c r="X36" s="116">
        <f t="shared" si="21"/>
        <v>14</v>
      </c>
      <c r="Y36" s="116">
        <f t="shared" si="21"/>
        <v>20</v>
      </c>
      <c r="Z36" s="116">
        <f t="shared" si="21"/>
        <v>18</v>
      </c>
      <c r="AA36" s="116">
        <f t="shared" si="21"/>
        <v>70</v>
      </c>
      <c r="AB36" s="116">
        <f t="shared" si="21"/>
        <v>55</v>
      </c>
      <c r="AC36" s="116">
        <f t="shared" si="21"/>
        <v>219</v>
      </c>
      <c r="AD36" s="117">
        <f t="shared" si="21"/>
        <v>160.5</v>
      </c>
      <c r="AE36" s="118">
        <f t="shared" si="21"/>
        <v>61</v>
      </c>
      <c r="AF36" s="118">
        <f t="shared" si="21"/>
        <v>76</v>
      </c>
      <c r="AG36" s="118">
        <f t="shared" si="21"/>
        <v>61.5</v>
      </c>
      <c r="AH36" s="118">
        <f t="shared" si="21"/>
        <v>260.5</v>
      </c>
      <c r="AI36" s="118">
        <f t="shared" si="21"/>
        <v>206</v>
      </c>
      <c r="AJ36" s="113">
        <f t="shared" si="21"/>
        <v>825.5</v>
      </c>
    </row>
    <row r="39" spans="1:36">
      <c r="A39" s="2" t="s">
        <v>192</v>
      </c>
    </row>
    <row r="40" spans="1:36">
      <c r="A40" s="2" t="s">
        <v>193</v>
      </c>
    </row>
    <row r="42" spans="1:36">
      <c r="W42" s="2"/>
    </row>
    <row r="43" spans="1:36">
      <c r="W43" s="2"/>
    </row>
    <row r="44" spans="1:36">
      <c r="W44" s="2"/>
    </row>
    <row r="45" spans="1:36">
      <c r="W45" s="2"/>
    </row>
    <row r="46" spans="1:36">
      <c r="W46" s="2"/>
    </row>
    <row r="47" spans="1:36">
      <c r="W47" s="2"/>
    </row>
    <row r="48" spans="1:36">
      <c r="W48" s="2"/>
    </row>
    <row r="49" spans="23:23">
      <c r="W49" s="2"/>
    </row>
    <row r="50" spans="23:23">
      <c r="W50" s="2"/>
    </row>
    <row r="51" spans="23:23">
      <c r="W51" s="2"/>
    </row>
    <row r="52" spans="23:23">
      <c r="W52" s="2"/>
    </row>
    <row r="53" spans="23:23">
      <c r="W53" s="2"/>
    </row>
    <row r="54" spans="23:23">
      <c r="W54" s="2"/>
    </row>
    <row r="55" spans="23:23">
      <c r="W55" s="2"/>
    </row>
    <row r="56" spans="23:23">
      <c r="W56" s="2"/>
    </row>
    <row r="57" spans="23:23">
      <c r="W57" s="2"/>
    </row>
    <row r="58" spans="23:23">
      <c r="W58" s="2"/>
    </row>
    <row r="59" spans="23:23">
      <c r="W59" s="2"/>
    </row>
    <row r="60" spans="23:23">
      <c r="W60" s="2"/>
    </row>
    <row r="61" spans="23:23">
      <c r="W61" s="2"/>
    </row>
    <row r="62" spans="23:23">
      <c r="W62" s="2"/>
    </row>
    <row r="63" spans="23:23">
      <c r="W63" s="2"/>
    </row>
    <row r="64" spans="23:23">
      <c r="W64" s="2"/>
    </row>
    <row r="65" spans="23:23">
      <c r="W65" s="2"/>
    </row>
    <row r="66" spans="23:23">
      <c r="W66" s="2"/>
    </row>
    <row r="67" spans="23:23">
      <c r="W67" s="2"/>
    </row>
    <row r="68" spans="23:23">
      <c r="W68" s="2"/>
    </row>
    <row r="69" spans="23:23">
      <c r="W69" s="2"/>
    </row>
    <row r="70" spans="23:23">
      <c r="W70" s="2"/>
    </row>
    <row r="71" spans="23:23">
      <c r="W71" s="2"/>
    </row>
    <row r="72" spans="23:23">
      <c r="W72" s="2"/>
    </row>
    <row r="73" spans="23:23">
      <c r="W73" s="2"/>
    </row>
    <row r="74" spans="23:23">
      <c r="W74" s="2"/>
    </row>
    <row r="75" spans="23:23">
      <c r="W75" s="2"/>
    </row>
  </sheetData>
  <mergeCells count="20">
    <mergeCell ref="C4:G4"/>
    <mergeCell ref="H4:L4"/>
    <mergeCell ref="M4:P4"/>
    <mergeCell ref="Q4:R4"/>
    <mergeCell ref="S4:T4"/>
    <mergeCell ref="U4:V4"/>
    <mergeCell ref="W4:AC4"/>
    <mergeCell ref="AD4:AJ4"/>
    <mergeCell ref="A11:B11"/>
    <mergeCell ref="A17:B17"/>
    <mergeCell ref="A23:B23"/>
    <mergeCell ref="A29:B29"/>
    <mergeCell ref="A35:B35"/>
    <mergeCell ref="A36:B36"/>
    <mergeCell ref="A6:A10"/>
    <mergeCell ref="A12:A16"/>
    <mergeCell ref="A18:A22"/>
    <mergeCell ref="A24:A28"/>
    <mergeCell ref="A30:A34"/>
    <mergeCell ref="E1:X2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74"/>
  <sheetViews>
    <sheetView workbookViewId="0">
      <selection activeCell="A1" sqref="A1"/>
    </sheetView>
  </sheetViews>
  <sheetFormatPr defaultColWidth="13.6923076923077" defaultRowHeight="16.8"/>
  <cols>
    <col min="1" max="1" width="3.68269230769231" style="2" customWidth="1"/>
    <col min="2" max="22" width="13.6923076923077" style="2" customWidth="1"/>
    <col min="23" max="23" width="13.6923076923077" style="5" customWidth="1"/>
    <col min="24" max="16384" width="13.6923076923077" style="2" customWidth="1"/>
  </cols>
  <sheetData>
    <row r="1" spans="1:36">
      <c r="E1" s="6" t="s">
        <v>104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36"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17.55"/>
    <row r="4" s="1" customFormat="1" ht="17.55" spans="1:36">
      <c r="C4" s="8" t="s">
        <v>105</v>
      </c>
      <c r="D4" s="9"/>
      <c r="E4" s="9"/>
      <c r="F4" s="9"/>
      <c r="G4" s="10"/>
      <c r="H4" s="9" t="s">
        <v>106</v>
      </c>
      <c r="I4" s="9"/>
      <c r="J4" s="9"/>
      <c r="K4" s="9"/>
      <c r="L4" s="9"/>
      <c r="M4" s="8" t="s">
        <v>107</v>
      </c>
      <c r="N4" s="9"/>
      <c r="O4" s="9"/>
      <c r="P4" s="11"/>
      <c r="Q4" s="12" t="s">
        <v>124</v>
      </c>
      <c r="R4" s="10"/>
      <c r="S4" s="9" t="s">
        <v>109</v>
      </c>
      <c r="T4" s="11"/>
      <c r="U4" s="13" t="s">
        <v>110</v>
      </c>
      <c r="V4" s="14"/>
      <c r="W4" s="12" t="s">
        <v>111</v>
      </c>
      <c r="X4" s="15"/>
      <c r="Y4" s="15"/>
      <c r="Z4" s="15"/>
      <c r="AA4" s="15"/>
      <c r="AB4" s="15"/>
      <c r="AC4" s="15"/>
      <c r="AD4" s="12" t="s">
        <v>112</v>
      </c>
      <c r="AE4" s="15"/>
      <c r="AF4" s="15"/>
      <c r="AG4" s="15"/>
      <c r="AH4" s="15"/>
      <c r="AI4" s="15"/>
      <c r="AJ4" s="10"/>
    </row>
    <row r="5" s="2" customFormat="1" ht="17.55" spans="1:36">
      <c r="A5" s="16" t="s">
        <v>194</v>
      </c>
      <c r="B5" s="119" t="s">
        <v>55</v>
      </c>
      <c r="C5" s="18" t="s">
        <v>47</v>
      </c>
      <c r="D5" s="19" t="s">
        <v>114</v>
      </c>
      <c r="E5" s="20" t="s">
        <v>40</v>
      </c>
      <c r="F5" s="19" t="s">
        <v>41</v>
      </c>
      <c r="G5" s="21" t="s">
        <v>42</v>
      </c>
      <c r="H5" s="22" t="s">
        <v>47</v>
      </c>
      <c r="I5" s="22" t="s">
        <v>114</v>
      </c>
      <c r="J5" s="23" t="s">
        <v>40</v>
      </c>
      <c r="K5" s="23" t="s">
        <v>41</v>
      </c>
      <c r="L5" s="24" t="s">
        <v>42</v>
      </c>
      <c r="M5" s="25" t="s">
        <v>47</v>
      </c>
      <c r="N5" s="23" t="s">
        <v>48</v>
      </c>
      <c r="O5" s="23" t="s">
        <v>49</v>
      </c>
      <c r="P5" s="26" t="s">
        <v>50</v>
      </c>
      <c r="Q5" s="25" t="s">
        <v>115</v>
      </c>
      <c r="R5" s="26" t="s">
        <v>116</v>
      </c>
      <c r="S5" s="22" t="s">
        <v>72</v>
      </c>
      <c r="T5" s="27" t="s">
        <v>73</v>
      </c>
      <c r="U5" s="19" t="s">
        <v>74</v>
      </c>
      <c r="V5" s="28" t="s">
        <v>75</v>
      </c>
      <c r="W5" s="25" t="s">
        <v>117</v>
      </c>
      <c r="X5" s="23" t="s">
        <v>118</v>
      </c>
      <c r="Y5" s="23" t="s">
        <v>119</v>
      </c>
      <c r="Z5" s="23" t="s">
        <v>110</v>
      </c>
      <c r="AA5" s="24" t="s">
        <v>120</v>
      </c>
      <c r="AB5" s="24" t="s">
        <v>121</v>
      </c>
      <c r="AC5" s="24" t="s">
        <v>39</v>
      </c>
      <c r="AD5" s="25" t="s">
        <v>117</v>
      </c>
      <c r="AE5" s="23" t="s">
        <v>118</v>
      </c>
      <c r="AF5" s="23" t="s">
        <v>122</v>
      </c>
      <c r="AG5" s="23" t="s">
        <v>110</v>
      </c>
      <c r="AH5" s="24" t="s">
        <v>120</v>
      </c>
      <c r="AI5" s="24" t="s">
        <v>121</v>
      </c>
      <c r="AJ5" s="26" t="s">
        <v>39</v>
      </c>
    </row>
    <row r="6" spans="1:36">
      <c r="A6" s="29" t="s">
        <v>184</v>
      </c>
      <c r="B6" s="48">
        <v>46083</v>
      </c>
      <c r="C6" s="31">
        <v>4</v>
      </c>
      <c r="D6" s="32">
        <v>4</v>
      </c>
      <c r="E6" s="32">
        <v>1</v>
      </c>
      <c r="F6" s="32">
        <v>3</v>
      </c>
      <c r="G6" s="33">
        <v>0</v>
      </c>
      <c r="H6" s="34">
        <v>3</v>
      </c>
      <c r="I6" s="34">
        <v>3</v>
      </c>
      <c r="J6" s="32">
        <v>1</v>
      </c>
      <c r="K6" s="32">
        <v>1</v>
      </c>
      <c r="L6" s="35">
        <v>1</v>
      </c>
      <c r="M6" s="31">
        <v>2</v>
      </c>
      <c r="N6" s="32">
        <v>0</v>
      </c>
      <c r="O6" s="32">
        <v>1</v>
      </c>
      <c r="P6" s="33">
        <v>0</v>
      </c>
      <c r="Q6" s="39">
        <v>26.5</v>
      </c>
      <c r="R6" s="40">
        <v>0</v>
      </c>
      <c r="S6" s="41">
        <v>9</v>
      </c>
      <c r="T6" s="120">
        <v>251.28</v>
      </c>
      <c r="U6" s="34">
        <v>465</v>
      </c>
      <c r="V6" s="33">
        <v>57</v>
      </c>
      <c r="W6" s="41">
        <v>4</v>
      </c>
      <c r="X6" s="37">
        <v>1</v>
      </c>
      <c r="Y6" s="37">
        <v>2</v>
      </c>
      <c r="Z6" s="37">
        <v>2</v>
      </c>
      <c r="AA6" s="43">
        <v>4</v>
      </c>
      <c r="AB6" s="43">
        <v>3</v>
      </c>
      <c r="AC6" s="43">
        <f>SUM(W6:AB6)</f>
        <v>16</v>
      </c>
      <c r="AD6" s="44">
        <v>22</v>
      </c>
      <c r="AE6" s="45">
        <v>4</v>
      </c>
      <c r="AF6" s="45">
        <v>5</v>
      </c>
      <c r="AG6" s="45">
        <v>9</v>
      </c>
      <c r="AH6" s="46">
        <v>9.5</v>
      </c>
      <c r="AI6" s="46">
        <v>8.5</v>
      </c>
      <c r="AJ6" s="47">
        <f>SUM(AD6:AI6)</f>
        <v>58</v>
      </c>
    </row>
    <row r="7" spans="1:36">
      <c r="A7" s="29"/>
      <c r="B7" s="48">
        <v>46084</v>
      </c>
      <c r="C7" s="49">
        <v>4</v>
      </c>
      <c r="D7" s="50">
        <v>4</v>
      </c>
      <c r="E7" s="50">
        <v>0</v>
      </c>
      <c r="F7" s="50">
        <v>4</v>
      </c>
      <c r="G7" s="51">
        <v>0</v>
      </c>
      <c r="H7" s="52">
        <v>1</v>
      </c>
      <c r="I7" s="50">
        <v>1</v>
      </c>
      <c r="J7" s="50">
        <v>1</v>
      </c>
      <c r="K7" s="50">
        <v>0</v>
      </c>
      <c r="L7" s="52">
        <v>0</v>
      </c>
      <c r="M7" s="49">
        <v>0</v>
      </c>
      <c r="N7" s="50">
        <v>0</v>
      </c>
      <c r="O7" s="50">
        <v>0</v>
      </c>
      <c r="P7" s="51">
        <v>0</v>
      </c>
      <c r="Q7" s="53">
        <v>19.9</v>
      </c>
      <c r="R7" s="54">
        <v>16.8</v>
      </c>
      <c r="S7" s="41">
        <v>19</v>
      </c>
      <c r="T7" s="121">
        <v>512.57</v>
      </c>
      <c r="U7" s="55">
        <v>792</v>
      </c>
      <c r="V7" s="51">
        <v>70</v>
      </c>
      <c r="W7" s="55">
        <v>3</v>
      </c>
      <c r="X7" s="50">
        <v>0</v>
      </c>
      <c r="Y7" s="50">
        <v>1</v>
      </c>
      <c r="Z7" s="50">
        <v>0</v>
      </c>
      <c r="AA7" s="57">
        <v>2</v>
      </c>
      <c r="AB7" s="57">
        <v>3</v>
      </c>
      <c r="AC7" s="57">
        <f t="shared" ref="AC7:AC10" si="0">SUM(W7:AB7)</f>
        <v>9</v>
      </c>
      <c r="AD7" s="58">
        <v>13.5</v>
      </c>
      <c r="AE7" s="59">
        <v>0</v>
      </c>
      <c r="AF7" s="59">
        <v>3</v>
      </c>
      <c r="AG7" s="59">
        <v>0</v>
      </c>
      <c r="AH7" s="60">
        <v>7</v>
      </c>
      <c r="AI7" s="60">
        <v>14.5</v>
      </c>
      <c r="AJ7" s="54">
        <f t="shared" ref="AJ7:AJ10" si="1">SUM(AD7:AI7)</f>
        <v>38</v>
      </c>
    </row>
    <row r="8" spans="1:36">
      <c r="A8" s="29"/>
      <c r="B8" s="48">
        <v>46085</v>
      </c>
      <c r="C8" s="49">
        <v>1</v>
      </c>
      <c r="D8" s="50">
        <v>1</v>
      </c>
      <c r="E8" s="50">
        <v>0</v>
      </c>
      <c r="F8" s="50">
        <v>1</v>
      </c>
      <c r="G8" s="51">
        <v>0</v>
      </c>
      <c r="H8" s="52">
        <v>3</v>
      </c>
      <c r="I8" s="50">
        <v>2</v>
      </c>
      <c r="J8" s="50">
        <v>1</v>
      </c>
      <c r="K8" s="50">
        <v>1</v>
      </c>
      <c r="L8" s="52">
        <v>0</v>
      </c>
      <c r="M8" s="61">
        <v>2</v>
      </c>
      <c r="N8" s="50">
        <v>0</v>
      </c>
      <c r="O8" s="50">
        <v>0</v>
      </c>
      <c r="P8" s="51">
        <v>0</v>
      </c>
      <c r="Q8" s="53">
        <v>38.2</v>
      </c>
      <c r="R8" s="54">
        <v>0</v>
      </c>
      <c r="S8" s="41">
        <v>19</v>
      </c>
      <c r="T8" s="121">
        <v>492.97</v>
      </c>
      <c r="U8" s="55">
        <v>1309</v>
      </c>
      <c r="V8" s="51">
        <v>156</v>
      </c>
      <c r="W8" s="55">
        <v>4</v>
      </c>
      <c r="X8" s="50">
        <v>1</v>
      </c>
      <c r="Y8" s="50">
        <v>2</v>
      </c>
      <c r="Z8" s="50">
        <v>1</v>
      </c>
      <c r="AA8" s="57">
        <v>3</v>
      </c>
      <c r="AB8" s="57">
        <v>1</v>
      </c>
      <c r="AC8" s="57">
        <f t="shared" si="0"/>
        <v>12</v>
      </c>
      <c r="AD8" s="58">
        <v>16.5</v>
      </c>
      <c r="AE8" s="59">
        <v>4</v>
      </c>
      <c r="AF8" s="59">
        <v>9.5</v>
      </c>
      <c r="AG8" s="59">
        <v>4.5</v>
      </c>
      <c r="AH8" s="60">
        <v>7.5</v>
      </c>
      <c r="AI8" s="60">
        <v>2</v>
      </c>
      <c r="AJ8" s="54">
        <f t="shared" si="1"/>
        <v>44</v>
      </c>
    </row>
    <row r="9" spans="1:36">
      <c r="A9" s="29"/>
      <c r="B9" s="48">
        <v>46086</v>
      </c>
      <c r="C9" s="49">
        <v>1</v>
      </c>
      <c r="D9" s="50">
        <v>1</v>
      </c>
      <c r="E9" s="50">
        <v>1</v>
      </c>
      <c r="F9" s="50">
        <v>0</v>
      </c>
      <c r="G9" s="51">
        <v>0</v>
      </c>
      <c r="H9" s="52">
        <v>3</v>
      </c>
      <c r="I9" s="50">
        <v>3</v>
      </c>
      <c r="J9" s="50">
        <v>1</v>
      </c>
      <c r="K9" s="50">
        <v>2</v>
      </c>
      <c r="L9" s="52">
        <v>0</v>
      </c>
      <c r="M9" s="61">
        <v>0</v>
      </c>
      <c r="N9" s="50">
        <v>1</v>
      </c>
      <c r="O9" s="50">
        <v>0</v>
      </c>
      <c r="P9" s="51">
        <v>0</v>
      </c>
      <c r="Q9" s="53">
        <v>49.6</v>
      </c>
      <c r="R9" s="54">
        <v>0</v>
      </c>
      <c r="S9" s="41">
        <v>7</v>
      </c>
      <c r="T9" s="121">
        <v>176.01</v>
      </c>
      <c r="U9" s="55">
        <v>1211</v>
      </c>
      <c r="V9" s="51">
        <v>172</v>
      </c>
      <c r="W9" s="55">
        <v>3</v>
      </c>
      <c r="X9" s="50">
        <v>1</v>
      </c>
      <c r="Y9" s="50">
        <v>1</v>
      </c>
      <c r="Z9" s="50">
        <v>1</v>
      </c>
      <c r="AA9" s="57">
        <v>5</v>
      </c>
      <c r="AB9" s="57">
        <v>1</v>
      </c>
      <c r="AC9" s="57">
        <f t="shared" si="0"/>
        <v>12</v>
      </c>
      <c r="AD9" s="58">
        <v>8.5</v>
      </c>
      <c r="AE9" s="59">
        <v>3</v>
      </c>
      <c r="AF9" s="59">
        <v>4</v>
      </c>
      <c r="AG9" s="59">
        <v>2.5</v>
      </c>
      <c r="AH9" s="60">
        <v>13</v>
      </c>
      <c r="AI9" s="60">
        <v>2</v>
      </c>
      <c r="AJ9" s="54">
        <f t="shared" si="1"/>
        <v>33</v>
      </c>
    </row>
    <row r="10" spans="1:36">
      <c r="A10" s="62"/>
      <c r="B10" s="48">
        <v>46087</v>
      </c>
      <c r="C10" s="49">
        <v>4</v>
      </c>
      <c r="D10" s="50">
        <v>3</v>
      </c>
      <c r="E10" s="50">
        <v>0</v>
      </c>
      <c r="F10" s="50">
        <v>3</v>
      </c>
      <c r="G10" s="51">
        <v>0</v>
      </c>
      <c r="H10" s="52">
        <v>0</v>
      </c>
      <c r="I10" s="50">
        <v>0</v>
      </c>
      <c r="J10" s="50">
        <v>0</v>
      </c>
      <c r="K10" s="50">
        <v>0</v>
      </c>
      <c r="L10" s="52">
        <v>0</v>
      </c>
      <c r="M10" s="61">
        <v>1</v>
      </c>
      <c r="N10" s="50">
        <v>0</v>
      </c>
      <c r="O10" s="50">
        <v>0</v>
      </c>
      <c r="P10" s="51">
        <v>0</v>
      </c>
      <c r="Q10" s="53">
        <v>57.8</v>
      </c>
      <c r="R10" s="54">
        <v>0</v>
      </c>
      <c r="S10" s="41">
        <v>12</v>
      </c>
      <c r="T10" s="121">
        <v>268.84</v>
      </c>
      <c r="U10" s="55">
        <v>1692</v>
      </c>
      <c r="V10" s="51">
        <v>93</v>
      </c>
      <c r="W10" s="55">
        <v>2</v>
      </c>
      <c r="X10" s="50">
        <v>0</v>
      </c>
      <c r="Y10" s="50">
        <v>2</v>
      </c>
      <c r="Z10" s="50">
        <v>1</v>
      </c>
      <c r="AA10" s="57">
        <v>3</v>
      </c>
      <c r="AB10" s="57">
        <v>1</v>
      </c>
      <c r="AC10" s="57">
        <f t="shared" si="0"/>
        <v>9</v>
      </c>
      <c r="AD10" s="58">
        <v>6</v>
      </c>
      <c r="AE10" s="59">
        <v>0</v>
      </c>
      <c r="AF10" s="59">
        <v>9.5</v>
      </c>
      <c r="AG10" s="59">
        <v>4</v>
      </c>
      <c r="AH10" s="60">
        <v>13.5</v>
      </c>
      <c r="AI10" s="60">
        <v>5</v>
      </c>
      <c r="AJ10" s="54">
        <f t="shared" si="1"/>
        <v>38</v>
      </c>
    </row>
    <row r="11" s="3" customFormat="1" spans="1:36">
      <c r="A11" s="63" t="s">
        <v>126</v>
      </c>
      <c r="B11" s="64"/>
      <c r="C11" s="65">
        <f>SUM(C6:C10)</f>
        <v>14</v>
      </c>
      <c r="D11" s="66">
        <f>SUM(D6:D10)</f>
        <v>13</v>
      </c>
      <c r="E11" s="66">
        <f>SUM(E6:E10)</f>
        <v>2</v>
      </c>
      <c r="F11" s="66">
        <f>SUM(F6:F10)</f>
        <v>11</v>
      </c>
      <c r="G11" s="67">
        <f>SUM(G6:G10)</f>
        <v>0</v>
      </c>
      <c r="H11" s="68">
        <f t="shared" ref="H11:V11" si="2">SUM(H6:H10)</f>
        <v>10</v>
      </c>
      <c r="I11" s="66">
        <f t="shared" si="2"/>
        <v>9</v>
      </c>
      <c r="J11" s="66">
        <f t="shared" si="2"/>
        <v>4</v>
      </c>
      <c r="K11" s="66">
        <f t="shared" si="2"/>
        <v>4</v>
      </c>
      <c r="L11" s="68">
        <f t="shared" si="2"/>
        <v>1</v>
      </c>
      <c r="M11" s="69">
        <f t="shared" si="2"/>
        <v>5</v>
      </c>
      <c r="N11" s="66">
        <f t="shared" si="2"/>
        <v>1</v>
      </c>
      <c r="O11" s="66">
        <f t="shared" si="2"/>
        <v>1</v>
      </c>
      <c r="P11" s="67">
        <f t="shared" si="2"/>
        <v>0</v>
      </c>
      <c r="Q11" s="70">
        <f t="shared" si="2"/>
        <v>192</v>
      </c>
      <c r="R11" s="71">
        <f t="shared" si="2"/>
        <v>16.8</v>
      </c>
      <c r="S11" s="72">
        <f t="shared" si="2"/>
        <v>66</v>
      </c>
      <c r="T11" s="122">
        <f t="shared" si="2"/>
        <v>1701.67</v>
      </c>
      <c r="U11" s="72">
        <f t="shared" si="2"/>
        <v>5469</v>
      </c>
      <c r="V11" s="67">
        <f t="shared" si="2"/>
        <v>548</v>
      </c>
      <c r="W11" s="68">
        <f t="shared" ref="W11:AJ11" si="3">SUM(W6:W10)</f>
        <v>16</v>
      </c>
      <c r="X11" s="74">
        <f t="shared" si="3"/>
        <v>3</v>
      </c>
      <c r="Y11" s="74">
        <f t="shared" si="3"/>
        <v>8</v>
      </c>
      <c r="Z11" s="74">
        <f t="shared" si="3"/>
        <v>5</v>
      </c>
      <c r="AA11" s="74">
        <f t="shared" si="3"/>
        <v>17</v>
      </c>
      <c r="AB11" s="74">
        <f t="shared" si="3"/>
        <v>9</v>
      </c>
      <c r="AC11" s="74">
        <f t="shared" si="3"/>
        <v>58</v>
      </c>
      <c r="AD11" s="70">
        <f t="shared" si="3"/>
        <v>66.5</v>
      </c>
      <c r="AE11" s="75">
        <f t="shared" si="3"/>
        <v>11</v>
      </c>
      <c r="AF11" s="75">
        <f t="shared" si="3"/>
        <v>31</v>
      </c>
      <c r="AG11" s="75">
        <f t="shared" si="3"/>
        <v>20</v>
      </c>
      <c r="AH11" s="75">
        <f t="shared" si="3"/>
        <v>50.5</v>
      </c>
      <c r="AI11" s="75">
        <f t="shared" si="3"/>
        <v>32</v>
      </c>
      <c r="AJ11" s="71">
        <f t="shared" si="3"/>
        <v>211</v>
      </c>
    </row>
    <row r="12" spans="1:36">
      <c r="A12" s="29" t="s">
        <v>185</v>
      </c>
      <c r="B12" s="48">
        <v>46090</v>
      </c>
      <c r="C12" s="49">
        <v>0</v>
      </c>
      <c r="D12" s="50">
        <v>0</v>
      </c>
      <c r="E12" s="50">
        <v>0</v>
      </c>
      <c r="F12" s="50">
        <v>0</v>
      </c>
      <c r="G12" s="51">
        <v>0</v>
      </c>
      <c r="H12" s="52">
        <v>2</v>
      </c>
      <c r="I12" s="50">
        <v>2</v>
      </c>
      <c r="J12" s="50">
        <v>1</v>
      </c>
      <c r="K12" s="50">
        <v>1</v>
      </c>
      <c r="L12" s="52">
        <v>0</v>
      </c>
      <c r="M12" s="61">
        <v>1</v>
      </c>
      <c r="N12" s="50">
        <v>0</v>
      </c>
      <c r="O12" s="50">
        <v>0</v>
      </c>
      <c r="P12" s="51">
        <v>0</v>
      </c>
      <c r="Q12" s="53">
        <v>0</v>
      </c>
      <c r="R12" s="54">
        <v>3.6</v>
      </c>
      <c r="S12" s="55">
        <v>6</v>
      </c>
      <c r="T12" s="121">
        <v>148.02</v>
      </c>
      <c r="U12" s="55">
        <v>2025</v>
      </c>
      <c r="V12" s="51">
        <v>284</v>
      </c>
      <c r="W12" s="55">
        <v>1</v>
      </c>
      <c r="X12" s="50">
        <v>1</v>
      </c>
      <c r="Y12" s="50">
        <v>1</v>
      </c>
      <c r="Z12" s="50">
        <v>1</v>
      </c>
      <c r="AA12" s="57">
        <v>1</v>
      </c>
      <c r="AB12" s="57">
        <v>4</v>
      </c>
      <c r="AC12" s="57">
        <f>SUM(W12:AB12)</f>
        <v>9</v>
      </c>
      <c r="AD12" s="58">
        <v>2</v>
      </c>
      <c r="AE12" s="59">
        <v>5.5</v>
      </c>
      <c r="AF12" s="59">
        <v>2.5</v>
      </c>
      <c r="AG12" s="59">
        <v>2</v>
      </c>
      <c r="AH12" s="60">
        <v>5</v>
      </c>
      <c r="AI12" s="60">
        <v>12.5</v>
      </c>
      <c r="AJ12" s="54">
        <f>SUM(AD12:AI12)</f>
        <v>29.5</v>
      </c>
    </row>
    <row r="13" spans="1:36">
      <c r="A13" s="29"/>
      <c r="B13" s="48">
        <v>46091</v>
      </c>
      <c r="C13" s="49">
        <v>3</v>
      </c>
      <c r="D13" s="50">
        <v>2</v>
      </c>
      <c r="E13" s="50">
        <v>0</v>
      </c>
      <c r="F13" s="50">
        <v>2</v>
      </c>
      <c r="G13" s="51">
        <v>0</v>
      </c>
      <c r="H13" s="52">
        <v>3</v>
      </c>
      <c r="I13" s="50">
        <v>2</v>
      </c>
      <c r="J13" s="50">
        <v>1</v>
      </c>
      <c r="K13" s="50">
        <v>1</v>
      </c>
      <c r="L13" s="52">
        <v>0</v>
      </c>
      <c r="M13" s="61">
        <v>0</v>
      </c>
      <c r="N13" s="50">
        <v>0</v>
      </c>
      <c r="O13" s="50">
        <v>0</v>
      </c>
      <c r="P13" s="51">
        <v>0</v>
      </c>
      <c r="Q13" s="53">
        <v>38.1</v>
      </c>
      <c r="R13" s="54">
        <v>0</v>
      </c>
      <c r="S13" s="55">
        <v>12</v>
      </c>
      <c r="T13" s="121">
        <v>204.01</v>
      </c>
      <c r="U13" s="55">
        <v>260</v>
      </c>
      <c r="V13" s="51">
        <v>16</v>
      </c>
      <c r="W13" s="55">
        <v>4</v>
      </c>
      <c r="X13" s="50">
        <v>1</v>
      </c>
      <c r="Y13" s="50">
        <v>2</v>
      </c>
      <c r="Z13" s="50">
        <v>1</v>
      </c>
      <c r="AA13" s="57">
        <v>1</v>
      </c>
      <c r="AB13" s="57">
        <v>2</v>
      </c>
      <c r="AC13" s="57">
        <f t="shared" ref="AC13:AC16" si="4">SUM(W13:AB13)</f>
        <v>11</v>
      </c>
      <c r="AD13" s="58">
        <v>17</v>
      </c>
      <c r="AE13" s="59">
        <v>2</v>
      </c>
      <c r="AF13" s="59">
        <v>6.5</v>
      </c>
      <c r="AG13" s="59">
        <v>4</v>
      </c>
      <c r="AH13" s="60">
        <v>4</v>
      </c>
      <c r="AI13" s="60">
        <v>9</v>
      </c>
      <c r="AJ13" s="54">
        <f t="shared" ref="AJ13:AJ16" si="5">SUM(AD13:AI13)</f>
        <v>42.5</v>
      </c>
    </row>
    <row r="14" spans="1:36">
      <c r="A14" s="29"/>
      <c r="B14" s="48">
        <v>46092</v>
      </c>
      <c r="C14" s="49">
        <v>1</v>
      </c>
      <c r="D14" s="50">
        <v>0</v>
      </c>
      <c r="E14" s="50">
        <v>0</v>
      </c>
      <c r="F14" s="50">
        <v>0</v>
      </c>
      <c r="G14" s="51">
        <v>0</v>
      </c>
      <c r="H14" s="52">
        <v>2</v>
      </c>
      <c r="I14" s="50">
        <v>2</v>
      </c>
      <c r="J14" s="50">
        <v>1</v>
      </c>
      <c r="K14" s="50">
        <v>1</v>
      </c>
      <c r="L14" s="52">
        <v>0</v>
      </c>
      <c r="M14" s="61">
        <v>2</v>
      </c>
      <c r="N14" s="50">
        <v>0</v>
      </c>
      <c r="O14" s="50">
        <v>0</v>
      </c>
      <c r="P14" s="51">
        <v>0</v>
      </c>
      <c r="Q14" s="53">
        <v>41.1</v>
      </c>
      <c r="R14" s="54">
        <v>0</v>
      </c>
      <c r="S14" s="55">
        <v>11</v>
      </c>
      <c r="T14" s="121">
        <v>132.74</v>
      </c>
      <c r="U14" s="55">
        <v>348</v>
      </c>
      <c r="V14" s="51">
        <v>10</v>
      </c>
      <c r="W14" s="55">
        <v>1</v>
      </c>
      <c r="X14" s="50">
        <v>1</v>
      </c>
      <c r="Y14" s="50">
        <v>1</v>
      </c>
      <c r="Z14" s="50">
        <v>0</v>
      </c>
      <c r="AA14" s="57">
        <v>1</v>
      </c>
      <c r="AB14" s="57">
        <v>1</v>
      </c>
      <c r="AC14" s="57">
        <f t="shared" si="4"/>
        <v>5</v>
      </c>
      <c r="AD14" s="58">
        <v>4.5</v>
      </c>
      <c r="AE14" s="59">
        <v>4</v>
      </c>
      <c r="AF14" s="59">
        <v>3.5</v>
      </c>
      <c r="AG14" s="59">
        <v>0</v>
      </c>
      <c r="AH14" s="60">
        <v>5.5</v>
      </c>
      <c r="AI14" s="60">
        <v>5</v>
      </c>
      <c r="AJ14" s="54">
        <f t="shared" si="5"/>
        <v>22.5</v>
      </c>
    </row>
    <row r="15" spans="1:36">
      <c r="A15" s="29"/>
      <c r="B15" s="48">
        <v>46093</v>
      </c>
      <c r="C15" s="49">
        <v>1</v>
      </c>
      <c r="D15" s="50">
        <v>1</v>
      </c>
      <c r="E15" s="50">
        <v>0</v>
      </c>
      <c r="F15" s="50">
        <v>1</v>
      </c>
      <c r="G15" s="51">
        <v>0</v>
      </c>
      <c r="H15" s="55">
        <v>0</v>
      </c>
      <c r="I15" s="55">
        <v>0</v>
      </c>
      <c r="J15" s="50">
        <v>0</v>
      </c>
      <c r="K15" s="50">
        <v>0</v>
      </c>
      <c r="L15" s="57">
        <v>0</v>
      </c>
      <c r="M15" s="49">
        <v>1</v>
      </c>
      <c r="N15" s="50">
        <v>1</v>
      </c>
      <c r="O15" s="50">
        <v>0</v>
      </c>
      <c r="P15" s="51">
        <v>0</v>
      </c>
      <c r="Q15" s="53">
        <v>27.2</v>
      </c>
      <c r="R15" s="54">
        <v>0</v>
      </c>
      <c r="S15" s="55">
        <v>10</v>
      </c>
      <c r="T15" s="121">
        <v>251.42</v>
      </c>
      <c r="U15" s="55">
        <v>1368</v>
      </c>
      <c r="V15" s="51">
        <v>191</v>
      </c>
      <c r="W15" s="55">
        <v>4</v>
      </c>
      <c r="X15" s="50">
        <v>1</v>
      </c>
      <c r="Y15" s="50">
        <v>2</v>
      </c>
      <c r="Z15" s="50">
        <v>1</v>
      </c>
      <c r="AA15" s="57">
        <v>5</v>
      </c>
      <c r="AB15" s="57">
        <v>1</v>
      </c>
      <c r="AC15" s="57">
        <f t="shared" si="4"/>
        <v>14</v>
      </c>
      <c r="AD15" s="58">
        <v>18</v>
      </c>
      <c r="AE15" s="59">
        <v>4.5</v>
      </c>
      <c r="AF15" s="59">
        <v>8.5</v>
      </c>
      <c r="AG15" s="59">
        <v>2</v>
      </c>
      <c r="AH15" s="60">
        <v>23.5</v>
      </c>
      <c r="AI15" s="60">
        <v>2.5</v>
      </c>
      <c r="AJ15" s="54">
        <f t="shared" si="5"/>
        <v>59</v>
      </c>
    </row>
    <row r="16" spans="1:36">
      <c r="A16" s="29"/>
      <c r="B16" s="48">
        <v>46094</v>
      </c>
      <c r="C16" s="49">
        <v>0</v>
      </c>
      <c r="D16" s="50">
        <v>0</v>
      </c>
      <c r="E16" s="50">
        <v>0</v>
      </c>
      <c r="F16" s="50">
        <v>0</v>
      </c>
      <c r="G16" s="51">
        <v>0</v>
      </c>
      <c r="H16" s="55">
        <v>0</v>
      </c>
      <c r="I16" s="55">
        <v>0</v>
      </c>
      <c r="J16" s="50">
        <v>0</v>
      </c>
      <c r="K16" s="50">
        <v>0</v>
      </c>
      <c r="L16" s="57">
        <v>0</v>
      </c>
      <c r="M16" s="49">
        <v>0</v>
      </c>
      <c r="N16" s="50">
        <v>1</v>
      </c>
      <c r="O16" s="50">
        <v>0</v>
      </c>
      <c r="P16" s="51">
        <v>0</v>
      </c>
      <c r="Q16" s="77">
        <v>28.3</v>
      </c>
      <c r="R16" s="54">
        <v>0</v>
      </c>
      <c r="S16" s="78">
        <v>4</v>
      </c>
      <c r="T16" s="123">
        <v>95.88</v>
      </c>
      <c r="U16" s="78">
        <v>992</v>
      </c>
      <c r="V16" s="81">
        <v>115</v>
      </c>
      <c r="W16" s="55">
        <v>4</v>
      </c>
      <c r="X16" s="50">
        <v>1</v>
      </c>
      <c r="Y16" s="50">
        <v>1</v>
      </c>
      <c r="Z16" s="50">
        <v>2</v>
      </c>
      <c r="AA16" s="57">
        <v>1</v>
      </c>
      <c r="AB16" s="57">
        <v>1</v>
      </c>
      <c r="AC16" s="57">
        <f t="shared" si="4"/>
        <v>10</v>
      </c>
      <c r="AD16" s="58">
        <v>9</v>
      </c>
      <c r="AE16" s="59">
        <v>4.5</v>
      </c>
      <c r="AF16" s="59">
        <v>4</v>
      </c>
      <c r="AG16" s="59">
        <v>11</v>
      </c>
      <c r="AH16" s="60">
        <v>2.5</v>
      </c>
      <c r="AI16" s="60">
        <v>4.5</v>
      </c>
      <c r="AJ16" s="54">
        <f t="shared" si="5"/>
        <v>35.5</v>
      </c>
    </row>
    <row r="17" spans="1:36">
      <c r="A17" s="63" t="s">
        <v>126</v>
      </c>
      <c r="B17" s="64"/>
      <c r="C17" s="65">
        <f>SUM(C12:C16)</f>
        <v>5</v>
      </c>
      <c r="D17" s="66">
        <f>SUM(D12:D16)</f>
        <v>3</v>
      </c>
      <c r="E17" s="66">
        <f>SUM(E12:E16)</f>
        <v>0</v>
      </c>
      <c r="F17" s="66">
        <f>SUM(F12:F16)</f>
        <v>3</v>
      </c>
      <c r="G17" s="67">
        <f>SUM(G12:G16)</f>
        <v>0</v>
      </c>
      <c r="H17" s="72">
        <f t="shared" ref="H17:V17" si="6">SUM(H12:H16)</f>
        <v>7</v>
      </c>
      <c r="I17" s="66">
        <f t="shared" si="6"/>
        <v>6</v>
      </c>
      <c r="J17" s="66">
        <f t="shared" si="6"/>
        <v>3</v>
      </c>
      <c r="K17" s="66">
        <f t="shared" si="6"/>
        <v>3</v>
      </c>
      <c r="L17" s="74">
        <f t="shared" si="6"/>
        <v>0</v>
      </c>
      <c r="M17" s="65">
        <f t="shared" si="6"/>
        <v>4</v>
      </c>
      <c r="N17" s="66">
        <f t="shared" si="6"/>
        <v>2</v>
      </c>
      <c r="O17" s="66">
        <f t="shared" si="6"/>
        <v>0</v>
      </c>
      <c r="P17" s="67">
        <f t="shared" si="6"/>
        <v>0</v>
      </c>
      <c r="Q17" s="70">
        <f t="shared" si="6"/>
        <v>134.7</v>
      </c>
      <c r="R17" s="71">
        <f t="shared" si="6"/>
        <v>3.6</v>
      </c>
      <c r="S17" s="72">
        <f t="shared" si="6"/>
        <v>43</v>
      </c>
      <c r="T17" s="122">
        <f t="shared" si="6"/>
        <v>832.07</v>
      </c>
      <c r="U17" s="72">
        <f t="shared" si="6"/>
        <v>4993</v>
      </c>
      <c r="V17" s="67">
        <f t="shared" si="6"/>
        <v>616</v>
      </c>
      <c r="W17" s="68">
        <f t="shared" ref="W17:AJ17" si="7">SUM(W12:W16)</f>
        <v>14</v>
      </c>
      <c r="X17" s="74">
        <f t="shared" si="7"/>
        <v>5</v>
      </c>
      <c r="Y17" s="74">
        <f t="shared" si="7"/>
        <v>7</v>
      </c>
      <c r="Z17" s="74">
        <f t="shared" si="7"/>
        <v>5</v>
      </c>
      <c r="AA17" s="74">
        <f t="shared" si="7"/>
        <v>9</v>
      </c>
      <c r="AB17" s="74">
        <f t="shared" si="7"/>
        <v>9</v>
      </c>
      <c r="AC17" s="74">
        <f t="shared" si="7"/>
        <v>49</v>
      </c>
      <c r="AD17" s="70">
        <f t="shared" si="7"/>
        <v>50.5</v>
      </c>
      <c r="AE17" s="75">
        <f t="shared" si="7"/>
        <v>20.5</v>
      </c>
      <c r="AF17" s="75">
        <f t="shared" si="7"/>
        <v>25</v>
      </c>
      <c r="AG17" s="75">
        <f t="shared" si="7"/>
        <v>19</v>
      </c>
      <c r="AH17" s="75">
        <f t="shared" si="7"/>
        <v>40.5</v>
      </c>
      <c r="AI17" s="75">
        <f t="shared" si="7"/>
        <v>33.5</v>
      </c>
      <c r="AJ17" s="71">
        <f t="shared" si="7"/>
        <v>189</v>
      </c>
    </row>
    <row r="18" spans="1:36">
      <c r="A18" s="29" t="s">
        <v>186</v>
      </c>
      <c r="B18" s="48">
        <v>46097</v>
      </c>
      <c r="C18" s="49">
        <v>0</v>
      </c>
      <c r="D18" s="50">
        <v>0</v>
      </c>
      <c r="E18" s="50">
        <v>0</v>
      </c>
      <c r="F18" s="50">
        <v>0</v>
      </c>
      <c r="G18" s="51">
        <v>0</v>
      </c>
      <c r="H18" s="55">
        <v>3</v>
      </c>
      <c r="I18" s="55">
        <v>3</v>
      </c>
      <c r="J18" s="50">
        <v>0</v>
      </c>
      <c r="K18" s="50">
        <v>3</v>
      </c>
      <c r="L18" s="57">
        <v>0</v>
      </c>
      <c r="M18" s="49">
        <v>1</v>
      </c>
      <c r="N18" s="50">
        <v>0</v>
      </c>
      <c r="O18" s="50">
        <v>0</v>
      </c>
      <c r="P18" s="51">
        <v>0</v>
      </c>
      <c r="Q18" s="53">
        <v>44.7</v>
      </c>
      <c r="R18" s="54">
        <v>0</v>
      </c>
      <c r="S18" s="55">
        <v>11</v>
      </c>
      <c r="T18" s="121">
        <v>285.51</v>
      </c>
      <c r="U18" s="55">
        <v>562</v>
      </c>
      <c r="V18" s="51">
        <v>71</v>
      </c>
      <c r="W18" s="55">
        <v>4</v>
      </c>
      <c r="X18" s="50">
        <v>1</v>
      </c>
      <c r="Y18" s="50">
        <v>2</v>
      </c>
      <c r="Z18" s="50">
        <v>1</v>
      </c>
      <c r="AA18" s="57">
        <v>4</v>
      </c>
      <c r="AB18" s="57">
        <v>1</v>
      </c>
      <c r="AC18" s="57">
        <f>SUM(W18:AB18)</f>
        <v>13</v>
      </c>
      <c r="AD18" s="58">
        <v>14.5</v>
      </c>
      <c r="AE18" s="59">
        <v>3.5</v>
      </c>
      <c r="AF18" s="59">
        <v>10.5</v>
      </c>
      <c r="AG18" s="59">
        <v>3</v>
      </c>
      <c r="AH18" s="60">
        <v>8.5</v>
      </c>
      <c r="AI18" s="60">
        <v>4</v>
      </c>
      <c r="AJ18" s="54">
        <f>SUM(AD18:AI18)</f>
        <v>44</v>
      </c>
    </row>
    <row r="19" spans="1:36">
      <c r="A19" s="29"/>
      <c r="B19" s="48">
        <v>46098</v>
      </c>
      <c r="C19" s="49">
        <v>0</v>
      </c>
      <c r="D19" s="50">
        <v>0</v>
      </c>
      <c r="E19" s="50">
        <v>0</v>
      </c>
      <c r="F19" s="50">
        <v>0</v>
      </c>
      <c r="G19" s="51">
        <v>0</v>
      </c>
      <c r="H19" s="55">
        <v>1</v>
      </c>
      <c r="I19" s="55">
        <v>0</v>
      </c>
      <c r="J19" s="50">
        <v>0</v>
      </c>
      <c r="K19" s="50">
        <v>0</v>
      </c>
      <c r="L19" s="57">
        <v>0</v>
      </c>
      <c r="M19" s="49">
        <v>1</v>
      </c>
      <c r="N19" s="50">
        <v>0</v>
      </c>
      <c r="O19" s="50">
        <v>0</v>
      </c>
      <c r="P19" s="51">
        <v>0</v>
      </c>
      <c r="Q19" s="53">
        <v>28.3</v>
      </c>
      <c r="R19" s="54">
        <v>0</v>
      </c>
      <c r="S19" s="55">
        <v>7</v>
      </c>
      <c r="T19" s="121">
        <v>139.41</v>
      </c>
      <c r="U19" s="55">
        <v>2011</v>
      </c>
      <c r="V19" s="51">
        <v>233</v>
      </c>
      <c r="W19" s="55">
        <v>1</v>
      </c>
      <c r="X19" s="50">
        <v>1</v>
      </c>
      <c r="Y19" s="50">
        <v>1</v>
      </c>
      <c r="Z19" s="50">
        <v>0</v>
      </c>
      <c r="AA19" s="57">
        <v>4</v>
      </c>
      <c r="AB19" s="57">
        <v>3</v>
      </c>
      <c r="AC19" s="57">
        <f t="shared" ref="AC19:AC22" si="8">SUM(W19:AB19)</f>
        <v>10</v>
      </c>
      <c r="AD19" s="58">
        <v>3</v>
      </c>
      <c r="AE19" s="59">
        <v>4</v>
      </c>
      <c r="AF19" s="59">
        <v>2.5</v>
      </c>
      <c r="AG19" s="59">
        <v>0</v>
      </c>
      <c r="AH19" s="60">
        <v>21.5</v>
      </c>
      <c r="AI19" s="60">
        <v>15</v>
      </c>
      <c r="AJ19" s="54">
        <f t="shared" ref="AJ19:AJ22" si="9">SUM(AD19:AI19)</f>
        <v>46</v>
      </c>
    </row>
    <row r="20" spans="1:36">
      <c r="A20" s="29"/>
      <c r="B20" s="48">
        <v>46099</v>
      </c>
      <c r="C20" s="49">
        <v>3</v>
      </c>
      <c r="D20" s="50">
        <v>3</v>
      </c>
      <c r="E20" s="50">
        <v>0</v>
      </c>
      <c r="F20" s="50">
        <v>2</v>
      </c>
      <c r="G20" s="51">
        <v>1</v>
      </c>
      <c r="H20" s="55">
        <v>1</v>
      </c>
      <c r="I20" s="50">
        <v>1</v>
      </c>
      <c r="J20" s="50">
        <v>1</v>
      </c>
      <c r="K20" s="50">
        <v>0</v>
      </c>
      <c r="L20" s="57">
        <v>0</v>
      </c>
      <c r="M20" s="49">
        <v>0</v>
      </c>
      <c r="N20" s="50">
        <v>0</v>
      </c>
      <c r="O20" s="50">
        <v>0</v>
      </c>
      <c r="P20" s="51">
        <v>0</v>
      </c>
      <c r="Q20" s="53">
        <v>52.7</v>
      </c>
      <c r="R20" s="54">
        <v>0</v>
      </c>
      <c r="S20" s="55">
        <v>11</v>
      </c>
      <c r="T20" s="121">
        <v>263.23</v>
      </c>
      <c r="U20" s="124">
        <v>1807</v>
      </c>
      <c r="V20" s="51">
        <v>234</v>
      </c>
      <c r="W20" s="55">
        <v>2</v>
      </c>
      <c r="X20" s="50">
        <v>0</v>
      </c>
      <c r="Y20" s="50">
        <v>2</v>
      </c>
      <c r="Z20" s="50">
        <v>0</v>
      </c>
      <c r="AA20" s="57">
        <v>5</v>
      </c>
      <c r="AB20" s="57">
        <v>2</v>
      </c>
      <c r="AC20" s="57">
        <f t="shared" si="8"/>
        <v>11</v>
      </c>
      <c r="AD20" s="58">
        <v>7</v>
      </c>
      <c r="AE20" s="59">
        <v>0</v>
      </c>
      <c r="AF20" s="59">
        <v>7.5</v>
      </c>
      <c r="AG20" s="59">
        <v>0</v>
      </c>
      <c r="AH20" s="60">
        <v>25.5</v>
      </c>
      <c r="AI20" s="60">
        <v>6</v>
      </c>
      <c r="AJ20" s="54">
        <f t="shared" si="9"/>
        <v>46</v>
      </c>
    </row>
    <row r="21" spans="1:36">
      <c r="A21" s="29"/>
      <c r="B21" s="48">
        <v>46100</v>
      </c>
      <c r="C21" s="49">
        <v>4</v>
      </c>
      <c r="D21" s="50">
        <v>4</v>
      </c>
      <c r="E21" s="50">
        <v>1</v>
      </c>
      <c r="F21" s="50">
        <v>3</v>
      </c>
      <c r="G21" s="51">
        <v>0</v>
      </c>
      <c r="H21" s="55">
        <v>3</v>
      </c>
      <c r="I21" s="50">
        <v>3</v>
      </c>
      <c r="J21" s="50">
        <v>1</v>
      </c>
      <c r="K21" s="50">
        <v>1</v>
      </c>
      <c r="L21" s="57">
        <v>1</v>
      </c>
      <c r="M21" s="49">
        <v>1</v>
      </c>
      <c r="N21" s="50">
        <v>1</v>
      </c>
      <c r="O21" s="50">
        <v>0</v>
      </c>
      <c r="P21" s="51">
        <v>0</v>
      </c>
      <c r="Q21" s="53">
        <v>37.9</v>
      </c>
      <c r="R21" s="54">
        <v>0</v>
      </c>
      <c r="S21" s="55">
        <v>4</v>
      </c>
      <c r="T21" s="121">
        <v>55.06</v>
      </c>
      <c r="U21" s="55">
        <v>1187</v>
      </c>
      <c r="V21" s="51">
        <v>53</v>
      </c>
      <c r="W21" s="55">
        <v>2</v>
      </c>
      <c r="X21" s="50">
        <v>0</v>
      </c>
      <c r="Y21" s="50">
        <v>0</v>
      </c>
      <c r="Z21" s="50">
        <v>2</v>
      </c>
      <c r="AA21" s="57">
        <v>5</v>
      </c>
      <c r="AB21" s="57">
        <v>4</v>
      </c>
      <c r="AC21" s="57">
        <f t="shared" si="8"/>
        <v>13</v>
      </c>
      <c r="AD21" s="58">
        <v>6.5</v>
      </c>
      <c r="AE21" s="59">
        <v>0</v>
      </c>
      <c r="AF21" s="59">
        <v>0</v>
      </c>
      <c r="AG21" s="59">
        <v>9</v>
      </c>
      <c r="AH21" s="60">
        <v>16</v>
      </c>
      <c r="AI21" s="60">
        <v>10.5</v>
      </c>
      <c r="AJ21" s="54">
        <f t="shared" si="9"/>
        <v>42</v>
      </c>
    </row>
    <row r="22" spans="1:36">
      <c r="A22" s="29"/>
      <c r="B22" s="48">
        <v>46101</v>
      </c>
      <c r="C22" s="49">
        <v>3</v>
      </c>
      <c r="D22" s="50">
        <v>3</v>
      </c>
      <c r="E22" s="50">
        <v>1</v>
      </c>
      <c r="F22" s="50">
        <v>2</v>
      </c>
      <c r="G22" s="51">
        <v>0</v>
      </c>
      <c r="H22" s="55">
        <v>1</v>
      </c>
      <c r="I22" s="50">
        <v>1</v>
      </c>
      <c r="J22" s="50">
        <v>1</v>
      </c>
      <c r="K22" s="50">
        <v>0</v>
      </c>
      <c r="L22" s="57">
        <v>0</v>
      </c>
      <c r="M22" s="49">
        <v>0</v>
      </c>
      <c r="N22" s="50">
        <v>0</v>
      </c>
      <c r="O22" s="50">
        <v>0</v>
      </c>
      <c r="P22" s="51">
        <v>0</v>
      </c>
      <c r="Q22" s="53">
        <v>35.8</v>
      </c>
      <c r="R22" s="54">
        <v>3.9</v>
      </c>
      <c r="S22" s="78">
        <v>5</v>
      </c>
      <c r="T22" s="123">
        <v>146.82</v>
      </c>
      <c r="U22" s="78">
        <v>854</v>
      </c>
      <c r="V22" s="81">
        <v>69</v>
      </c>
      <c r="W22" s="55">
        <v>1</v>
      </c>
      <c r="X22" s="50">
        <v>0</v>
      </c>
      <c r="Y22" s="50">
        <v>1</v>
      </c>
      <c r="Z22" s="50">
        <v>1</v>
      </c>
      <c r="AA22" s="57">
        <v>4</v>
      </c>
      <c r="AB22" s="57">
        <v>3</v>
      </c>
      <c r="AC22" s="57">
        <f t="shared" si="8"/>
        <v>10</v>
      </c>
      <c r="AD22" s="58">
        <v>3</v>
      </c>
      <c r="AE22" s="59">
        <v>0</v>
      </c>
      <c r="AF22" s="59">
        <v>4.5</v>
      </c>
      <c r="AG22" s="59">
        <v>2.5</v>
      </c>
      <c r="AH22" s="60">
        <v>10</v>
      </c>
      <c r="AI22" s="60">
        <v>9</v>
      </c>
      <c r="AJ22" s="54">
        <f t="shared" si="9"/>
        <v>29</v>
      </c>
    </row>
    <row r="23" spans="1:36">
      <c r="A23" s="63" t="s">
        <v>126</v>
      </c>
      <c r="B23" s="64"/>
      <c r="C23" s="65">
        <f>SUM(C18:C22)</f>
        <v>10</v>
      </c>
      <c r="D23" s="66">
        <f>SUM(D18:D22)</f>
        <v>10</v>
      </c>
      <c r="E23" s="66">
        <f>SUM(E18:E22)</f>
        <v>2</v>
      </c>
      <c r="F23" s="66">
        <f>SUM(F18:F22)</f>
        <v>7</v>
      </c>
      <c r="G23" s="67">
        <f>SUM(G18:G22)</f>
        <v>1</v>
      </c>
      <c r="H23" s="72">
        <f t="shared" ref="H23:V23" si="10">SUM(H18:H22)</f>
        <v>9</v>
      </c>
      <c r="I23" s="66">
        <f t="shared" si="10"/>
        <v>8</v>
      </c>
      <c r="J23" s="66">
        <f t="shared" si="10"/>
        <v>3</v>
      </c>
      <c r="K23" s="66">
        <f t="shared" si="10"/>
        <v>4</v>
      </c>
      <c r="L23" s="74">
        <f t="shared" si="10"/>
        <v>1</v>
      </c>
      <c r="M23" s="65">
        <f t="shared" si="10"/>
        <v>3</v>
      </c>
      <c r="N23" s="66">
        <f t="shared" si="10"/>
        <v>1</v>
      </c>
      <c r="O23" s="66">
        <f t="shared" si="10"/>
        <v>0</v>
      </c>
      <c r="P23" s="67">
        <f t="shared" si="10"/>
        <v>0</v>
      </c>
      <c r="Q23" s="70">
        <f t="shared" si="10"/>
        <v>199.4</v>
      </c>
      <c r="R23" s="71">
        <f t="shared" si="10"/>
        <v>3.9</v>
      </c>
      <c r="S23" s="72">
        <f t="shared" si="10"/>
        <v>38</v>
      </c>
      <c r="T23" s="122">
        <f t="shared" si="10"/>
        <v>890.03</v>
      </c>
      <c r="U23" s="72">
        <f t="shared" si="10"/>
        <v>6421</v>
      </c>
      <c r="V23" s="67">
        <f t="shared" si="10"/>
        <v>660</v>
      </c>
      <c r="W23" s="68">
        <f t="shared" ref="W23:AJ23" si="11">SUM(W18:W22)</f>
        <v>10</v>
      </c>
      <c r="X23" s="74">
        <f t="shared" si="11"/>
        <v>2</v>
      </c>
      <c r="Y23" s="74">
        <f t="shared" si="11"/>
        <v>6</v>
      </c>
      <c r="Z23" s="74">
        <f t="shared" si="11"/>
        <v>4</v>
      </c>
      <c r="AA23" s="74">
        <f t="shared" si="11"/>
        <v>22</v>
      </c>
      <c r="AB23" s="74">
        <f t="shared" si="11"/>
        <v>13</v>
      </c>
      <c r="AC23" s="74">
        <f t="shared" si="11"/>
        <v>57</v>
      </c>
      <c r="AD23" s="70">
        <f t="shared" si="11"/>
        <v>34</v>
      </c>
      <c r="AE23" s="75">
        <f t="shared" si="11"/>
        <v>7.5</v>
      </c>
      <c r="AF23" s="75">
        <f t="shared" si="11"/>
        <v>25</v>
      </c>
      <c r="AG23" s="75">
        <f t="shared" si="11"/>
        <v>14.5</v>
      </c>
      <c r="AH23" s="75">
        <f t="shared" si="11"/>
        <v>81.5</v>
      </c>
      <c r="AI23" s="75">
        <f t="shared" si="11"/>
        <v>44.5</v>
      </c>
      <c r="AJ23" s="71">
        <f t="shared" si="11"/>
        <v>207</v>
      </c>
    </row>
    <row r="24" ht="16.95" customHeight="1" spans="1:36">
      <c r="A24" s="29" t="s">
        <v>187</v>
      </c>
      <c r="B24" s="48">
        <v>46104</v>
      </c>
      <c r="C24" s="49">
        <v>2</v>
      </c>
      <c r="D24" s="50">
        <v>2</v>
      </c>
      <c r="E24" s="50">
        <v>0</v>
      </c>
      <c r="F24" s="50">
        <v>2</v>
      </c>
      <c r="G24" s="51">
        <v>0</v>
      </c>
      <c r="H24" s="55">
        <v>3</v>
      </c>
      <c r="I24" s="55">
        <v>3</v>
      </c>
      <c r="J24" s="50">
        <v>1</v>
      </c>
      <c r="K24" s="50">
        <v>2</v>
      </c>
      <c r="L24" s="57">
        <v>0</v>
      </c>
      <c r="M24" s="49">
        <v>0</v>
      </c>
      <c r="N24" s="50">
        <v>0</v>
      </c>
      <c r="O24" s="50">
        <v>1</v>
      </c>
      <c r="P24" s="51">
        <v>1</v>
      </c>
      <c r="Q24" s="53">
        <v>43.9</v>
      </c>
      <c r="R24" s="54">
        <v>0</v>
      </c>
      <c r="S24" s="55">
        <v>4</v>
      </c>
      <c r="T24" s="121">
        <v>115.23</v>
      </c>
      <c r="U24" s="55">
        <v>621</v>
      </c>
      <c r="V24" s="51">
        <v>88</v>
      </c>
      <c r="W24" s="55">
        <v>4</v>
      </c>
      <c r="X24" s="50">
        <v>0</v>
      </c>
      <c r="Y24" s="50">
        <v>1</v>
      </c>
      <c r="Z24" s="50">
        <v>0</v>
      </c>
      <c r="AA24" s="57">
        <v>2</v>
      </c>
      <c r="AB24" s="57">
        <v>1</v>
      </c>
      <c r="AC24" s="57">
        <f>SUM(W24:AB24)</f>
        <v>8</v>
      </c>
      <c r="AD24" s="58">
        <v>17</v>
      </c>
      <c r="AE24" s="59">
        <v>0</v>
      </c>
      <c r="AF24" s="59">
        <v>2.5</v>
      </c>
      <c r="AG24" s="59">
        <v>0</v>
      </c>
      <c r="AH24" s="60">
        <v>7</v>
      </c>
      <c r="AI24" s="60">
        <v>4</v>
      </c>
      <c r="AJ24" s="54">
        <f>SUM(AD24:AI24)</f>
        <v>30.5</v>
      </c>
    </row>
    <row r="25" spans="1:36">
      <c r="A25" s="29"/>
      <c r="B25" s="48">
        <v>46105</v>
      </c>
      <c r="C25" s="49">
        <v>4</v>
      </c>
      <c r="D25" s="50">
        <v>3</v>
      </c>
      <c r="E25" s="50">
        <v>1</v>
      </c>
      <c r="F25" s="50">
        <v>2</v>
      </c>
      <c r="G25" s="51">
        <v>0</v>
      </c>
      <c r="H25" s="55">
        <v>3</v>
      </c>
      <c r="I25" s="55">
        <v>3</v>
      </c>
      <c r="J25" s="50">
        <v>1</v>
      </c>
      <c r="K25" s="50">
        <v>2</v>
      </c>
      <c r="L25" s="57">
        <v>0</v>
      </c>
      <c r="M25" s="49">
        <v>0</v>
      </c>
      <c r="N25" s="50">
        <v>0</v>
      </c>
      <c r="O25" s="50">
        <v>1</v>
      </c>
      <c r="P25" s="51">
        <v>0</v>
      </c>
      <c r="Q25" s="53">
        <v>24.4</v>
      </c>
      <c r="R25" s="54">
        <v>0</v>
      </c>
      <c r="S25" s="55">
        <v>4</v>
      </c>
      <c r="T25" s="121">
        <v>122.04</v>
      </c>
      <c r="U25" s="55">
        <v>794</v>
      </c>
      <c r="V25" s="51">
        <v>45</v>
      </c>
      <c r="W25" s="55">
        <v>4</v>
      </c>
      <c r="X25" s="50">
        <v>0</v>
      </c>
      <c r="Y25" s="50">
        <v>1</v>
      </c>
      <c r="Z25" s="50">
        <v>2</v>
      </c>
      <c r="AA25" s="57">
        <v>2</v>
      </c>
      <c r="AB25" s="57">
        <v>1</v>
      </c>
      <c r="AC25" s="57">
        <f t="shared" ref="AC25:AC28" si="12">SUM(W25:AB25)</f>
        <v>10</v>
      </c>
      <c r="AD25" s="58">
        <v>12.5</v>
      </c>
      <c r="AE25" s="59">
        <v>0</v>
      </c>
      <c r="AF25" s="59">
        <v>4</v>
      </c>
      <c r="AG25" s="59">
        <v>10</v>
      </c>
      <c r="AH25" s="60">
        <v>7.5</v>
      </c>
      <c r="AI25" s="60">
        <v>3.5</v>
      </c>
      <c r="AJ25" s="54">
        <f t="shared" ref="AJ25:AJ28" si="13">SUM(AD25:AI25)</f>
        <v>37.5</v>
      </c>
    </row>
    <row r="26" spans="1:36">
      <c r="A26" s="29"/>
      <c r="B26" s="48">
        <v>46106</v>
      </c>
      <c r="C26" s="49">
        <v>4</v>
      </c>
      <c r="D26" s="50">
        <v>4</v>
      </c>
      <c r="E26" s="50">
        <v>0</v>
      </c>
      <c r="F26" s="50">
        <v>4</v>
      </c>
      <c r="G26" s="51">
        <v>0</v>
      </c>
      <c r="H26" s="55">
        <v>0</v>
      </c>
      <c r="I26" s="55">
        <v>0</v>
      </c>
      <c r="J26" s="50">
        <v>0</v>
      </c>
      <c r="K26" s="50">
        <v>0</v>
      </c>
      <c r="L26" s="57">
        <v>0</v>
      </c>
      <c r="M26" s="49">
        <v>1</v>
      </c>
      <c r="N26" s="50">
        <v>0</v>
      </c>
      <c r="O26" s="50">
        <v>0</v>
      </c>
      <c r="P26" s="51">
        <v>0</v>
      </c>
      <c r="Q26" s="53">
        <v>15.5</v>
      </c>
      <c r="R26" s="54">
        <v>2.7</v>
      </c>
      <c r="S26" s="55">
        <v>18</v>
      </c>
      <c r="T26" s="121">
        <v>477.18</v>
      </c>
      <c r="U26" s="55">
        <v>821</v>
      </c>
      <c r="V26" s="51">
        <v>127</v>
      </c>
      <c r="W26" s="55">
        <v>3</v>
      </c>
      <c r="X26" s="50">
        <v>1</v>
      </c>
      <c r="Y26" s="50">
        <v>0</v>
      </c>
      <c r="Z26" s="50">
        <v>0</v>
      </c>
      <c r="AA26" s="57">
        <v>4</v>
      </c>
      <c r="AB26" s="57">
        <v>4</v>
      </c>
      <c r="AC26" s="57">
        <f t="shared" si="12"/>
        <v>12</v>
      </c>
      <c r="AD26" s="58">
        <v>11</v>
      </c>
      <c r="AE26" s="59">
        <v>2</v>
      </c>
      <c r="AF26" s="59">
        <v>0</v>
      </c>
      <c r="AG26" s="59">
        <v>0</v>
      </c>
      <c r="AH26" s="60">
        <v>20</v>
      </c>
      <c r="AI26" s="60">
        <v>8.5</v>
      </c>
      <c r="AJ26" s="54">
        <f t="shared" si="13"/>
        <v>41.5</v>
      </c>
    </row>
    <row r="27" spans="1:36">
      <c r="A27" s="29"/>
      <c r="B27" s="48">
        <v>46107</v>
      </c>
      <c r="C27" s="49">
        <v>2</v>
      </c>
      <c r="D27" s="50">
        <v>2</v>
      </c>
      <c r="E27" s="50">
        <v>1</v>
      </c>
      <c r="F27" s="50">
        <v>1</v>
      </c>
      <c r="G27" s="51">
        <v>0</v>
      </c>
      <c r="H27" s="55">
        <v>0</v>
      </c>
      <c r="I27" s="55">
        <v>0</v>
      </c>
      <c r="J27" s="50">
        <v>0</v>
      </c>
      <c r="K27" s="50">
        <v>0</v>
      </c>
      <c r="L27" s="57">
        <v>0</v>
      </c>
      <c r="M27" s="49">
        <v>2</v>
      </c>
      <c r="N27" s="50">
        <v>1</v>
      </c>
      <c r="O27" s="50">
        <v>0</v>
      </c>
      <c r="P27" s="51">
        <v>0</v>
      </c>
      <c r="Q27" s="53">
        <v>48</v>
      </c>
      <c r="R27" s="54">
        <v>18.6</v>
      </c>
      <c r="S27" s="55">
        <v>6</v>
      </c>
      <c r="T27" s="121">
        <v>101.09</v>
      </c>
      <c r="U27" s="55">
        <v>894</v>
      </c>
      <c r="V27" s="51">
        <v>86</v>
      </c>
      <c r="W27" s="55">
        <v>2</v>
      </c>
      <c r="X27" s="50">
        <v>2</v>
      </c>
      <c r="Y27" s="50">
        <v>2</v>
      </c>
      <c r="Z27" s="50">
        <v>0</v>
      </c>
      <c r="AA27" s="57">
        <v>5</v>
      </c>
      <c r="AB27" s="57">
        <v>4</v>
      </c>
      <c r="AC27" s="57">
        <f t="shared" si="12"/>
        <v>15</v>
      </c>
      <c r="AD27" s="58">
        <v>6</v>
      </c>
      <c r="AE27" s="59">
        <v>6</v>
      </c>
      <c r="AF27" s="59">
        <v>6.5</v>
      </c>
      <c r="AG27" s="59">
        <v>0</v>
      </c>
      <c r="AH27" s="60">
        <v>25.5</v>
      </c>
      <c r="AI27" s="60">
        <v>8.5</v>
      </c>
      <c r="AJ27" s="54">
        <f t="shared" si="13"/>
        <v>52.5</v>
      </c>
    </row>
    <row r="28" ht="17.4" customHeight="1" spans="1:36">
      <c r="A28" s="29"/>
      <c r="B28" s="48">
        <v>46108</v>
      </c>
      <c r="C28" s="49">
        <v>3</v>
      </c>
      <c r="D28" s="50">
        <v>3</v>
      </c>
      <c r="E28" s="50">
        <v>1</v>
      </c>
      <c r="F28" s="50">
        <v>2</v>
      </c>
      <c r="G28" s="51">
        <v>0</v>
      </c>
      <c r="H28" s="55">
        <v>3</v>
      </c>
      <c r="I28" s="55">
        <v>3</v>
      </c>
      <c r="J28" s="50">
        <v>1</v>
      </c>
      <c r="K28" s="50">
        <v>2</v>
      </c>
      <c r="L28" s="57">
        <v>0</v>
      </c>
      <c r="M28" s="49">
        <v>0</v>
      </c>
      <c r="N28" s="50">
        <v>0</v>
      </c>
      <c r="O28" s="50">
        <v>1</v>
      </c>
      <c r="P28" s="51">
        <v>0</v>
      </c>
      <c r="Q28" s="77">
        <v>8</v>
      </c>
      <c r="R28" s="54">
        <v>0</v>
      </c>
      <c r="S28" s="78">
        <v>8</v>
      </c>
      <c r="T28" s="123">
        <v>202.26</v>
      </c>
      <c r="U28" s="78">
        <v>1705</v>
      </c>
      <c r="V28" s="81">
        <v>150</v>
      </c>
      <c r="W28" s="55">
        <v>3</v>
      </c>
      <c r="X28" s="50">
        <v>2</v>
      </c>
      <c r="Y28" s="50">
        <v>1</v>
      </c>
      <c r="Z28" s="50">
        <v>1</v>
      </c>
      <c r="AA28" s="57">
        <v>1</v>
      </c>
      <c r="AB28" s="57">
        <v>2</v>
      </c>
      <c r="AC28" s="57">
        <f t="shared" si="12"/>
        <v>10</v>
      </c>
      <c r="AD28" s="58">
        <v>13</v>
      </c>
      <c r="AE28" s="59">
        <v>8.5</v>
      </c>
      <c r="AF28" s="59">
        <v>3</v>
      </c>
      <c r="AG28" s="59">
        <v>3</v>
      </c>
      <c r="AH28" s="60">
        <v>3.5</v>
      </c>
      <c r="AI28" s="60">
        <v>6</v>
      </c>
      <c r="AJ28" s="54">
        <f t="shared" si="13"/>
        <v>37</v>
      </c>
    </row>
    <row r="29" spans="1:36">
      <c r="A29" s="63" t="s">
        <v>126</v>
      </c>
      <c r="B29" s="64"/>
      <c r="C29" s="65">
        <f>SUM(C24:C28)</f>
        <v>15</v>
      </c>
      <c r="D29" s="66">
        <f>SUM(D24:D28)</f>
        <v>14</v>
      </c>
      <c r="E29" s="66">
        <f>SUM(E24:E28)</f>
        <v>3</v>
      </c>
      <c r="F29" s="66">
        <f>SUM(F24:F28)</f>
        <v>11</v>
      </c>
      <c r="G29" s="67">
        <f>SUM(G24:G28)</f>
        <v>0</v>
      </c>
      <c r="H29" s="72">
        <f t="shared" ref="H29:V29" si="14">SUM(H24:H28)</f>
        <v>9</v>
      </c>
      <c r="I29" s="66">
        <f t="shared" si="14"/>
        <v>9</v>
      </c>
      <c r="J29" s="66">
        <f t="shared" si="14"/>
        <v>3</v>
      </c>
      <c r="K29" s="66">
        <f t="shared" si="14"/>
        <v>6</v>
      </c>
      <c r="L29" s="74">
        <f t="shared" si="14"/>
        <v>0</v>
      </c>
      <c r="M29" s="65">
        <f t="shared" si="14"/>
        <v>3</v>
      </c>
      <c r="N29" s="66">
        <f t="shared" si="14"/>
        <v>1</v>
      </c>
      <c r="O29" s="66">
        <f t="shared" si="14"/>
        <v>3</v>
      </c>
      <c r="P29" s="67">
        <f t="shared" si="14"/>
        <v>1</v>
      </c>
      <c r="Q29" s="70">
        <f t="shared" si="14"/>
        <v>139.8</v>
      </c>
      <c r="R29" s="71">
        <f t="shared" si="14"/>
        <v>21.3</v>
      </c>
      <c r="S29" s="72">
        <f t="shared" si="14"/>
        <v>40</v>
      </c>
      <c r="T29" s="122">
        <f t="shared" si="14"/>
        <v>1017.8</v>
      </c>
      <c r="U29" s="72">
        <f t="shared" si="14"/>
        <v>4835</v>
      </c>
      <c r="V29" s="67">
        <f t="shared" si="14"/>
        <v>496</v>
      </c>
      <c r="W29" s="68">
        <f t="shared" ref="W29:AJ29" si="15">SUM(W24:W28)</f>
        <v>16</v>
      </c>
      <c r="X29" s="74">
        <f t="shared" si="15"/>
        <v>5</v>
      </c>
      <c r="Y29" s="74">
        <f t="shared" si="15"/>
        <v>5</v>
      </c>
      <c r="Z29" s="74">
        <f t="shared" si="15"/>
        <v>3</v>
      </c>
      <c r="AA29" s="74">
        <f t="shared" si="15"/>
        <v>14</v>
      </c>
      <c r="AB29" s="74">
        <f t="shared" si="15"/>
        <v>12</v>
      </c>
      <c r="AC29" s="74">
        <f t="shared" si="15"/>
        <v>55</v>
      </c>
      <c r="AD29" s="70">
        <f t="shared" si="15"/>
        <v>59.5</v>
      </c>
      <c r="AE29" s="75">
        <f t="shared" si="15"/>
        <v>16.5</v>
      </c>
      <c r="AF29" s="75">
        <f t="shared" si="15"/>
        <v>16</v>
      </c>
      <c r="AG29" s="75">
        <f t="shared" si="15"/>
        <v>13</v>
      </c>
      <c r="AH29" s="75">
        <f t="shared" si="15"/>
        <v>63.5</v>
      </c>
      <c r="AI29" s="75">
        <f t="shared" si="15"/>
        <v>30.5</v>
      </c>
      <c r="AJ29" s="71">
        <f t="shared" si="15"/>
        <v>199</v>
      </c>
    </row>
    <row r="30" spans="1:36">
      <c r="A30" s="29" t="s">
        <v>188</v>
      </c>
      <c r="B30" s="48">
        <v>46111</v>
      </c>
      <c r="C30" s="49">
        <v>2</v>
      </c>
      <c r="D30" s="50">
        <v>2</v>
      </c>
      <c r="E30" s="50">
        <v>1</v>
      </c>
      <c r="F30" s="50">
        <v>1</v>
      </c>
      <c r="G30" s="51">
        <v>0</v>
      </c>
      <c r="H30" s="55">
        <v>0</v>
      </c>
      <c r="I30" s="55">
        <v>0</v>
      </c>
      <c r="J30" s="50">
        <v>0</v>
      </c>
      <c r="K30" s="50">
        <v>0</v>
      </c>
      <c r="L30" s="57">
        <v>0</v>
      </c>
      <c r="M30" s="49">
        <v>1</v>
      </c>
      <c r="N30" s="50">
        <v>1</v>
      </c>
      <c r="O30" s="50">
        <v>0</v>
      </c>
      <c r="P30" s="51">
        <v>0</v>
      </c>
      <c r="Q30" s="53">
        <v>26.6</v>
      </c>
      <c r="R30" s="54">
        <v>0</v>
      </c>
      <c r="S30" s="55">
        <v>21</v>
      </c>
      <c r="T30" s="121">
        <v>449.14</v>
      </c>
      <c r="U30" s="55">
        <v>1954</v>
      </c>
      <c r="V30" s="51">
        <v>189</v>
      </c>
      <c r="W30" s="55">
        <v>1</v>
      </c>
      <c r="X30" s="50">
        <v>0</v>
      </c>
      <c r="Y30" s="50">
        <v>2</v>
      </c>
      <c r="Z30" s="50">
        <v>2</v>
      </c>
      <c r="AA30" s="57">
        <v>1</v>
      </c>
      <c r="AB30" s="57">
        <v>4</v>
      </c>
      <c r="AC30" s="57">
        <f>SUM(W30:AB30)</f>
        <v>10</v>
      </c>
      <c r="AD30" s="58">
        <v>3.5</v>
      </c>
      <c r="AE30" s="59">
        <v>0</v>
      </c>
      <c r="AF30" s="59">
        <v>4</v>
      </c>
      <c r="AG30" s="59">
        <v>4</v>
      </c>
      <c r="AH30" s="60">
        <v>2</v>
      </c>
      <c r="AI30" s="60">
        <v>18</v>
      </c>
      <c r="AJ30" s="54">
        <f>SUM(AD30:AI30)</f>
        <v>31.5</v>
      </c>
    </row>
    <row r="31" spans="1:36">
      <c r="A31" s="29"/>
      <c r="B31" s="48">
        <v>46112</v>
      </c>
      <c r="C31" s="49">
        <v>0</v>
      </c>
      <c r="D31" s="50">
        <v>0</v>
      </c>
      <c r="E31" s="50">
        <v>0</v>
      </c>
      <c r="F31" s="50">
        <v>0</v>
      </c>
      <c r="G31" s="51">
        <v>0</v>
      </c>
      <c r="H31" s="55">
        <v>2</v>
      </c>
      <c r="I31" s="55">
        <v>2</v>
      </c>
      <c r="J31" s="50">
        <v>1</v>
      </c>
      <c r="K31" s="50">
        <v>1</v>
      </c>
      <c r="L31" s="57">
        <v>0</v>
      </c>
      <c r="M31" s="49">
        <v>2</v>
      </c>
      <c r="N31" s="50">
        <v>0</v>
      </c>
      <c r="O31" s="50">
        <v>1</v>
      </c>
      <c r="P31" s="51">
        <v>0</v>
      </c>
      <c r="Q31" s="53">
        <v>21.1</v>
      </c>
      <c r="R31" s="54">
        <v>6.2</v>
      </c>
      <c r="S31" s="55">
        <v>4</v>
      </c>
      <c r="T31" s="121">
        <v>109.12</v>
      </c>
      <c r="U31" s="55">
        <v>1619</v>
      </c>
      <c r="V31" s="51">
        <v>107</v>
      </c>
      <c r="W31" s="55">
        <v>1</v>
      </c>
      <c r="X31" s="50">
        <v>0</v>
      </c>
      <c r="Y31" s="50">
        <v>2</v>
      </c>
      <c r="Z31" s="50">
        <v>0</v>
      </c>
      <c r="AA31" s="57">
        <v>4</v>
      </c>
      <c r="AB31" s="57">
        <v>4</v>
      </c>
      <c r="AC31" s="57">
        <f t="shared" ref="AC31:AC34" si="16">SUM(W31:AB31)</f>
        <v>11</v>
      </c>
      <c r="AD31" s="58">
        <v>3.5</v>
      </c>
      <c r="AE31" s="59">
        <v>0</v>
      </c>
      <c r="AF31" s="59">
        <v>4.5</v>
      </c>
      <c r="AG31" s="59">
        <v>0</v>
      </c>
      <c r="AH31" s="60">
        <v>11</v>
      </c>
      <c r="AI31" s="60">
        <v>20</v>
      </c>
      <c r="AJ31" s="54">
        <f t="shared" ref="AJ31:AJ34" si="17">SUM(AD31:AI31)</f>
        <v>39</v>
      </c>
    </row>
    <row r="32" spans="1:36">
      <c r="A32" s="29"/>
      <c r="B32" s="61"/>
      <c r="C32" s="49"/>
      <c r="D32" s="50"/>
      <c r="E32" s="50"/>
      <c r="F32" s="50"/>
      <c r="G32" s="51"/>
      <c r="H32" s="55"/>
      <c r="I32" s="55"/>
      <c r="J32" s="50"/>
      <c r="K32" s="50"/>
      <c r="L32" s="57"/>
      <c r="M32" s="49"/>
      <c r="N32" s="50"/>
      <c r="O32" s="50"/>
      <c r="P32" s="51"/>
      <c r="Q32" s="53"/>
      <c r="R32" s="54"/>
      <c r="S32" s="55"/>
      <c r="T32" s="121"/>
      <c r="U32" s="55"/>
      <c r="V32" s="51"/>
      <c r="W32" s="55"/>
      <c r="X32" s="50"/>
      <c r="Y32" s="50"/>
      <c r="Z32" s="50"/>
      <c r="AA32" s="57"/>
      <c r="AB32" s="57"/>
      <c r="AC32" s="57">
        <f t="shared" si="16"/>
        <v>0</v>
      </c>
      <c r="AD32" s="58"/>
      <c r="AE32" s="59"/>
      <c r="AF32" s="59"/>
      <c r="AG32" s="59"/>
      <c r="AH32" s="60"/>
      <c r="AI32" s="60"/>
      <c r="AJ32" s="54">
        <f t="shared" si="17"/>
        <v>0</v>
      </c>
    </row>
    <row r="33" spans="1:36">
      <c r="A33" s="29"/>
      <c r="B33" s="61"/>
      <c r="C33" s="49"/>
      <c r="D33" s="50"/>
      <c r="E33" s="50"/>
      <c r="F33" s="50"/>
      <c r="G33" s="51"/>
      <c r="H33" s="55"/>
      <c r="I33" s="55"/>
      <c r="J33" s="50"/>
      <c r="K33" s="50"/>
      <c r="L33" s="57"/>
      <c r="M33" s="49"/>
      <c r="N33" s="50"/>
      <c r="O33" s="50"/>
      <c r="P33" s="51"/>
      <c r="Q33" s="53"/>
      <c r="R33" s="54"/>
      <c r="S33" s="55"/>
      <c r="T33" s="121"/>
      <c r="U33" s="55"/>
      <c r="V33" s="51"/>
      <c r="W33" s="55"/>
      <c r="X33" s="50"/>
      <c r="Y33" s="50"/>
      <c r="Z33" s="50"/>
      <c r="AA33" s="57"/>
      <c r="AB33" s="57"/>
      <c r="AC33" s="57">
        <f t="shared" si="16"/>
        <v>0</v>
      </c>
      <c r="AD33" s="58"/>
      <c r="AE33" s="59"/>
      <c r="AF33" s="59"/>
      <c r="AG33" s="59"/>
      <c r="AH33" s="60"/>
      <c r="AI33" s="60"/>
      <c r="AJ33" s="54">
        <f t="shared" si="17"/>
        <v>0</v>
      </c>
    </row>
    <row r="34" spans="1:36">
      <c r="A34" s="29"/>
      <c r="B34" s="61"/>
      <c r="C34" s="49"/>
      <c r="D34" s="50"/>
      <c r="E34" s="50"/>
      <c r="F34" s="50"/>
      <c r="G34" s="51"/>
      <c r="H34" s="55"/>
      <c r="I34" s="55"/>
      <c r="J34" s="50"/>
      <c r="K34" s="50"/>
      <c r="L34" s="57"/>
      <c r="M34" s="49"/>
      <c r="N34" s="50"/>
      <c r="O34" s="50"/>
      <c r="P34" s="51"/>
      <c r="Q34" s="77"/>
      <c r="R34" s="54"/>
      <c r="S34" s="78"/>
      <c r="T34" s="123"/>
      <c r="U34" s="78"/>
      <c r="V34" s="81"/>
      <c r="W34" s="55"/>
      <c r="X34" s="50"/>
      <c r="Y34" s="50"/>
      <c r="Z34" s="50"/>
      <c r="AA34" s="57"/>
      <c r="AB34" s="57"/>
      <c r="AC34" s="57">
        <f t="shared" si="16"/>
        <v>0</v>
      </c>
      <c r="AD34" s="58"/>
      <c r="AE34" s="59"/>
      <c r="AF34" s="59"/>
      <c r="AG34" s="59"/>
      <c r="AH34" s="60"/>
      <c r="AI34" s="60"/>
      <c r="AJ34" s="54">
        <f t="shared" si="17"/>
        <v>0</v>
      </c>
    </row>
    <row r="35" ht="17.55" spans="1:36">
      <c r="A35" s="83" t="s">
        <v>126</v>
      </c>
      <c r="B35" s="84"/>
      <c r="C35" s="85">
        <f>SUM(C30:C31)</f>
        <v>2</v>
      </c>
      <c r="D35" s="86">
        <f>SUM(D30:D31)</f>
        <v>2</v>
      </c>
      <c r="E35" s="86">
        <f>SUM(E30:E31)</f>
        <v>1</v>
      </c>
      <c r="F35" s="86">
        <f>SUM(F30:F31)</f>
        <v>1</v>
      </c>
      <c r="G35" s="87">
        <f>SUM(G30:G31)</f>
        <v>0</v>
      </c>
      <c r="H35" s="88">
        <f t="shared" ref="H35:V35" si="18">SUM(H30:H31)</f>
        <v>2</v>
      </c>
      <c r="I35" s="86">
        <f t="shared" si="18"/>
        <v>2</v>
      </c>
      <c r="J35" s="86">
        <f t="shared" si="18"/>
        <v>1</v>
      </c>
      <c r="K35" s="86">
        <f t="shared" si="18"/>
        <v>1</v>
      </c>
      <c r="L35" s="89">
        <f t="shared" si="18"/>
        <v>0</v>
      </c>
      <c r="M35" s="90">
        <f t="shared" si="18"/>
        <v>3</v>
      </c>
      <c r="N35" s="91">
        <f t="shared" si="18"/>
        <v>1</v>
      </c>
      <c r="O35" s="91">
        <f t="shared" si="18"/>
        <v>1</v>
      </c>
      <c r="P35" s="92">
        <f t="shared" si="18"/>
        <v>0</v>
      </c>
      <c r="Q35" s="93">
        <f t="shared" si="18"/>
        <v>47.7</v>
      </c>
      <c r="R35" s="94">
        <f t="shared" si="18"/>
        <v>6.2</v>
      </c>
      <c r="S35" s="95">
        <f t="shared" si="18"/>
        <v>25</v>
      </c>
      <c r="T35" s="125">
        <f t="shared" si="18"/>
        <v>558.26</v>
      </c>
      <c r="U35" s="88">
        <f t="shared" si="18"/>
        <v>3573</v>
      </c>
      <c r="V35" s="87">
        <f t="shared" si="18"/>
        <v>296</v>
      </c>
      <c r="W35" s="97">
        <f t="shared" ref="W35:AJ35" si="19">SUM(W30:W31)</f>
        <v>2</v>
      </c>
      <c r="X35" s="98">
        <f t="shared" si="19"/>
        <v>0</v>
      </c>
      <c r="Y35" s="98">
        <f t="shared" si="19"/>
        <v>4</v>
      </c>
      <c r="Z35" s="98">
        <f t="shared" si="19"/>
        <v>2</v>
      </c>
      <c r="AA35" s="98">
        <f t="shared" si="19"/>
        <v>5</v>
      </c>
      <c r="AB35" s="98">
        <f t="shared" si="19"/>
        <v>8</v>
      </c>
      <c r="AC35" s="98">
        <f t="shared" si="19"/>
        <v>21</v>
      </c>
      <c r="AD35" s="99">
        <f t="shared" si="19"/>
        <v>7</v>
      </c>
      <c r="AE35" s="100">
        <f t="shared" si="19"/>
        <v>0</v>
      </c>
      <c r="AF35" s="100">
        <f t="shared" si="19"/>
        <v>8.5</v>
      </c>
      <c r="AG35" s="100">
        <f t="shared" si="19"/>
        <v>4</v>
      </c>
      <c r="AH35" s="100">
        <f t="shared" si="19"/>
        <v>13</v>
      </c>
      <c r="AI35" s="100">
        <f t="shared" si="19"/>
        <v>38</v>
      </c>
      <c r="AJ35" s="101">
        <f t="shared" si="19"/>
        <v>70.5</v>
      </c>
    </row>
    <row r="36" s="4" customFormat="1" ht="37.2" customHeight="1" spans="1:36">
      <c r="A36" s="102" t="s">
        <v>195</v>
      </c>
      <c r="B36" s="103"/>
      <c r="C36" s="104">
        <f t="shared" ref="C36:S36" si="20">C11+C17+C23+C29+C35</f>
        <v>46</v>
      </c>
      <c r="D36" s="105">
        <f t="shared" si="20"/>
        <v>42</v>
      </c>
      <c r="E36" s="105">
        <f t="shared" si="20"/>
        <v>8</v>
      </c>
      <c r="F36" s="105">
        <f t="shared" si="20"/>
        <v>33</v>
      </c>
      <c r="G36" s="106">
        <f t="shared" si="20"/>
        <v>1</v>
      </c>
      <c r="H36" s="107">
        <f t="shared" si="20"/>
        <v>37</v>
      </c>
      <c r="I36" s="105">
        <f t="shared" si="20"/>
        <v>34</v>
      </c>
      <c r="J36" s="105">
        <f t="shared" si="20"/>
        <v>14</v>
      </c>
      <c r="K36" s="105">
        <f t="shared" si="20"/>
        <v>18</v>
      </c>
      <c r="L36" s="108">
        <f t="shared" si="20"/>
        <v>2</v>
      </c>
      <c r="M36" s="109">
        <f t="shared" si="20"/>
        <v>18</v>
      </c>
      <c r="N36" s="110">
        <f t="shared" si="20"/>
        <v>6</v>
      </c>
      <c r="O36" s="110">
        <f t="shared" si="20"/>
        <v>5</v>
      </c>
      <c r="P36" s="111">
        <f t="shared" si="20"/>
        <v>1</v>
      </c>
      <c r="Q36" s="112">
        <f t="shared" si="20"/>
        <v>713.6</v>
      </c>
      <c r="R36" s="113">
        <f t="shared" si="20"/>
        <v>51.8</v>
      </c>
      <c r="S36" s="114">
        <f t="shared" si="20"/>
        <v>212</v>
      </c>
      <c r="T36" s="126">
        <f t="shared" ref="T36:AJ36" si="21">T11+T17+T23+T29+T35</f>
        <v>4999.83</v>
      </c>
      <c r="U36" s="107">
        <f t="shared" si="21"/>
        <v>25291</v>
      </c>
      <c r="V36" s="105">
        <f t="shared" si="21"/>
        <v>2616</v>
      </c>
      <c r="W36" s="116">
        <f t="shared" si="21"/>
        <v>58</v>
      </c>
      <c r="X36" s="116">
        <f t="shared" si="21"/>
        <v>15</v>
      </c>
      <c r="Y36" s="116">
        <f t="shared" si="21"/>
        <v>30</v>
      </c>
      <c r="Z36" s="116">
        <f t="shared" si="21"/>
        <v>19</v>
      </c>
      <c r="AA36" s="116">
        <f t="shared" si="21"/>
        <v>67</v>
      </c>
      <c r="AB36" s="116">
        <f t="shared" si="21"/>
        <v>51</v>
      </c>
      <c r="AC36" s="116">
        <f t="shared" si="21"/>
        <v>240</v>
      </c>
      <c r="AD36" s="117">
        <f t="shared" si="21"/>
        <v>217.5</v>
      </c>
      <c r="AE36" s="118">
        <f t="shared" si="21"/>
        <v>55.5</v>
      </c>
      <c r="AF36" s="118">
        <f t="shared" si="21"/>
        <v>105.5</v>
      </c>
      <c r="AG36" s="118">
        <f t="shared" si="21"/>
        <v>70.5</v>
      </c>
      <c r="AH36" s="118">
        <f t="shared" si="21"/>
        <v>249</v>
      </c>
      <c r="AI36" s="118">
        <f t="shared" si="21"/>
        <v>178.5</v>
      </c>
      <c r="AJ36" s="113">
        <f t="shared" si="21"/>
        <v>876.5</v>
      </c>
    </row>
    <row r="41" spans="1:36">
      <c r="T41" s="5"/>
      <c r="W41" s="2"/>
    </row>
    <row r="42" spans="1:36">
      <c r="T42" s="5"/>
      <c r="W42" s="2"/>
    </row>
    <row r="43" spans="1:36">
      <c r="T43" s="5"/>
      <c r="W43" s="2"/>
    </row>
    <row r="44" spans="1:36">
      <c r="T44" s="5"/>
      <c r="W44" s="2"/>
    </row>
    <row r="45" spans="1:36">
      <c r="T45" s="5"/>
      <c r="W45" s="2"/>
    </row>
    <row r="46" spans="1:36">
      <c r="T46" s="5"/>
      <c r="W46" s="2"/>
    </row>
    <row r="47" spans="1:36">
      <c r="T47" s="5"/>
      <c r="W47" s="2"/>
    </row>
    <row r="48" spans="1:36">
      <c r="T48" s="5"/>
      <c r="W48" s="2"/>
    </row>
    <row r="49" spans="20:23">
      <c r="T49" s="5"/>
      <c r="W49" s="2"/>
    </row>
    <row r="50" spans="20:23">
      <c r="T50" s="5"/>
      <c r="W50" s="2"/>
    </row>
    <row r="51" spans="20:23">
      <c r="T51" s="5"/>
      <c r="W51" s="2"/>
    </row>
    <row r="52" spans="20:23">
      <c r="T52" s="5"/>
      <c r="W52" s="2"/>
    </row>
    <row r="53" spans="20:23">
      <c r="T53" s="5"/>
      <c r="W53" s="2"/>
    </row>
    <row r="54" spans="20:23">
      <c r="T54" s="5"/>
      <c r="W54" s="2"/>
    </row>
    <row r="55" spans="20:23">
      <c r="T55" s="5"/>
      <c r="W55" s="2"/>
    </row>
    <row r="56" spans="20:23">
      <c r="T56" s="5"/>
      <c r="W56" s="2"/>
    </row>
    <row r="57" spans="20:23">
      <c r="T57" s="5"/>
      <c r="W57" s="2"/>
    </row>
    <row r="58" spans="20:23">
      <c r="T58" s="5"/>
      <c r="W58" s="2"/>
    </row>
    <row r="59" spans="20:23">
      <c r="T59" s="5"/>
      <c r="W59" s="2"/>
    </row>
    <row r="60" spans="20:23">
      <c r="T60" s="5"/>
      <c r="W60" s="2"/>
    </row>
    <row r="61" spans="20:23">
      <c r="T61" s="5"/>
      <c r="W61" s="2"/>
    </row>
    <row r="62" spans="20:23">
      <c r="T62" s="5"/>
      <c r="W62" s="2"/>
    </row>
    <row r="63" spans="20:23">
      <c r="T63" s="5"/>
      <c r="W63" s="2"/>
    </row>
    <row r="64" spans="20:23">
      <c r="T64" s="5"/>
      <c r="W64" s="2"/>
    </row>
    <row r="65" spans="20:23">
      <c r="T65" s="5"/>
      <c r="W65" s="2"/>
    </row>
    <row r="66" spans="20:23">
      <c r="T66" s="5"/>
      <c r="W66" s="2"/>
    </row>
    <row r="67" spans="20:23">
      <c r="T67" s="5"/>
      <c r="W67" s="2"/>
    </row>
    <row r="68" spans="20:23">
      <c r="T68" s="5"/>
      <c r="W68" s="2"/>
    </row>
    <row r="69" spans="20:23">
      <c r="T69" s="5"/>
      <c r="W69" s="2"/>
    </row>
    <row r="70" spans="20:23">
      <c r="T70" s="5"/>
      <c r="W70" s="2"/>
    </row>
    <row r="71" spans="20:23">
      <c r="T71" s="5"/>
      <c r="W71" s="2"/>
    </row>
    <row r="72" spans="20:23">
      <c r="T72" s="5"/>
      <c r="W72" s="2"/>
    </row>
    <row r="73" spans="20:23">
      <c r="T73" s="5"/>
      <c r="W73" s="2"/>
    </row>
    <row r="74" spans="20:23">
      <c r="T74" s="5"/>
      <c r="W74" s="2"/>
    </row>
  </sheetData>
  <mergeCells count="20">
    <mergeCell ref="C4:G4"/>
    <mergeCell ref="H4:L4"/>
    <mergeCell ref="M4:P4"/>
    <mergeCell ref="Q4:R4"/>
    <mergeCell ref="S4:T4"/>
    <mergeCell ref="U4:V4"/>
    <mergeCell ref="W4:AC4"/>
    <mergeCell ref="AD4:AJ4"/>
    <mergeCell ref="A11:B11"/>
    <mergeCell ref="A17:B17"/>
    <mergeCell ref="A23:B23"/>
    <mergeCell ref="A29:B29"/>
    <mergeCell ref="A35:B35"/>
    <mergeCell ref="A36:B36"/>
    <mergeCell ref="A6:A10"/>
    <mergeCell ref="A12:A16"/>
    <mergeCell ref="A18:A22"/>
    <mergeCell ref="A24:A28"/>
    <mergeCell ref="A30:A34"/>
    <mergeCell ref="E1:AA2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74"/>
  <sheetViews>
    <sheetView workbookViewId="0">
      <selection activeCell="A1" sqref="A1"/>
    </sheetView>
  </sheetViews>
  <sheetFormatPr defaultColWidth="13.6923076923077" defaultRowHeight="16.8"/>
  <cols>
    <col min="1" max="1" width="3.68269230769231" style="2" customWidth="1"/>
    <col min="2" max="22" width="13.6923076923077" style="2" customWidth="1"/>
    <col min="23" max="23" width="13.6923076923077" style="5" customWidth="1"/>
    <col min="24" max="16384" width="13.6923076923077" style="2" customWidth="1"/>
  </cols>
  <sheetData>
    <row r="1" spans="1:36">
      <c r="E1" s="6" t="s">
        <v>104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36"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17.55"/>
    <row r="4" s="1" customFormat="1" ht="17.55" spans="1:36">
      <c r="C4" s="8" t="s">
        <v>105</v>
      </c>
      <c r="D4" s="9"/>
      <c r="E4" s="9"/>
      <c r="F4" s="9"/>
      <c r="G4" s="10"/>
      <c r="H4" s="9" t="s">
        <v>106</v>
      </c>
      <c r="I4" s="9"/>
      <c r="J4" s="9"/>
      <c r="K4" s="9"/>
      <c r="L4" s="9"/>
      <c r="M4" s="8" t="s">
        <v>107</v>
      </c>
      <c r="N4" s="9"/>
      <c r="O4" s="9"/>
      <c r="P4" s="11"/>
      <c r="Q4" s="12" t="s">
        <v>124</v>
      </c>
      <c r="R4" s="10"/>
      <c r="S4" s="9" t="s">
        <v>109</v>
      </c>
      <c r="T4" s="11"/>
      <c r="U4" s="13" t="s">
        <v>110</v>
      </c>
      <c r="V4" s="14"/>
      <c r="W4" s="12" t="s">
        <v>111</v>
      </c>
      <c r="X4" s="15"/>
      <c r="Y4" s="15"/>
      <c r="Z4" s="15"/>
      <c r="AA4" s="15"/>
      <c r="AB4" s="15"/>
      <c r="AC4" s="15"/>
      <c r="AD4" s="12" t="s">
        <v>112</v>
      </c>
      <c r="AE4" s="15"/>
      <c r="AF4" s="15"/>
      <c r="AG4" s="15"/>
      <c r="AH4" s="15"/>
      <c r="AI4" s="15"/>
      <c r="AJ4" s="10"/>
    </row>
    <row r="5" s="2" customFormat="1" ht="17.55" spans="1:36">
      <c r="A5" s="16" t="s">
        <v>196</v>
      </c>
      <c r="B5" s="17" t="s">
        <v>55</v>
      </c>
      <c r="C5" s="18" t="s">
        <v>47</v>
      </c>
      <c r="D5" s="19" t="s">
        <v>114</v>
      </c>
      <c r="E5" s="20" t="s">
        <v>40</v>
      </c>
      <c r="F5" s="19" t="s">
        <v>41</v>
      </c>
      <c r="G5" s="21" t="s">
        <v>42</v>
      </c>
      <c r="H5" s="22" t="s">
        <v>47</v>
      </c>
      <c r="I5" s="22" t="s">
        <v>114</v>
      </c>
      <c r="J5" s="23" t="s">
        <v>40</v>
      </c>
      <c r="K5" s="23" t="s">
        <v>41</v>
      </c>
      <c r="L5" s="24" t="s">
        <v>42</v>
      </c>
      <c r="M5" s="25" t="s">
        <v>47</v>
      </c>
      <c r="N5" s="23" t="s">
        <v>48</v>
      </c>
      <c r="O5" s="23" t="s">
        <v>49</v>
      </c>
      <c r="P5" s="26" t="s">
        <v>50</v>
      </c>
      <c r="Q5" s="25" t="s">
        <v>115</v>
      </c>
      <c r="R5" s="26" t="s">
        <v>116</v>
      </c>
      <c r="S5" s="22" t="s">
        <v>72</v>
      </c>
      <c r="T5" s="27" t="s">
        <v>73</v>
      </c>
      <c r="U5" s="19" t="s">
        <v>74</v>
      </c>
      <c r="V5" s="28" t="s">
        <v>75</v>
      </c>
      <c r="W5" s="25" t="s">
        <v>117</v>
      </c>
      <c r="X5" s="23" t="s">
        <v>118</v>
      </c>
      <c r="Y5" s="23" t="s">
        <v>119</v>
      </c>
      <c r="Z5" s="23" t="s">
        <v>110</v>
      </c>
      <c r="AA5" s="24" t="s">
        <v>120</v>
      </c>
      <c r="AB5" s="24" t="s">
        <v>121</v>
      </c>
      <c r="AC5" s="24" t="s">
        <v>39</v>
      </c>
      <c r="AD5" s="25" t="s">
        <v>117</v>
      </c>
      <c r="AE5" s="23" t="s">
        <v>118</v>
      </c>
      <c r="AF5" s="23" t="s">
        <v>122</v>
      </c>
      <c r="AG5" s="23" t="s">
        <v>110</v>
      </c>
      <c r="AH5" s="24" t="s">
        <v>120</v>
      </c>
      <c r="AI5" s="24" t="s">
        <v>121</v>
      </c>
      <c r="AJ5" s="26" t="s">
        <v>39</v>
      </c>
    </row>
    <row r="6" spans="1:36">
      <c r="A6" s="29" t="s">
        <v>184</v>
      </c>
      <c r="B6" s="30"/>
      <c r="C6" s="31"/>
      <c r="D6" s="32"/>
      <c r="E6" s="32"/>
      <c r="F6" s="32"/>
      <c r="G6" s="33"/>
      <c r="H6" s="34"/>
      <c r="I6" s="34"/>
      <c r="J6" s="32"/>
      <c r="K6" s="32"/>
      <c r="L6" s="35"/>
      <c r="M6" s="36"/>
      <c r="N6" s="37"/>
      <c r="O6" s="37"/>
      <c r="P6" s="38"/>
      <c r="Q6" s="39"/>
      <c r="R6" s="40"/>
      <c r="S6" s="41"/>
      <c r="T6" s="42"/>
      <c r="U6" s="31"/>
      <c r="V6" s="33"/>
      <c r="W6" s="41"/>
      <c r="X6" s="37"/>
      <c r="Y6" s="37"/>
      <c r="Z6" s="37"/>
      <c r="AA6" s="43"/>
      <c r="AB6" s="43"/>
      <c r="AC6" s="43">
        <f>SUM(W6:AB6)</f>
        <v>0</v>
      </c>
      <c r="AD6" s="44"/>
      <c r="AE6" s="45"/>
      <c r="AF6" s="45"/>
      <c r="AG6" s="45"/>
      <c r="AH6" s="46"/>
      <c r="AI6" s="46"/>
      <c r="AJ6" s="47">
        <f>SUM(AD6:AI6)</f>
        <v>0</v>
      </c>
    </row>
    <row r="7" spans="1:36">
      <c r="A7" s="29"/>
      <c r="B7" s="30"/>
      <c r="C7" s="49"/>
      <c r="D7" s="50"/>
      <c r="E7" s="50"/>
      <c r="F7" s="50"/>
      <c r="G7" s="51"/>
      <c r="H7" s="52"/>
      <c r="I7" s="50"/>
      <c r="J7" s="50"/>
      <c r="K7" s="50"/>
      <c r="L7" s="52"/>
      <c r="M7" s="49"/>
      <c r="N7" s="50"/>
      <c r="O7" s="50"/>
      <c r="P7" s="51"/>
      <c r="Q7" s="53"/>
      <c r="R7" s="54"/>
      <c r="S7" s="55"/>
      <c r="T7" s="56"/>
      <c r="U7" s="49"/>
      <c r="V7" s="51"/>
      <c r="W7" s="55"/>
      <c r="X7" s="50"/>
      <c r="Y7" s="50"/>
      <c r="Z7" s="50"/>
      <c r="AA7" s="57"/>
      <c r="AB7" s="57"/>
      <c r="AC7" s="57">
        <f>SUM(W7:AB7)</f>
        <v>0</v>
      </c>
      <c r="AD7" s="58"/>
      <c r="AE7" s="59"/>
      <c r="AF7" s="59"/>
      <c r="AG7" s="59"/>
      <c r="AH7" s="60"/>
      <c r="AI7" s="60"/>
      <c r="AJ7" s="54">
        <f>SUM(AD7:AI7)</f>
        <v>0</v>
      </c>
    </row>
    <row r="8" spans="1:36">
      <c r="A8" s="29"/>
      <c r="B8" s="48">
        <v>46113</v>
      </c>
      <c r="C8" s="49">
        <v>1</v>
      </c>
      <c r="D8" s="50">
        <v>1</v>
      </c>
      <c r="E8" s="50">
        <v>0</v>
      </c>
      <c r="F8" s="50">
        <v>1</v>
      </c>
      <c r="G8" s="51">
        <v>0</v>
      </c>
      <c r="H8" s="52">
        <v>1</v>
      </c>
      <c r="I8" s="50">
        <v>1</v>
      </c>
      <c r="J8" s="50">
        <v>0</v>
      </c>
      <c r="K8" s="50">
        <v>1</v>
      </c>
      <c r="L8" s="52">
        <v>0</v>
      </c>
      <c r="M8" s="61">
        <v>0</v>
      </c>
      <c r="N8" s="50">
        <v>0</v>
      </c>
      <c r="O8" s="50">
        <v>0</v>
      </c>
      <c r="P8" s="51">
        <v>0</v>
      </c>
      <c r="Q8" s="53">
        <v>11.1</v>
      </c>
      <c r="R8" s="54">
        <v>0</v>
      </c>
      <c r="S8" s="55">
        <v>7</v>
      </c>
      <c r="T8" s="56">
        <v>194.06</v>
      </c>
      <c r="U8" s="49">
        <v>1122</v>
      </c>
      <c r="V8" s="51">
        <v>67</v>
      </c>
      <c r="W8" s="55">
        <v>4</v>
      </c>
      <c r="X8" s="50">
        <v>1</v>
      </c>
      <c r="Y8" s="50">
        <v>0</v>
      </c>
      <c r="Z8" s="50">
        <v>2</v>
      </c>
      <c r="AA8" s="57">
        <v>3</v>
      </c>
      <c r="AB8" s="57">
        <v>3</v>
      </c>
      <c r="AC8" s="57">
        <f>SUM(W8:AB8)</f>
        <v>13</v>
      </c>
      <c r="AD8" s="58">
        <v>17</v>
      </c>
      <c r="AE8" s="59">
        <v>3.5</v>
      </c>
      <c r="AF8" s="59">
        <v>0</v>
      </c>
      <c r="AG8" s="59">
        <v>5.5</v>
      </c>
      <c r="AH8" s="60">
        <v>15</v>
      </c>
      <c r="AI8" s="60">
        <v>15.5</v>
      </c>
      <c r="AJ8" s="54">
        <f>SUM(AD8:AI8)</f>
        <v>56.5</v>
      </c>
    </row>
    <row r="9" spans="1:36">
      <c r="A9" s="29"/>
      <c r="B9" s="48">
        <v>46114</v>
      </c>
      <c r="C9" s="49">
        <v>4</v>
      </c>
      <c r="D9" s="50">
        <v>4</v>
      </c>
      <c r="E9" s="50">
        <v>0</v>
      </c>
      <c r="F9" s="50">
        <v>4</v>
      </c>
      <c r="G9" s="51">
        <v>0</v>
      </c>
      <c r="H9" s="52">
        <v>2</v>
      </c>
      <c r="I9" s="50">
        <v>2</v>
      </c>
      <c r="J9" s="50">
        <v>1</v>
      </c>
      <c r="K9" s="50">
        <v>1</v>
      </c>
      <c r="L9" s="52">
        <v>0</v>
      </c>
      <c r="M9" s="61">
        <v>0</v>
      </c>
      <c r="N9" s="50">
        <v>0</v>
      </c>
      <c r="O9" s="50">
        <v>0</v>
      </c>
      <c r="P9" s="51">
        <v>0</v>
      </c>
      <c r="Q9" s="53">
        <v>50.5</v>
      </c>
      <c r="R9" s="54">
        <v>4.2</v>
      </c>
      <c r="S9" s="55">
        <v>5</v>
      </c>
      <c r="T9" s="56">
        <v>147.79</v>
      </c>
      <c r="U9" s="49">
        <v>869</v>
      </c>
      <c r="V9" s="51">
        <v>55</v>
      </c>
      <c r="W9" s="55">
        <v>3</v>
      </c>
      <c r="X9" s="50">
        <v>1</v>
      </c>
      <c r="Y9" s="50">
        <v>1</v>
      </c>
      <c r="Z9" s="50">
        <v>1</v>
      </c>
      <c r="AA9" s="57">
        <v>4</v>
      </c>
      <c r="AB9" s="57">
        <v>4</v>
      </c>
      <c r="AC9" s="57">
        <f>SUM(W9:AB9)</f>
        <v>14</v>
      </c>
      <c r="AD9" s="58">
        <v>14.5</v>
      </c>
      <c r="AE9" s="59">
        <v>2.5</v>
      </c>
      <c r="AF9" s="59">
        <v>4</v>
      </c>
      <c r="AG9" s="59">
        <v>5.5</v>
      </c>
      <c r="AH9" s="60">
        <v>16</v>
      </c>
      <c r="AI9" s="60">
        <v>19</v>
      </c>
      <c r="AJ9" s="54">
        <f>SUM(AD9:AI9)</f>
        <v>61.5</v>
      </c>
    </row>
    <row r="10" spans="1:36">
      <c r="A10" s="62"/>
      <c r="B10" s="48">
        <v>46115</v>
      </c>
      <c r="C10" s="49">
        <v>3</v>
      </c>
      <c r="D10" s="50">
        <v>2</v>
      </c>
      <c r="E10" s="50">
        <v>1</v>
      </c>
      <c r="F10" s="50">
        <v>1</v>
      </c>
      <c r="G10" s="51">
        <v>0</v>
      </c>
      <c r="H10" s="52">
        <v>0</v>
      </c>
      <c r="I10" s="50">
        <v>0</v>
      </c>
      <c r="J10" s="50">
        <v>0</v>
      </c>
      <c r="K10" s="50">
        <v>0</v>
      </c>
      <c r="L10" s="52">
        <v>0</v>
      </c>
      <c r="M10" s="61">
        <v>1</v>
      </c>
      <c r="N10" s="50">
        <v>0</v>
      </c>
      <c r="O10" s="50">
        <v>0</v>
      </c>
      <c r="P10" s="51">
        <v>0</v>
      </c>
      <c r="Q10" s="53">
        <v>63</v>
      </c>
      <c r="R10" s="54">
        <v>0</v>
      </c>
      <c r="S10" s="55">
        <v>10</v>
      </c>
      <c r="T10" s="56">
        <v>157.22</v>
      </c>
      <c r="U10" s="49">
        <v>1655</v>
      </c>
      <c r="V10" s="51">
        <v>98</v>
      </c>
      <c r="W10" s="55">
        <v>3</v>
      </c>
      <c r="X10" s="50">
        <v>1</v>
      </c>
      <c r="Y10" s="50">
        <v>1</v>
      </c>
      <c r="Z10" s="50">
        <v>0</v>
      </c>
      <c r="AA10" s="57">
        <v>1</v>
      </c>
      <c r="AB10" s="57">
        <v>1</v>
      </c>
      <c r="AC10" s="57">
        <f>SUM(W10:AB10)</f>
        <v>7</v>
      </c>
      <c r="AD10" s="58">
        <v>6.5</v>
      </c>
      <c r="AE10" s="59">
        <v>5.5</v>
      </c>
      <c r="AF10" s="59">
        <v>2.5</v>
      </c>
      <c r="AG10" s="59">
        <v>0</v>
      </c>
      <c r="AH10" s="60">
        <v>2.5</v>
      </c>
      <c r="AI10" s="60">
        <v>3.5</v>
      </c>
      <c r="AJ10" s="54">
        <f>SUM(AD10:AI10)</f>
        <v>20.5</v>
      </c>
    </row>
    <row r="11" s="3" customFormat="1" spans="1:36">
      <c r="A11" s="63" t="s">
        <v>126</v>
      </c>
      <c r="B11" s="64"/>
      <c r="C11" s="65">
        <f>SUM(C8:C10)</f>
        <v>8</v>
      </c>
      <c r="D11" s="66">
        <f>SUM(D8:D10)</f>
        <v>7</v>
      </c>
      <c r="E11" s="66">
        <f>SUM(E8:E10)</f>
        <v>1</v>
      </c>
      <c r="F11" s="66">
        <f>SUM(F8:F10)</f>
        <v>6</v>
      </c>
      <c r="G11" s="67">
        <f>SUM(G8:G10)</f>
        <v>0</v>
      </c>
      <c r="H11" s="68">
        <f t="shared" ref="H11:V11" si="0">SUM(H8:H10)</f>
        <v>3</v>
      </c>
      <c r="I11" s="66">
        <f t="shared" si="0"/>
        <v>3</v>
      </c>
      <c r="J11" s="66">
        <f t="shared" si="0"/>
        <v>1</v>
      </c>
      <c r="K11" s="66">
        <f t="shared" si="0"/>
        <v>2</v>
      </c>
      <c r="L11" s="68">
        <f t="shared" si="0"/>
        <v>0</v>
      </c>
      <c r="M11" s="69">
        <f t="shared" si="0"/>
        <v>1</v>
      </c>
      <c r="N11" s="66">
        <f t="shared" si="0"/>
        <v>0</v>
      </c>
      <c r="O11" s="66">
        <f t="shared" si="0"/>
        <v>0</v>
      </c>
      <c r="P11" s="67">
        <f t="shared" si="0"/>
        <v>0</v>
      </c>
      <c r="Q11" s="70">
        <f t="shared" si="0"/>
        <v>124.6</v>
      </c>
      <c r="R11" s="71">
        <f t="shared" si="0"/>
        <v>4.2</v>
      </c>
      <c r="S11" s="72">
        <f t="shared" si="0"/>
        <v>22</v>
      </c>
      <c r="T11" s="73">
        <f t="shared" si="0"/>
        <v>499.07</v>
      </c>
      <c r="U11" s="65">
        <f t="shared" si="0"/>
        <v>3646</v>
      </c>
      <c r="V11" s="67">
        <f t="shared" si="0"/>
        <v>220</v>
      </c>
      <c r="W11" s="68">
        <f t="shared" ref="W11:AJ11" si="1">SUM(W8:W10)</f>
        <v>10</v>
      </c>
      <c r="X11" s="74">
        <f t="shared" si="1"/>
        <v>3</v>
      </c>
      <c r="Y11" s="74">
        <f t="shared" si="1"/>
        <v>2</v>
      </c>
      <c r="Z11" s="74">
        <f t="shared" si="1"/>
        <v>3</v>
      </c>
      <c r="AA11" s="74">
        <f t="shared" si="1"/>
        <v>8</v>
      </c>
      <c r="AB11" s="74">
        <f t="shared" si="1"/>
        <v>8</v>
      </c>
      <c r="AC11" s="74">
        <f t="shared" si="1"/>
        <v>34</v>
      </c>
      <c r="AD11" s="70">
        <f t="shared" si="1"/>
        <v>38</v>
      </c>
      <c r="AE11" s="75">
        <f t="shared" si="1"/>
        <v>11.5</v>
      </c>
      <c r="AF11" s="75">
        <f t="shared" si="1"/>
        <v>6.5</v>
      </c>
      <c r="AG11" s="75">
        <f t="shared" si="1"/>
        <v>11</v>
      </c>
      <c r="AH11" s="75">
        <f t="shared" si="1"/>
        <v>33.5</v>
      </c>
      <c r="AI11" s="75">
        <f t="shared" si="1"/>
        <v>38</v>
      </c>
      <c r="AJ11" s="71">
        <f t="shared" si="1"/>
        <v>138.5</v>
      </c>
    </row>
    <row r="12" spans="1:36">
      <c r="A12" s="29" t="s">
        <v>185</v>
      </c>
      <c r="B12" s="48">
        <v>46118</v>
      </c>
      <c r="C12" s="49">
        <v>0</v>
      </c>
      <c r="D12" s="50">
        <v>0</v>
      </c>
      <c r="E12" s="50">
        <v>0</v>
      </c>
      <c r="F12" s="50">
        <v>0</v>
      </c>
      <c r="G12" s="51">
        <v>0</v>
      </c>
      <c r="H12" s="52">
        <v>1</v>
      </c>
      <c r="I12" s="50">
        <v>0</v>
      </c>
      <c r="J12" s="50">
        <v>0</v>
      </c>
      <c r="K12" s="50">
        <v>0</v>
      </c>
      <c r="L12" s="52">
        <v>0</v>
      </c>
      <c r="M12" s="61">
        <v>1</v>
      </c>
      <c r="N12" s="50">
        <v>0</v>
      </c>
      <c r="O12" s="50">
        <v>0</v>
      </c>
      <c r="P12" s="51">
        <v>1</v>
      </c>
      <c r="Q12" s="53">
        <v>49.5</v>
      </c>
      <c r="R12" s="54">
        <v>7.1</v>
      </c>
      <c r="S12" s="55">
        <v>16</v>
      </c>
      <c r="T12" s="56">
        <v>237.6</v>
      </c>
      <c r="U12" s="49">
        <v>552</v>
      </c>
      <c r="V12" s="51">
        <v>83</v>
      </c>
      <c r="W12" s="55">
        <v>1</v>
      </c>
      <c r="X12" s="50">
        <v>1</v>
      </c>
      <c r="Y12" s="50">
        <v>0</v>
      </c>
      <c r="Z12" s="50">
        <v>1</v>
      </c>
      <c r="AA12" s="57">
        <v>3</v>
      </c>
      <c r="AB12" s="57">
        <v>1</v>
      </c>
      <c r="AC12" s="57">
        <f>SUM(W12:AB12)</f>
        <v>7</v>
      </c>
      <c r="AD12" s="58">
        <v>4.5</v>
      </c>
      <c r="AE12" s="59">
        <v>3.5</v>
      </c>
      <c r="AF12" s="59">
        <v>0</v>
      </c>
      <c r="AG12" s="59">
        <v>5</v>
      </c>
      <c r="AH12" s="60">
        <v>13.5</v>
      </c>
      <c r="AI12" s="60">
        <v>2.5</v>
      </c>
      <c r="AJ12" s="54">
        <f>SUM(AD12:AI12)</f>
        <v>29</v>
      </c>
    </row>
    <row r="13" spans="1:36">
      <c r="A13" s="29"/>
      <c r="B13" s="48">
        <v>46119</v>
      </c>
      <c r="C13" s="49">
        <v>4</v>
      </c>
      <c r="D13" s="50">
        <v>3</v>
      </c>
      <c r="E13" s="50">
        <v>0</v>
      </c>
      <c r="F13" s="50">
        <v>3</v>
      </c>
      <c r="G13" s="51">
        <v>0</v>
      </c>
      <c r="H13" s="52">
        <v>1</v>
      </c>
      <c r="I13" s="50">
        <v>1</v>
      </c>
      <c r="J13" s="50">
        <v>0</v>
      </c>
      <c r="K13" s="50">
        <v>1</v>
      </c>
      <c r="L13" s="52">
        <v>0</v>
      </c>
      <c r="M13" s="61">
        <v>0</v>
      </c>
      <c r="N13" s="50">
        <v>0</v>
      </c>
      <c r="O13" s="50">
        <v>0</v>
      </c>
      <c r="P13" s="51">
        <v>0</v>
      </c>
      <c r="Q13" s="53">
        <v>14.4</v>
      </c>
      <c r="R13" s="54">
        <v>0</v>
      </c>
      <c r="S13" s="55">
        <v>9</v>
      </c>
      <c r="T13" s="56">
        <v>241.49</v>
      </c>
      <c r="U13" s="49">
        <v>1799</v>
      </c>
      <c r="V13" s="51">
        <v>234</v>
      </c>
      <c r="W13" s="55">
        <v>3</v>
      </c>
      <c r="X13" s="50">
        <v>0</v>
      </c>
      <c r="Y13" s="50">
        <v>1</v>
      </c>
      <c r="Z13" s="50">
        <v>0</v>
      </c>
      <c r="AA13" s="57">
        <v>1</v>
      </c>
      <c r="AB13" s="57">
        <v>3</v>
      </c>
      <c r="AC13" s="57">
        <f>SUM(W13:AB13)</f>
        <v>8</v>
      </c>
      <c r="AD13" s="58">
        <v>7.5</v>
      </c>
      <c r="AE13" s="59">
        <v>0</v>
      </c>
      <c r="AF13" s="59">
        <v>5</v>
      </c>
      <c r="AG13" s="59">
        <v>0</v>
      </c>
      <c r="AH13" s="60">
        <v>4.5</v>
      </c>
      <c r="AI13" s="60">
        <v>11.5</v>
      </c>
      <c r="AJ13" s="54">
        <f>SUM(AD13:AI13)</f>
        <v>28.5</v>
      </c>
    </row>
    <row r="14" spans="1:36">
      <c r="A14" s="29"/>
      <c r="B14" s="48">
        <v>46120</v>
      </c>
      <c r="C14" s="49">
        <v>0</v>
      </c>
      <c r="D14" s="50">
        <v>0</v>
      </c>
      <c r="E14" s="50">
        <v>0</v>
      </c>
      <c r="F14" s="50">
        <v>0</v>
      </c>
      <c r="G14" s="51">
        <v>0</v>
      </c>
      <c r="H14" s="52">
        <v>0</v>
      </c>
      <c r="I14" s="50">
        <v>0</v>
      </c>
      <c r="J14" s="50">
        <v>0</v>
      </c>
      <c r="K14" s="50">
        <v>0</v>
      </c>
      <c r="L14" s="52">
        <v>0</v>
      </c>
      <c r="M14" s="61">
        <v>0</v>
      </c>
      <c r="N14" s="50">
        <v>1</v>
      </c>
      <c r="O14" s="50">
        <v>1</v>
      </c>
      <c r="P14" s="51">
        <v>0</v>
      </c>
      <c r="Q14" s="53">
        <v>22.2</v>
      </c>
      <c r="R14" s="54">
        <v>0</v>
      </c>
      <c r="S14" s="55">
        <v>11</v>
      </c>
      <c r="T14" s="56">
        <v>254.04</v>
      </c>
      <c r="U14" s="49">
        <v>1903</v>
      </c>
      <c r="V14" s="51">
        <v>57</v>
      </c>
      <c r="W14" s="55">
        <v>1</v>
      </c>
      <c r="X14" s="50">
        <v>0</v>
      </c>
      <c r="Y14" s="50">
        <v>1</v>
      </c>
      <c r="Z14" s="50">
        <v>0</v>
      </c>
      <c r="AA14" s="57">
        <v>4</v>
      </c>
      <c r="AB14" s="57">
        <v>3</v>
      </c>
      <c r="AC14" s="57">
        <f>SUM(W14:AB14)</f>
        <v>9</v>
      </c>
      <c r="AD14" s="58">
        <v>3</v>
      </c>
      <c r="AE14" s="59">
        <v>0</v>
      </c>
      <c r="AF14" s="59">
        <v>3</v>
      </c>
      <c r="AG14" s="59">
        <v>0</v>
      </c>
      <c r="AH14" s="60">
        <v>11</v>
      </c>
      <c r="AI14" s="60">
        <v>11</v>
      </c>
      <c r="AJ14" s="54">
        <f>SUM(AD14:AI14)</f>
        <v>28</v>
      </c>
    </row>
    <row r="15" spans="1:36">
      <c r="A15" s="29"/>
      <c r="B15" s="48">
        <v>46121</v>
      </c>
      <c r="C15" s="49">
        <v>4</v>
      </c>
      <c r="D15" s="50">
        <v>4</v>
      </c>
      <c r="E15" s="50">
        <v>1</v>
      </c>
      <c r="F15" s="50">
        <v>3</v>
      </c>
      <c r="G15" s="51">
        <v>0</v>
      </c>
      <c r="H15" s="55">
        <v>1</v>
      </c>
      <c r="I15" s="55">
        <v>1</v>
      </c>
      <c r="J15" s="50">
        <v>1</v>
      </c>
      <c r="K15" s="50">
        <v>0</v>
      </c>
      <c r="L15" s="57">
        <v>0</v>
      </c>
      <c r="M15" s="49">
        <v>0</v>
      </c>
      <c r="N15" s="50">
        <v>0</v>
      </c>
      <c r="O15" s="50">
        <v>0</v>
      </c>
      <c r="P15" s="51">
        <v>0</v>
      </c>
      <c r="Q15" s="53">
        <v>21.6</v>
      </c>
      <c r="R15" s="54">
        <v>0</v>
      </c>
      <c r="S15" s="55">
        <v>12</v>
      </c>
      <c r="T15" s="56">
        <v>311.82</v>
      </c>
      <c r="U15" s="49">
        <v>1277</v>
      </c>
      <c r="V15" s="51">
        <v>86</v>
      </c>
      <c r="W15" s="55">
        <v>1</v>
      </c>
      <c r="X15" s="50">
        <v>1</v>
      </c>
      <c r="Y15" s="50">
        <v>0</v>
      </c>
      <c r="Z15" s="50">
        <v>1</v>
      </c>
      <c r="AA15" s="57">
        <v>1</v>
      </c>
      <c r="AB15" s="57">
        <v>2</v>
      </c>
      <c r="AC15" s="57">
        <f>SUM(W15:AB15)</f>
        <v>6</v>
      </c>
      <c r="AD15" s="58">
        <v>2.5</v>
      </c>
      <c r="AE15" s="59">
        <v>3.5</v>
      </c>
      <c r="AF15" s="59">
        <v>0</v>
      </c>
      <c r="AG15" s="59">
        <v>3.5</v>
      </c>
      <c r="AH15" s="60">
        <v>3</v>
      </c>
      <c r="AI15" s="60">
        <v>6</v>
      </c>
      <c r="AJ15" s="54">
        <f>SUM(AD15:AI15)</f>
        <v>18.5</v>
      </c>
    </row>
    <row r="16" spans="1:36">
      <c r="A16" s="29"/>
      <c r="B16" s="48">
        <v>46122</v>
      </c>
      <c r="C16" s="49">
        <v>4</v>
      </c>
      <c r="D16" s="50">
        <v>3</v>
      </c>
      <c r="E16" s="50">
        <v>1</v>
      </c>
      <c r="F16" s="50">
        <v>2</v>
      </c>
      <c r="G16" s="51">
        <v>0</v>
      </c>
      <c r="H16" s="55">
        <v>2</v>
      </c>
      <c r="I16" s="55">
        <v>2</v>
      </c>
      <c r="J16" s="50">
        <v>1</v>
      </c>
      <c r="K16" s="50">
        <v>1</v>
      </c>
      <c r="L16" s="57">
        <v>0</v>
      </c>
      <c r="M16" s="49">
        <v>1</v>
      </c>
      <c r="N16" s="50">
        <v>0</v>
      </c>
      <c r="O16" s="50">
        <v>1</v>
      </c>
      <c r="P16" s="51">
        <v>0</v>
      </c>
      <c r="Q16" s="77">
        <v>31</v>
      </c>
      <c r="R16" s="54">
        <v>0</v>
      </c>
      <c r="S16" s="78">
        <v>3</v>
      </c>
      <c r="T16" s="79">
        <v>55.94</v>
      </c>
      <c r="U16" s="80">
        <v>1628</v>
      </c>
      <c r="V16" s="81">
        <v>63</v>
      </c>
      <c r="W16" s="55">
        <v>3</v>
      </c>
      <c r="X16" s="50">
        <v>2</v>
      </c>
      <c r="Y16" s="50">
        <v>2</v>
      </c>
      <c r="Z16" s="50">
        <v>1</v>
      </c>
      <c r="AA16" s="57">
        <v>4</v>
      </c>
      <c r="AB16" s="57">
        <v>4</v>
      </c>
      <c r="AC16" s="57">
        <f>SUM(W16:AB16)</f>
        <v>16</v>
      </c>
      <c r="AD16" s="58">
        <v>12.5</v>
      </c>
      <c r="AE16" s="59">
        <v>7</v>
      </c>
      <c r="AF16" s="59">
        <v>4.5</v>
      </c>
      <c r="AG16" s="59">
        <v>5</v>
      </c>
      <c r="AH16" s="60">
        <v>17.5</v>
      </c>
      <c r="AI16" s="60">
        <v>16</v>
      </c>
      <c r="AJ16" s="54">
        <f>SUM(AD16:AI16)</f>
        <v>62.5</v>
      </c>
    </row>
    <row r="17" spans="1:36">
      <c r="A17" s="63" t="s">
        <v>126</v>
      </c>
      <c r="B17" s="64"/>
      <c r="C17" s="65">
        <f>SUM(C12:C16)</f>
        <v>12</v>
      </c>
      <c r="D17" s="66">
        <f>SUM(D12:D16)</f>
        <v>10</v>
      </c>
      <c r="E17" s="66">
        <f>SUM(E12:E16)</f>
        <v>2</v>
      </c>
      <c r="F17" s="66">
        <f>SUM(F12:F16)</f>
        <v>8</v>
      </c>
      <c r="G17" s="67">
        <f>SUM(G12:G16)</f>
        <v>0</v>
      </c>
      <c r="H17" s="72">
        <f t="shared" ref="H17:V17" si="2">SUM(H12:H16)</f>
        <v>5</v>
      </c>
      <c r="I17" s="66">
        <f t="shared" si="2"/>
        <v>4</v>
      </c>
      <c r="J17" s="66">
        <f t="shared" si="2"/>
        <v>2</v>
      </c>
      <c r="K17" s="66">
        <f t="shared" si="2"/>
        <v>2</v>
      </c>
      <c r="L17" s="74">
        <f t="shared" si="2"/>
        <v>0</v>
      </c>
      <c r="M17" s="65">
        <f t="shared" si="2"/>
        <v>2</v>
      </c>
      <c r="N17" s="66">
        <f t="shared" si="2"/>
        <v>1</v>
      </c>
      <c r="O17" s="66">
        <f t="shared" si="2"/>
        <v>2</v>
      </c>
      <c r="P17" s="67">
        <f t="shared" si="2"/>
        <v>1</v>
      </c>
      <c r="Q17" s="70">
        <f t="shared" si="2"/>
        <v>138.7</v>
      </c>
      <c r="R17" s="71">
        <f t="shared" si="2"/>
        <v>7.1</v>
      </c>
      <c r="S17" s="72">
        <f t="shared" si="2"/>
        <v>51</v>
      </c>
      <c r="T17" s="73">
        <f t="shared" si="2"/>
        <v>1100.89</v>
      </c>
      <c r="U17" s="65">
        <f t="shared" si="2"/>
        <v>7159</v>
      </c>
      <c r="V17" s="67">
        <f t="shared" si="2"/>
        <v>523</v>
      </c>
      <c r="W17" s="68">
        <f t="shared" ref="W17:AJ17" si="3">SUM(W12:W16)</f>
        <v>9</v>
      </c>
      <c r="X17" s="74">
        <f t="shared" si="3"/>
        <v>4</v>
      </c>
      <c r="Y17" s="74">
        <f t="shared" si="3"/>
        <v>4</v>
      </c>
      <c r="Z17" s="74">
        <f t="shared" si="3"/>
        <v>3</v>
      </c>
      <c r="AA17" s="74">
        <f t="shared" si="3"/>
        <v>13</v>
      </c>
      <c r="AB17" s="74">
        <f t="shared" si="3"/>
        <v>13</v>
      </c>
      <c r="AC17" s="74">
        <f t="shared" si="3"/>
        <v>46</v>
      </c>
      <c r="AD17" s="70">
        <f t="shared" si="3"/>
        <v>30</v>
      </c>
      <c r="AE17" s="75">
        <f t="shared" si="3"/>
        <v>14</v>
      </c>
      <c r="AF17" s="75">
        <f t="shared" si="3"/>
        <v>12.5</v>
      </c>
      <c r="AG17" s="75">
        <f t="shared" si="3"/>
        <v>13.5</v>
      </c>
      <c r="AH17" s="75">
        <f t="shared" si="3"/>
        <v>49.5</v>
      </c>
      <c r="AI17" s="75">
        <f t="shared" si="3"/>
        <v>47</v>
      </c>
      <c r="AJ17" s="71">
        <f t="shared" si="3"/>
        <v>166.5</v>
      </c>
    </row>
    <row r="18" spans="1:36">
      <c r="A18" s="29" t="s">
        <v>186</v>
      </c>
      <c r="B18" s="48">
        <v>46125</v>
      </c>
      <c r="C18" s="49">
        <v>2</v>
      </c>
      <c r="D18" s="50">
        <v>2</v>
      </c>
      <c r="E18" s="50">
        <v>0</v>
      </c>
      <c r="F18" s="50">
        <v>2</v>
      </c>
      <c r="G18" s="51">
        <v>0</v>
      </c>
      <c r="H18" s="55">
        <v>0</v>
      </c>
      <c r="I18" s="55">
        <v>0</v>
      </c>
      <c r="J18" s="50">
        <v>0</v>
      </c>
      <c r="K18" s="50">
        <v>0</v>
      </c>
      <c r="L18" s="57">
        <v>0</v>
      </c>
      <c r="M18" s="49">
        <v>0</v>
      </c>
      <c r="N18" s="50">
        <v>0</v>
      </c>
      <c r="O18" s="50">
        <v>0</v>
      </c>
      <c r="P18" s="51">
        <v>0</v>
      </c>
      <c r="Q18" s="53">
        <v>23.3</v>
      </c>
      <c r="R18" s="54">
        <v>2.1</v>
      </c>
      <c r="S18" s="55">
        <v>6</v>
      </c>
      <c r="T18" s="56">
        <v>112.78</v>
      </c>
      <c r="U18" s="49">
        <v>1868</v>
      </c>
      <c r="V18" s="51">
        <v>105</v>
      </c>
      <c r="W18" s="55">
        <v>2</v>
      </c>
      <c r="X18" s="50">
        <v>2</v>
      </c>
      <c r="Y18" s="50">
        <v>1</v>
      </c>
      <c r="Z18" s="50">
        <v>0</v>
      </c>
      <c r="AA18" s="57">
        <v>3</v>
      </c>
      <c r="AB18" s="57">
        <v>2</v>
      </c>
      <c r="AC18" s="57">
        <f>SUM(W18:AB18)</f>
        <v>10</v>
      </c>
      <c r="AD18" s="58">
        <v>8.5</v>
      </c>
      <c r="AE18" s="59">
        <v>9</v>
      </c>
      <c r="AF18" s="59">
        <v>3.5</v>
      </c>
      <c r="AG18" s="59">
        <v>0</v>
      </c>
      <c r="AH18" s="60">
        <v>11</v>
      </c>
      <c r="AI18" s="60">
        <v>5.5</v>
      </c>
      <c r="AJ18" s="54">
        <f>SUM(AD18:AI18)</f>
        <v>37.5</v>
      </c>
    </row>
    <row r="19" spans="1:36">
      <c r="A19" s="29"/>
      <c r="B19" s="48">
        <v>46126</v>
      </c>
      <c r="C19" s="49">
        <v>1</v>
      </c>
      <c r="D19" s="50">
        <v>1</v>
      </c>
      <c r="E19" s="50">
        <v>1</v>
      </c>
      <c r="F19" s="50">
        <v>0</v>
      </c>
      <c r="G19" s="51">
        <v>0</v>
      </c>
      <c r="H19" s="55">
        <v>2</v>
      </c>
      <c r="I19" s="55">
        <v>2</v>
      </c>
      <c r="J19" s="50">
        <v>0</v>
      </c>
      <c r="K19" s="50">
        <v>2</v>
      </c>
      <c r="L19" s="57">
        <v>0</v>
      </c>
      <c r="M19" s="49">
        <v>2</v>
      </c>
      <c r="N19" s="50">
        <v>0</v>
      </c>
      <c r="O19" s="50">
        <v>0</v>
      </c>
      <c r="P19" s="51">
        <v>0</v>
      </c>
      <c r="Q19" s="53">
        <v>14.1</v>
      </c>
      <c r="R19" s="54">
        <v>0</v>
      </c>
      <c r="S19" s="55">
        <v>3</v>
      </c>
      <c r="T19" s="56">
        <v>79.61</v>
      </c>
      <c r="U19" s="49">
        <v>1727</v>
      </c>
      <c r="V19" s="51">
        <v>269</v>
      </c>
      <c r="W19" s="55">
        <v>4</v>
      </c>
      <c r="X19" s="50">
        <v>1</v>
      </c>
      <c r="Y19" s="50">
        <v>2</v>
      </c>
      <c r="Z19" s="50">
        <v>0</v>
      </c>
      <c r="AA19" s="57">
        <v>5</v>
      </c>
      <c r="AB19" s="57">
        <v>3</v>
      </c>
      <c r="AC19" s="57">
        <f>SUM(W19:AB19)</f>
        <v>15</v>
      </c>
      <c r="AD19" s="58">
        <v>19</v>
      </c>
      <c r="AE19" s="59">
        <v>2.5</v>
      </c>
      <c r="AF19" s="59">
        <v>5</v>
      </c>
      <c r="AG19" s="59">
        <v>0</v>
      </c>
      <c r="AH19" s="60">
        <v>19</v>
      </c>
      <c r="AI19" s="60">
        <v>14</v>
      </c>
      <c r="AJ19" s="54">
        <f>SUM(AD19:AI19)</f>
        <v>59.5</v>
      </c>
    </row>
    <row r="20" spans="1:36">
      <c r="A20" s="29"/>
      <c r="B20" s="48">
        <v>46127</v>
      </c>
      <c r="C20" s="49">
        <v>3</v>
      </c>
      <c r="D20" s="50">
        <v>3</v>
      </c>
      <c r="E20" s="50">
        <v>1</v>
      </c>
      <c r="F20" s="50">
        <v>2</v>
      </c>
      <c r="G20" s="51">
        <v>0</v>
      </c>
      <c r="H20" s="55">
        <v>1</v>
      </c>
      <c r="I20" s="55">
        <v>1</v>
      </c>
      <c r="J20" s="50">
        <v>0</v>
      </c>
      <c r="K20" s="50">
        <v>1</v>
      </c>
      <c r="L20" s="57">
        <v>0</v>
      </c>
      <c r="M20" s="49">
        <v>0</v>
      </c>
      <c r="N20" s="50">
        <v>0</v>
      </c>
      <c r="O20" s="50">
        <v>0</v>
      </c>
      <c r="P20" s="51">
        <v>0</v>
      </c>
      <c r="Q20" s="53">
        <v>20.7</v>
      </c>
      <c r="R20" s="54">
        <v>0</v>
      </c>
      <c r="S20" s="55">
        <v>14</v>
      </c>
      <c r="T20" s="56">
        <v>261.09</v>
      </c>
      <c r="U20" s="82">
        <v>794</v>
      </c>
      <c r="V20" s="51">
        <v>104</v>
      </c>
      <c r="W20" s="55">
        <v>3</v>
      </c>
      <c r="X20" s="50">
        <v>0</v>
      </c>
      <c r="Y20" s="50">
        <v>2</v>
      </c>
      <c r="Z20" s="50">
        <v>0</v>
      </c>
      <c r="AA20" s="57">
        <v>1</v>
      </c>
      <c r="AB20" s="57">
        <v>4</v>
      </c>
      <c r="AC20" s="57">
        <f>SUM(W20:AB20)</f>
        <v>10</v>
      </c>
      <c r="AD20" s="58">
        <v>7.5</v>
      </c>
      <c r="AE20" s="59">
        <v>0</v>
      </c>
      <c r="AF20" s="59">
        <v>9.5</v>
      </c>
      <c r="AG20" s="59">
        <v>0</v>
      </c>
      <c r="AH20" s="60">
        <v>4</v>
      </c>
      <c r="AI20" s="60">
        <v>17</v>
      </c>
      <c r="AJ20" s="54">
        <f>SUM(AD20:AI20)</f>
        <v>38</v>
      </c>
    </row>
    <row r="21" spans="1:36">
      <c r="A21" s="29"/>
      <c r="B21" s="48">
        <v>46128</v>
      </c>
      <c r="C21" s="49">
        <v>0</v>
      </c>
      <c r="D21" s="50">
        <v>0</v>
      </c>
      <c r="E21" s="50">
        <v>0</v>
      </c>
      <c r="F21" s="50">
        <v>0</v>
      </c>
      <c r="G21" s="51">
        <v>0</v>
      </c>
      <c r="H21" s="55">
        <v>2</v>
      </c>
      <c r="I21" s="55">
        <v>2</v>
      </c>
      <c r="J21" s="50">
        <v>0</v>
      </c>
      <c r="K21" s="50">
        <v>2</v>
      </c>
      <c r="L21" s="57">
        <v>0</v>
      </c>
      <c r="M21" s="49">
        <v>0</v>
      </c>
      <c r="N21" s="50">
        <v>1</v>
      </c>
      <c r="O21" s="50">
        <v>0</v>
      </c>
      <c r="P21" s="51">
        <v>0</v>
      </c>
      <c r="Q21" s="53">
        <v>43.7</v>
      </c>
      <c r="R21" s="54">
        <v>0</v>
      </c>
      <c r="S21" s="55">
        <v>14</v>
      </c>
      <c r="T21" s="56">
        <v>364.07</v>
      </c>
      <c r="U21" s="49">
        <v>323</v>
      </c>
      <c r="V21" s="51">
        <v>38</v>
      </c>
      <c r="W21" s="55">
        <v>2</v>
      </c>
      <c r="X21" s="50">
        <v>0</v>
      </c>
      <c r="Y21" s="50">
        <v>1</v>
      </c>
      <c r="Z21" s="50">
        <v>2</v>
      </c>
      <c r="AA21" s="57">
        <v>2</v>
      </c>
      <c r="AB21" s="57">
        <v>2</v>
      </c>
      <c r="AC21" s="57">
        <f>SUM(W21:AB21)</f>
        <v>9</v>
      </c>
      <c r="AD21" s="58">
        <v>6.5</v>
      </c>
      <c r="AE21" s="59">
        <v>0</v>
      </c>
      <c r="AF21" s="59">
        <v>3.5</v>
      </c>
      <c r="AG21" s="59">
        <v>5</v>
      </c>
      <c r="AH21" s="60">
        <v>10.5</v>
      </c>
      <c r="AI21" s="60">
        <v>8.5</v>
      </c>
      <c r="AJ21" s="54">
        <f>SUM(AD21:AI21)</f>
        <v>34</v>
      </c>
    </row>
    <row r="22" spans="1:36">
      <c r="A22" s="29"/>
      <c r="B22" s="48">
        <v>46129</v>
      </c>
      <c r="C22" s="49">
        <v>1</v>
      </c>
      <c r="D22" s="50">
        <v>1</v>
      </c>
      <c r="E22" s="50">
        <v>0</v>
      </c>
      <c r="F22" s="50">
        <v>1</v>
      </c>
      <c r="G22" s="51">
        <v>0</v>
      </c>
      <c r="H22" s="55">
        <v>1</v>
      </c>
      <c r="I22" s="55">
        <v>1</v>
      </c>
      <c r="J22" s="50">
        <v>1</v>
      </c>
      <c r="K22" s="50">
        <v>0</v>
      </c>
      <c r="L22" s="57">
        <v>0</v>
      </c>
      <c r="M22" s="49">
        <v>0</v>
      </c>
      <c r="N22" s="50">
        <v>0</v>
      </c>
      <c r="O22" s="50">
        <v>1</v>
      </c>
      <c r="P22" s="51">
        <v>0</v>
      </c>
      <c r="Q22" s="77">
        <v>45.9</v>
      </c>
      <c r="R22" s="54">
        <v>15.7</v>
      </c>
      <c r="S22" s="78">
        <v>14</v>
      </c>
      <c r="T22" s="79">
        <v>233.57</v>
      </c>
      <c r="U22" s="80">
        <v>526</v>
      </c>
      <c r="V22" s="81">
        <v>24</v>
      </c>
      <c r="W22" s="55">
        <v>4</v>
      </c>
      <c r="X22" s="50">
        <v>0</v>
      </c>
      <c r="Y22" s="50">
        <v>1</v>
      </c>
      <c r="Z22" s="50">
        <v>0</v>
      </c>
      <c r="AA22" s="57">
        <v>2</v>
      </c>
      <c r="AB22" s="57">
        <v>3</v>
      </c>
      <c r="AC22" s="57">
        <f>SUM(W22:AB22)</f>
        <v>10</v>
      </c>
      <c r="AD22" s="58">
        <v>19.5</v>
      </c>
      <c r="AE22" s="59">
        <v>0</v>
      </c>
      <c r="AF22" s="59">
        <v>3</v>
      </c>
      <c r="AG22" s="59">
        <v>0</v>
      </c>
      <c r="AH22" s="60">
        <v>6.5</v>
      </c>
      <c r="AI22" s="60">
        <v>7</v>
      </c>
      <c r="AJ22" s="54">
        <f>SUM(AD22:AI22)</f>
        <v>36</v>
      </c>
    </row>
    <row r="23" spans="1:36">
      <c r="A23" s="63" t="s">
        <v>126</v>
      </c>
      <c r="B23" s="64"/>
      <c r="C23" s="65">
        <f>SUM(C18:C22)</f>
        <v>7</v>
      </c>
      <c r="D23" s="66">
        <f>SUM(D18:D22)</f>
        <v>7</v>
      </c>
      <c r="E23" s="66">
        <f>SUM(E18:E22)</f>
        <v>2</v>
      </c>
      <c r="F23" s="66">
        <f>SUM(F18:F22)</f>
        <v>5</v>
      </c>
      <c r="G23" s="67">
        <f>SUM(G18:G22)</f>
        <v>0</v>
      </c>
      <c r="H23" s="72">
        <f t="shared" ref="H23:V23" si="4">SUM(H18:H22)</f>
        <v>6</v>
      </c>
      <c r="I23" s="66">
        <f t="shared" si="4"/>
        <v>6</v>
      </c>
      <c r="J23" s="66">
        <f t="shared" si="4"/>
        <v>1</v>
      </c>
      <c r="K23" s="66">
        <f t="shared" si="4"/>
        <v>5</v>
      </c>
      <c r="L23" s="74">
        <f t="shared" si="4"/>
        <v>0</v>
      </c>
      <c r="M23" s="65">
        <f t="shared" si="4"/>
        <v>2</v>
      </c>
      <c r="N23" s="66">
        <f t="shared" si="4"/>
        <v>1</v>
      </c>
      <c r="O23" s="66">
        <f t="shared" si="4"/>
        <v>1</v>
      </c>
      <c r="P23" s="67">
        <f t="shared" si="4"/>
        <v>0</v>
      </c>
      <c r="Q23" s="70">
        <f t="shared" si="4"/>
        <v>147.7</v>
      </c>
      <c r="R23" s="71">
        <f t="shared" si="4"/>
        <v>17.8</v>
      </c>
      <c r="S23" s="72">
        <f t="shared" si="4"/>
        <v>51</v>
      </c>
      <c r="T23" s="73">
        <f t="shared" si="4"/>
        <v>1051.12</v>
      </c>
      <c r="U23" s="65">
        <f t="shared" si="4"/>
        <v>5238</v>
      </c>
      <c r="V23" s="67">
        <f t="shared" si="4"/>
        <v>540</v>
      </c>
      <c r="W23" s="68">
        <f t="shared" ref="W23:AJ23" si="5">SUM(W18:W22)</f>
        <v>15</v>
      </c>
      <c r="X23" s="74">
        <f t="shared" si="5"/>
        <v>3</v>
      </c>
      <c r="Y23" s="74">
        <f t="shared" si="5"/>
        <v>7</v>
      </c>
      <c r="Z23" s="74">
        <f t="shared" si="5"/>
        <v>2</v>
      </c>
      <c r="AA23" s="74">
        <f t="shared" si="5"/>
        <v>13</v>
      </c>
      <c r="AB23" s="74">
        <f t="shared" si="5"/>
        <v>14</v>
      </c>
      <c r="AC23" s="74">
        <f t="shared" si="5"/>
        <v>54</v>
      </c>
      <c r="AD23" s="70">
        <f t="shared" si="5"/>
        <v>61</v>
      </c>
      <c r="AE23" s="75">
        <f t="shared" si="5"/>
        <v>11.5</v>
      </c>
      <c r="AF23" s="75">
        <f t="shared" si="5"/>
        <v>24.5</v>
      </c>
      <c r="AG23" s="75">
        <f t="shared" si="5"/>
        <v>5</v>
      </c>
      <c r="AH23" s="75">
        <f t="shared" si="5"/>
        <v>51</v>
      </c>
      <c r="AI23" s="75">
        <f t="shared" si="5"/>
        <v>52</v>
      </c>
      <c r="AJ23" s="71">
        <f t="shared" si="5"/>
        <v>205</v>
      </c>
    </row>
    <row r="24" spans="1:36">
      <c r="A24" s="29" t="s">
        <v>187</v>
      </c>
      <c r="B24" s="48">
        <v>46132</v>
      </c>
      <c r="C24" s="49">
        <v>4</v>
      </c>
      <c r="D24" s="50">
        <v>4</v>
      </c>
      <c r="E24" s="50">
        <v>1</v>
      </c>
      <c r="F24" s="50">
        <v>3</v>
      </c>
      <c r="G24" s="51">
        <v>0</v>
      </c>
      <c r="H24" s="55">
        <v>1</v>
      </c>
      <c r="I24" s="55">
        <v>1</v>
      </c>
      <c r="J24" s="50">
        <v>1</v>
      </c>
      <c r="K24" s="50">
        <v>0</v>
      </c>
      <c r="L24" s="57">
        <v>0</v>
      </c>
      <c r="M24" s="49">
        <v>0</v>
      </c>
      <c r="N24" s="50">
        <v>0</v>
      </c>
      <c r="O24" s="50">
        <v>0</v>
      </c>
      <c r="P24" s="51">
        <v>0</v>
      </c>
      <c r="Q24" s="53">
        <v>17.7</v>
      </c>
      <c r="R24" s="54">
        <v>6.4</v>
      </c>
      <c r="S24" s="55">
        <v>13</v>
      </c>
      <c r="T24" s="56">
        <v>242.66</v>
      </c>
      <c r="U24" s="49">
        <v>657</v>
      </c>
      <c r="V24" s="51">
        <v>20</v>
      </c>
      <c r="W24" s="55">
        <v>2</v>
      </c>
      <c r="X24" s="50">
        <v>0</v>
      </c>
      <c r="Y24" s="50">
        <v>2</v>
      </c>
      <c r="Z24" s="50">
        <v>1</v>
      </c>
      <c r="AA24" s="57">
        <v>1</v>
      </c>
      <c r="AB24" s="57">
        <v>1</v>
      </c>
      <c r="AC24" s="57">
        <f>SUM(W24:AB24)</f>
        <v>7</v>
      </c>
      <c r="AD24" s="58">
        <v>5</v>
      </c>
      <c r="AE24" s="59">
        <v>0</v>
      </c>
      <c r="AF24" s="59">
        <v>4</v>
      </c>
      <c r="AG24" s="59">
        <v>5</v>
      </c>
      <c r="AH24" s="60">
        <v>3.5</v>
      </c>
      <c r="AI24" s="60">
        <v>3.5</v>
      </c>
      <c r="AJ24" s="54">
        <f>SUM(AD24:AI24)</f>
        <v>21</v>
      </c>
    </row>
    <row r="25" spans="1:36">
      <c r="A25" s="29"/>
      <c r="B25" s="48">
        <v>46133</v>
      </c>
      <c r="C25" s="49">
        <v>3</v>
      </c>
      <c r="D25" s="50">
        <v>3</v>
      </c>
      <c r="E25" s="50">
        <v>0</v>
      </c>
      <c r="F25" s="50">
        <v>3</v>
      </c>
      <c r="G25" s="51">
        <v>0</v>
      </c>
      <c r="H25" s="55">
        <v>3</v>
      </c>
      <c r="I25" s="55">
        <v>2</v>
      </c>
      <c r="J25" s="50">
        <v>0</v>
      </c>
      <c r="K25" s="50">
        <v>2</v>
      </c>
      <c r="L25" s="57">
        <v>0</v>
      </c>
      <c r="M25" s="49">
        <v>1</v>
      </c>
      <c r="N25" s="50">
        <v>0</v>
      </c>
      <c r="O25" s="50">
        <v>0</v>
      </c>
      <c r="P25" s="51">
        <v>0</v>
      </c>
      <c r="Q25" s="53">
        <v>0</v>
      </c>
      <c r="R25" s="54">
        <v>4.5</v>
      </c>
      <c r="S25" s="55">
        <v>9</v>
      </c>
      <c r="T25" s="56">
        <v>228.26</v>
      </c>
      <c r="U25" s="49">
        <v>1213</v>
      </c>
      <c r="V25" s="51">
        <v>142</v>
      </c>
      <c r="W25" s="55">
        <v>1</v>
      </c>
      <c r="X25" s="50">
        <v>1</v>
      </c>
      <c r="Y25" s="50">
        <v>2</v>
      </c>
      <c r="Z25" s="50">
        <v>0</v>
      </c>
      <c r="AA25" s="57">
        <v>2</v>
      </c>
      <c r="AB25" s="57">
        <v>2</v>
      </c>
      <c r="AC25" s="57">
        <f>SUM(W25:AB25)</f>
        <v>8</v>
      </c>
      <c r="AD25" s="58">
        <v>2.5</v>
      </c>
      <c r="AE25" s="59">
        <v>3</v>
      </c>
      <c r="AF25" s="59">
        <v>9.5</v>
      </c>
      <c r="AG25" s="59">
        <v>0</v>
      </c>
      <c r="AH25" s="60">
        <v>8.5</v>
      </c>
      <c r="AI25" s="60">
        <v>8.5</v>
      </c>
      <c r="AJ25" s="54">
        <f>SUM(AD25:AI25)</f>
        <v>32</v>
      </c>
    </row>
    <row r="26" spans="1:36">
      <c r="A26" s="29"/>
      <c r="B26" s="48">
        <v>46134</v>
      </c>
      <c r="C26" s="49">
        <v>1</v>
      </c>
      <c r="D26" s="50">
        <v>1</v>
      </c>
      <c r="E26" s="50">
        <v>0</v>
      </c>
      <c r="F26" s="50">
        <v>1</v>
      </c>
      <c r="G26" s="51">
        <v>0</v>
      </c>
      <c r="H26" s="55">
        <v>0</v>
      </c>
      <c r="I26" s="55">
        <v>0</v>
      </c>
      <c r="J26" s="50">
        <v>0</v>
      </c>
      <c r="K26" s="50">
        <v>0</v>
      </c>
      <c r="L26" s="57">
        <v>0</v>
      </c>
      <c r="M26" s="49">
        <v>1</v>
      </c>
      <c r="N26" s="50">
        <v>0</v>
      </c>
      <c r="O26" s="50">
        <v>0</v>
      </c>
      <c r="P26" s="51">
        <v>0</v>
      </c>
      <c r="Q26" s="53">
        <v>36</v>
      </c>
      <c r="R26" s="54">
        <v>0</v>
      </c>
      <c r="S26" s="55">
        <v>13</v>
      </c>
      <c r="T26" s="56">
        <v>312.74</v>
      </c>
      <c r="U26" s="49">
        <v>1272</v>
      </c>
      <c r="V26" s="51">
        <v>43</v>
      </c>
      <c r="W26" s="55">
        <v>4</v>
      </c>
      <c r="X26" s="50">
        <v>1</v>
      </c>
      <c r="Y26" s="50">
        <v>1</v>
      </c>
      <c r="Z26" s="50">
        <v>0</v>
      </c>
      <c r="AA26" s="57">
        <v>3</v>
      </c>
      <c r="AB26" s="57">
        <v>2</v>
      </c>
      <c r="AC26" s="57">
        <f>SUM(W26:AB26)</f>
        <v>11</v>
      </c>
      <c r="AD26" s="58">
        <v>22</v>
      </c>
      <c r="AE26" s="59">
        <v>2.5</v>
      </c>
      <c r="AF26" s="59">
        <v>4.5</v>
      </c>
      <c r="AG26" s="59">
        <v>0</v>
      </c>
      <c r="AH26" s="60">
        <v>10.5</v>
      </c>
      <c r="AI26" s="60">
        <v>4.5</v>
      </c>
      <c r="AJ26" s="54">
        <f>SUM(AD26:AI26)</f>
        <v>44</v>
      </c>
    </row>
    <row r="27" spans="1:36">
      <c r="A27" s="29"/>
      <c r="B27" s="48">
        <v>46135</v>
      </c>
      <c r="C27" s="49">
        <v>3</v>
      </c>
      <c r="D27" s="50">
        <v>3</v>
      </c>
      <c r="E27" s="50">
        <v>0</v>
      </c>
      <c r="F27" s="50">
        <v>3</v>
      </c>
      <c r="G27" s="51">
        <v>0</v>
      </c>
      <c r="H27" s="55">
        <v>1</v>
      </c>
      <c r="I27" s="55">
        <v>1</v>
      </c>
      <c r="J27" s="50">
        <v>1</v>
      </c>
      <c r="K27" s="50">
        <v>0</v>
      </c>
      <c r="L27" s="57">
        <v>0</v>
      </c>
      <c r="M27" s="49">
        <v>1</v>
      </c>
      <c r="N27" s="50">
        <v>0</v>
      </c>
      <c r="O27" s="50">
        <v>1</v>
      </c>
      <c r="P27" s="51">
        <v>0</v>
      </c>
      <c r="Q27" s="53">
        <v>45</v>
      </c>
      <c r="R27" s="54">
        <v>13.5</v>
      </c>
      <c r="S27" s="55">
        <v>13</v>
      </c>
      <c r="T27" s="56">
        <v>274.17</v>
      </c>
      <c r="U27" s="49">
        <v>1095</v>
      </c>
      <c r="V27" s="51">
        <v>58</v>
      </c>
      <c r="W27" s="55">
        <v>4</v>
      </c>
      <c r="X27" s="50">
        <v>2</v>
      </c>
      <c r="Y27" s="50">
        <v>1</v>
      </c>
      <c r="Z27" s="50">
        <v>0</v>
      </c>
      <c r="AA27" s="57">
        <v>3</v>
      </c>
      <c r="AB27" s="57">
        <v>3</v>
      </c>
      <c r="AC27" s="57">
        <f>SUM(W27:AB27)</f>
        <v>13</v>
      </c>
      <c r="AD27" s="58">
        <v>8.5</v>
      </c>
      <c r="AE27" s="59">
        <v>9</v>
      </c>
      <c r="AF27" s="59">
        <v>3</v>
      </c>
      <c r="AG27" s="59">
        <v>0</v>
      </c>
      <c r="AH27" s="60">
        <v>12</v>
      </c>
      <c r="AI27" s="60">
        <v>14</v>
      </c>
      <c r="AJ27" s="54">
        <f>SUM(AD27:AI27)</f>
        <v>46.5</v>
      </c>
    </row>
    <row r="28" spans="1:36">
      <c r="A28" s="29"/>
      <c r="B28" s="48">
        <v>46136</v>
      </c>
      <c r="C28" s="49">
        <v>0</v>
      </c>
      <c r="D28" s="50">
        <v>0</v>
      </c>
      <c r="E28" s="50">
        <v>0</v>
      </c>
      <c r="F28" s="50">
        <v>0</v>
      </c>
      <c r="G28" s="51">
        <v>0</v>
      </c>
      <c r="H28" s="55">
        <v>1</v>
      </c>
      <c r="I28" s="55">
        <v>1</v>
      </c>
      <c r="J28" s="50">
        <v>1</v>
      </c>
      <c r="K28" s="50">
        <v>0</v>
      </c>
      <c r="L28" s="57">
        <v>0</v>
      </c>
      <c r="M28" s="49">
        <v>2</v>
      </c>
      <c r="N28" s="50">
        <v>0</v>
      </c>
      <c r="O28" s="50">
        <v>0</v>
      </c>
      <c r="P28" s="51">
        <v>0</v>
      </c>
      <c r="Q28" s="77">
        <v>20.3</v>
      </c>
      <c r="R28" s="54">
        <v>4.6</v>
      </c>
      <c r="S28" s="78">
        <v>4</v>
      </c>
      <c r="T28" s="79">
        <v>63.24</v>
      </c>
      <c r="U28" s="80">
        <v>500</v>
      </c>
      <c r="V28" s="81">
        <v>49</v>
      </c>
      <c r="W28" s="55">
        <v>3</v>
      </c>
      <c r="X28" s="50">
        <v>0</v>
      </c>
      <c r="Y28" s="50">
        <v>1</v>
      </c>
      <c r="Z28" s="50">
        <v>1</v>
      </c>
      <c r="AA28" s="57">
        <v>4</v>
      </c>
      <c r="AB28" s="57">
        <v>2</v>
      </c>
      <c r="AC28" s="57">
        <f>SUM(W28:AB28)</f>
        <v>11</v>
      </c>
      <c r="AD28" s="58">
        <v>8</v>
      </c>
      <c r="AE28" s="59">
        <v>0</v>
      </c>
      <c r="AF28" s="59">
        <v>2</v>
      </c>
      <c r="AG28" s="59">
        <v>3</v>
      </c>
      <c r="AH28" s="60">
        <v>13.5</v>
      </c>
      <c r="AI28" s="60">
        <v>7.5</v>
      </c>
      <c r="AJ28" s="54">
        <f>SUM(AD28:AI28)</f>
        <v>34</v>
      </c>
    </row>
    <row r="29" spans="1:36">
      <c r="A29" s="63" t="s">
        <v>126</v>
      </c>
      <c r="B29" s="64"/>
      <c r="C29" s="65">
        <f>SUM(C24:C28)</f>
        <v>11</v>
      </c>
      <c r="D29" s="66">
        <f>SUM(D24:D28)</f>
        <v>11</v>
      </c>
      <c r="E29" s="66">
        <f>SUM(E24:E28)</f>
        <v>1</v>
      </c>
      <c r="F29" s="66">
        <f>SUM(F24:F28)</f>
        <v>10</v>
      </c>
      <c r="G29" s="67">
        <f>SUM(G24:G28)</f>
        <v>0</v>
      </c>
      <c r="H29" s="72">
        <f t="shared" ref="H29:V29" si="6">SUM(H24:H28)</f>
        <v>6</v>
      </c>
      <c r="I29" s="66">
        <f t="shared" si="6"/>
        <v>5</v>
      </c>
      <c r="J29" s="66">
        <f t="shared" si="6"/>
        <v>3</v>
      </c>
      <c r="K29" s="66">
        <f t="shared" si="6"/>
        <v>2</v>
      </c>
      <c r="L29" s="74">
        <f t="shared" si="6"/>
        <v>0</v>
      </c>
      <c r="M29" s="65">
        <f t="shared" si="6"/>
        <v>5</v>
      </c>
      <c r="N29" s="66">
        <f t="shared" si="6"/>
        <v>0</v>
      </c>
      <c r="O29" s="66">
        <f t="shared" si="6"/>
        <v>1</v>
      </c>
      <c r="P29" s="67">
        <f t="shared" si="6"/>
        <v>0</v>
      </c>
      <c r="Q29" s="70">
        <f t="shared" si="6"/>
        <v>119</v>
      </c>
      <c r="R29" s="71">
        <f t="shared" si="6"/>
        <v>29</v>
      </c>
      <c r="S29" s="72">
        <f t="shared" si="6"/>
        <v>52</v>
      </c>
      <c r="T29" s="73">
        <f t="shared" si="6"/>
        <v>1121.07</v>
      </c>
      <c r="U29" s="65">
        <f t="shared" si="6"/>
        <v>4737</v>
      </c>
      <c r="V29" s="67">
        <f t="shared" si="6"/>
        <v>312</v>
      </c>
      <c r="W29" s="68">
        <f t="shared" ref="W29:AJ29" si="7">SUM(W24:W28)</f>
        <v>14</v>
      </c>
      <c r="X29" s="74">
        <f t="shared" si="7"/>
        <v>4</v>
      </c>
      <c r="Y29" s="74">
        <f t="shared" si="7"/>
        <v>7</v>
      </c>
      <c r="Z29" s="74">
        <f t="shared" si="7"/>
        <v>2</v>
      </c>
      <c r="AA29" s="74">
        <f t="shared" si="7"/>
        <v>13</v>
      </c>
      <c r="AB29" s="74">
        <f t="shared" si="7"/>
        <v>10</v>
      </c>
      <c r="AC29" s="74">
        <f t="shared" si="7"/>
        <v>50</v>
      </c>
      <c r="AD29" s="70">
        <f t="shared" si="7"/>
        <v>46</v>
      </c>
      <c r="AE29" s="75">
        <f t="shared" si="7"/>
        <v>14.5</v>
      </c>
      <c r="AF29" s="75">
        <f t="shared" si="7"/>
        <v>23</v>
      </c>
      <c r="AG29" s="75">
        <f t="shared" si="7"/>
        <v>8</v>
      </c>
      <c r="AH29" s="75">
        <f t="shared" si="7"/>
        <v>48</v>
      </c>
      <c r="AI29" s="75">
        <f t="shared" si="7"/>
        <v>38</v>
      </c>
      <c r="AJ29" s="71">
        <f t="shared" si="7"/>
        <v>177.5</v>
      </c>
    </row>
    <row r="30" spans="1:36">
      <c r="A30" s="29" t="s">
        <v>188</v>
      </c>
      <c r="B30" s="48">
        <v>46139</v>
      </c>
      <c r="C30" s="49">
        <v>4</v>
      </c>
      <c r="D30" s="50">
        <v>3</v>
      </c>
      <c r="E30" s="50">
        <v>0</v>
      </c>
      <c r="F30" s="50">
        <v>3</v>
      </c>
      <c r="G30" s="51">
        <v>0</v>
      </c>
      <c r="H30" s="55">
        <v>3</v>
      </c>
      <c r="I30" s="55">
        <v>3</v>
      </c>
      <c r="J30" s="50">
        <v>1</v>
      </c>
      <c r="K30" s="50">
        <v>2</v>
      </c>
      <c r="L30" s="57">
        <v>0</v>
      </c>
      <c r="M30" s="49">
        <v>1</v>
      </c>
      <c r="N30" s="50">
        <v>1</v>
      </c>
      <c r="O30" s="50">
        <v>0</v>
      </c>
      <c r="P30" s="51">
        <v>0</v>
      </c>
      <c r="Q30" s="53">
        <v>0</v>
      </c>
      <c r="R30" s="54">
        <v>11.3</v>
      </c>
      <c r="S30" s="55">
        <v>14</v>
      </c>
      <c r="T30" s="56">
        <v>173.35</v>
      </c>
      <c r="U30" s="49">
        <v>1302</v>
      </c>
      <c r="V30" s="51">
        <v>43</v>
      </c>
      <c r="W30" s="55">
        <v>2</v>
      </c>
      <c r="X30" s="50">
        <v>1</v>
      </c>
      <c r="Y30" s="50">
        <v>1</v>
      </c>
      <c r="Z30" s="50">
        <v>2</v>
      </c>
      <c r="AA30" s="57">
        <v>2</v>
      </c>
      <c r="AB30" s="57">
        <v>2</v>
      </c>
      <c r="AC30" s="57">
        <f>SUM(W30:AB30)</f>
        <v>10</v>
      </c>
      <c r="AD30" s="58">
        <v>7</v>
      </c>
      <c r="AE30" s="59">
        <v>2.5</v>
      </c>
      <c r="AF30" s="59">
        <v>2.5</v>
      </c>
      <c r="AG30" s="59">
        <v>5.5</v>
      </c>
      <c r="AH30" s="60">
        <v>4.5</v>
      </c>
      <c r="AI30" s="60">
        <v>9.5</v>
      </c>
      <c r="AJ30" s="54">
        <f>SUM(AD30:AI30)</f>
        <v>31.5</v>
      </c>
    </row>
    <row r="31" spans="1:36">
      <c r="A31" s="29"/>
      <c r="B31" s="48">
        <v>46140</v>
      </c>
      <c r="C31" s="49">
        <v>3</v>
      </c>
      <c r="D31" s="50">
        <v>3</v>
      </c>
      <c r="E31" s="50">
        <v>1</v>
      </c>
      <c r="F31" s="50">
        <v>2</v>
      </c>
      <c r="G31" s="51">
        <v>0</v>
      </c>
      <c r="H31" s="55">
        <v>0</v>
      </c>
      <c r="I31" s="55">
        <v>0</v>
      </c>
      <c r="J31" s="50">
        <v>0</v>
      </c>
      <c r="K31" s="50">
        <v>0</v>
      </c>
      <c r="L31" s="57">
        <v>0</v>
      </c>
      <c r="M31" s="49">
        <v>1</v>
      </c>
      <c r="N31" s="50">
        <v>0</v>
      </c>
      <c r="O31" s="50">
        <v>0</v>
      </c>
      <c r="P31" s="51">
        <v>0</v>
      </c>
      <c r="Q31" s="53">
        <v>12.1</v>
      </c>
      <c r="R31" s="54">
        <v>11.1</v>
      </c>
      <c r="S31" s="55">
        <v>20</v>
      </c>
      <c r="T31" s="56">
        <v>524.4</v>
      </c>
      <c r="U31" s="49">
        <v>1880</v>
      </c>
      <c r="V31" s="51">
        <v>87</v>
      </c>
      <c r="W31" s="55">
        <v>2</v>
      </c>
      <c r="X31" s="50">
        <v>0</v>
      </c>
      <c r="Y31" s="50">
        <v>1</v>
      </c>
      <c r="Z31" s="50">
        <v>1</v>
      </c>
      <c r="AA31" s="57">
        <v>3</v>
      </c>
      <c r="AB31" s="57">
        <v>4</v>
      </c>
      <c r="AC31" s="57">
        <f>SUM(W31:AB31)</f>
        <v>11</v>
      </c>
      <c r="AD31" s="58">
        <v>5</v>
      </c>
      <c r="AE31" s="59">
        <v>0</v>
      </c>
      <c r="AF31" s="59">
        <v>4.5</v>
      </c>
      <c r="AG31" s="59">
        <v>4</v>
      </c>
      <c r="AH31" s="60">
        <v>14</v>
      </c>
      <c r="AI31" s="60">
        <v>13</v>
      </c>
      <c r="AJ31" s="54">
        <f>SUM(AD31:AI31)</f>
        <v>40.5</v>
      </c>
    </row>
    <row r="32" spans="1:36">
      <c r="A32" s="29"/>
      <c r="B32" s="48">
        <v>46141</v>
      </c>
      <c r="C32" s="49">
        <v>4</v>
      </c>
      <c r="D32" s="50">
        <v>4</v>
      </c>
      <c r="E32" s="50">
        <v>0</v>
      </c>
      <c r="F32" s="50">
        <v>4</v>
      </c>
      <c r="G32" s="51">
        <v>0</v>
      </c>
      <c r="H32" s="55">
        <v>1</v>
      </c>
      <c r="I32" s="55">
        <v>0</v>
      </c>
      <c r="J32" s="50">
        <v>0</v>
      </c>
      <c r="K32" s="50">
        <v>0</v>
      </c>
      <c r="L32" s="57">
        <v>0</v>
      </c>
      <c r="M32" s="49">
        <v>0</v>
      </c>
      <c r="N32" s="50">
        <v>1</v>
      </c>
      <c r="O32" s="50">
        <v>1</v>
      </c>
      <c r="P32" s="51">
        <v>0</v>
      </c>
      <c r="Q32" s="53">
        <v>20.4</v>
      </c>
      <c r="R32" s="54">
        <v>0</v>
      </c>
      <c r="S32" s="55">
        <v>11</v>
      </c>
      <c r="T32" s="56">
        <v>300.55</v>
      </c>
      <c r="U32" s="49">
        <v>1759</v>
      </c>
      <c r="V32" s="51">
        <v>38</v>
      </c>
      <c r="W32" s="55">
        <v>3</v>
      </c>
      <c r="X32" s="50">
        <v>0</v>
      </c>
      <c r="Y32" s="50">
        <v>0</v>
      </c>
      <c r="Z32" s="50">
        <v>0</v>
      </c>
      <c r="AA32" s="57">
        <v>3</v>
      </c>
      <c r="AB32" s="57">
        <v>3</v>
      </c>
      <c r="AC32" s="57">
        <f>SUM(W32:AB32)</f>
        <v>9</v>
      </c>
      <c r="AD32" s="58">
        <v>14</v>
      </c>
      <c r="AE32" s="59">
        <v>0</v>
      </c>
      <c r="AF32" s="59">
        <v>0</v>
      </c>
      <c r="AG32" s="59">
        <v>0</v>
      </c>
      <c r="AH32" s="60">
        <v>13.5</v>
      </c>
      <c r="AI32" s="60">
        <v>6.5</v>
      </c>
      <c r="AJ32" s="54">
        <f>SUM(AD32:AI32)</f>
        <v>34</v>
      </c>
    </row>
    <row r="33" spans="1:36">
      <c r="A33" s="29"/>
      <c r="B33" s="48">
        <v>46142</v>
      </c>
      <c r="C33" s="49">
        <v>0</v>
      </c>
      <c r="D33" s="50">
        <v>0</v>
      </c>
      <c r="E33" s="50">
        <v>0</v>
      </c>
      <c r="F33" s="50">
        <v>0</v>
      </c>
      <c r="G33" s="51">
        <v>0</v>
      </c>
      <c r="H33" s="55">
        <v>1</v>
      </c>
      <c r="I33" s="55">
        <v>0</v>
      </c>
      <c r="J33" s="50">
        <v>0</v>
      </c>
      <c r="K33" s="50">
        <v>0</v>
      </c>
      <c r="L33" s="57">
        <v>0</v>
      </c>
      <c r="M33" s="49">
        <v>2</v>
      </c>
      <c r="N33" s="50">
        <v>0</v>
      </c>
      <c r="O33" s="50">
        <v>1</v>
      </c>
      <c r="P33" s="51">
        <v>0</v>
      </c>
      <c r="Q33" s="53">
        <v>37.7</v>
      </c>
      <c r="R33" s="54">
        <v>21.6</v>
      </c>
      <c r="S33" s="55">
        <v>6</v>
      </c>
      <c r="T33" s="56">
        <v>113.55</v>
      </c>
      <c r="U33" s="49">
        <v>1665</v>
      </c>
      <c r="V33" s="51">
        <v>174</v>
      </c>
      <c r="W33" s="55">
        <v>2</v>
      </c>
      <c r="X33" s="50">
        <v>1</v>
      </c>
      <c r="Y33" s="50">
        <v>1</v>
      </c>
      <c r="Z33" s="50">
        <v>1</v>
      </c>
      <c r="AA33" s="57">
        <v>5</v>
      </c>
      <c r="AB33" s="57">
        <v>3</v>
      </c>
      <c r="AC33" s="57">
        <f>SUM(W33:AB33)</f>
        <v>13</v>
      </c>
      <c r="AD33" s="58">
        <v>9</v>
      </c>
      <c r="AE33" s="59">
        <v>5</v>
      </c>
      <c r="AF33" s="59">
        <v>5.5</v>
      </c>
      <c r="AG33" s="59">
        <v>4.5</v>
      </c>
      <c r="AH33" s="60">
        <v>19.5</v>
      </c>
      <c r="AI33" s="60">
        <v>15.5</v>
      </c>
      <c r="AJ33" s="54">
        <f>SUM(AD33:AI33)</f>
        <v>59</v>
      </c>
    </row>
    <row r="34" spans="1:36">
      <c r="A34" s="29"/>
      <c r="B34" s="48"/>
      <c r="C34" s="49"/>
      <c r="D34" s="50"/>
      <c r="E34" s="50"/>
      <c r="F34" s="50"/>
      <c r="G34" s="51"/>
      <c r="H34" s="55"/>
      <c r="I34" s="55"/>
      <c r="J34" s="50"/>
      <c r="K34" s="50"/>
      <c r="L34" s="57"/>
      <c r="M34" s="49"/>
      <c r="N34" s="50"/>
      <c r="O34" s="50"/>
      <c r="P34" s="51"/>
      <c r="Q34" s="77"/>
      <c r="R34" s="54"/>
      <c r="S34" s="78"/>
      <c r="T34" s="79"/>
      <c r="U34" s="80"/>
      <c r="V34" s="81"/>
      <c r="W34" s="55"/>
      <c r="X34" s="50"/>
      <c r="Y34" s="50"/>
      <c r="Z34" s="50"/>
      <c r="AA34" s="57"/>
      <c r="AB34" s="57"/>
      <c r="AC34" s="57">
        <f>SUM(W34:AB34)</f>
        <v>0</v>
      </c>
      <c r="AD34" s="58"/>
      <c r="AE34" s="59"/>
      <c r="AF34" s="59"/>
      <c r="AG34" s="59"/>
      <c r="AH34" s="60"/>
      <c r="AI34" s="60"/>
      <c r="AJ34" s="54">
        <f>SUM(AD34:AI34)</f>
        <v>0</v>
      </c>
    </row>
    <row r="35" ht="17.55" spans="1:36">
      <c r="A35" s="83" t="s">
        <v>126</v>
      </c>
      <c r="B35" s="84"/>
      <c r="C35" s="85">
        <f>SUM(C30:C33)</f>
        <v>11</v>
      </c>
      <c r="D35" s="86">
        <f>SUM(D30:D33)</f>
        <v>10</v>
      </c>
      <c r="E35" s="86">
        <f>SUM(E30:E33)</f>
        <v>1</v>
      </c>
      <c r="F35" s="86">
        <f>SUM(F30:F33)</f>
        <v>9</v>
      </c>
      <c r="G35" s="87">
        <f>SUM(G30:G33)</f>
        <v>0</v>
      </c>
      <c r="H35" s="88">
        <f t="shared" ref="H35:V35" si="8">SUM(H30:H33)</f>
        <v>5</v>
      </c>
      <c r="I35" s="86">
        <f t="shared" si="8"/>
        <v>3</v>
      </c>
      <c r="J35" s="86">
        <f t="shared" si="8"/>
        <v>1</v>
      </c>
      <c r="K35" s="86">
        <f t="shared" si="8"/>
        <v>2</v>
      </c>
      <c r="L35" s="89">
        <f t="shared" si="8"/>
        <v>0</v>
      </c>
      <c r="M35" s="90">
        <f t="shared" si="8"/>
        <v>4</v>
      </c>
      <c r="N35" s="91">
        <f t="shared" si="8"/>
        <v>2</v>
      </c>
      <c r="O35" s="91">
        <f t="shared" si="8"/>
        <v>2</v>
      </c>
      <c r="P35" s="92">
        <f t="shared" si="8"/>
        <v>0</v>
      </c>
      <c r="Q35" s="93">
        <f t="shared" si="8"/>
        <v>70.2</v>
      </c>
      <c r="R35" s="94">
        <f t="shared" si="8"/>
        <v>44</v>
      </c>
      <c r="S35" s="95">
        <f t="shared" si="8"/>
        <v>51</v>
      </c>
      <c r="T35" s="96">
        <f t="shared" si="8"/>
        <v>1111.85</v>
      </c>
      <c r="U35" s="85">
        <f t="shared" si="8"/>
        <v>6606</v>
      </c>
      <c r="V35" s="87">
        <f t="shared" si="8"/>
        <v>342</v>
      </c>
      <c r="W35" s="97">
        <f t="shared" ref="W35:AJ35" si="9">SUM(W30:W33)</f>
        <v>9</v>
      </c>
      <c r="X35" s="98">
        <f t="shared" si="9"/>
        <v>2</v>
      </c>
      <c r="Y35" s="98">
        <f t="shared" si="9"/>
        <v>3</v>
      </c>
      <c r="Z35" s="98">
        <f t="shared" si="9"/>
        <v>4</v>
      </c>
      <c r="AA35" s="98">
        <f t="shared" si="9"/>
        <v>13</v>
      </c>
      <c r="AB35" s="98">
        <f t="shared" si="9"/>
        <v>12</v>
      </c>
      <c r="AC35" s="98">
        <f t="shared" si="9"/>
        <v>43</v>
      </c>
      <c r="AD35" s="99">
        <f t="shared" si="9"/>
        <v>35</v>
      </c>
      <c r="AE35" s="100">
        <f t="shared" si="9"/>
        <v>7.5</v>
      </c>
      <c r="AF35" s="100">
        <f t="shared" si="9"/>
        <v>12.5</v>
      </c>
      <c r="AG35" s="100">
        <f t="shared" si="9"/>
        <v>14</v>
      </c>
      <c r="AH35" s="100">
        <f t="shared" si="9"/>
        <v>51.5</v>
      </c>
      <c r="AI35" s="100">
        <f t="shared" si="9"/>
        <v>44.5</v>
      </c>
      <c r="AJ35" s="101">
        <f t="shared" si="9"/>
        <v>165</v>
      </c>
    </row>
    <row r="36" s="4" customFormat="1" ht="37.2" customHeight="1" spans="1:36">
      <c r="A36" s="102" t="s">
        <v>197</v>
      </c>
      <c r="B36" s="103"/>
      <c r="C36" s="104">
        <f>C11+C17+C23+C29+C35</f>
        <v>49</v>
      </c>
      <c r="D36" s="105">
        <f>D11+D17+D23+D29+D35</f>
        <v>45</v>
      </c>
      <c r="E36" s="105">
        <f>E11+E17+E23+E29+E35</f>
        <v>7</v>
      </c>
      <c r="F36" s="105">
        <f>F11+F17+F23+F29+F35</f>
        <v>38</v>
      </c>
      <c r="G36" s="106">
        <f>G11+G17+G23+G29+G35</f>
        <v>0</v>
      </c>
      <c r="H36" s="107">
        <f t="shared" ref="H36:V36" si="10">H11+H17+H23+H29+H35</f>
        <v>25</v>
      </c>
      <c r="I36" s="105">
        <f t="shared" si="10"/>
        <v>21</v>
      </c>
      <c r="J36" s="105">
        <f t="shared" si="10"/>
        <v>8</v>
      </c>
      <c r="K36" s="105">
        <f t="shared" si="10"/>
        <v>13</v>
      </c>
      <c r="L36" s="108">
        <f t="shared" si="10"/>
        <v>0</v>
      </c>
      <c r="M36" s="109">
        <f t="shared" si="10"/>
        <v>14</v>
      </c>
      <c r="N36" s="110">
        <f t="shared" si="10"/>
        <v>4</v>
      </c>
      <c r="O36" s="110">
        <f t="shared" si="10"/>
        <v>6</v>
      </c>
      <c r="P36" s="111">
        <f t="shared" si="10"/>
        <v>1</v>
      </c>
      <c r="Q36" s="112">
        <f t="shared" si="10"/>
        <v>600.2</v>
      </c>
      <c r="R36" s="113">
        <f t="shared" si="10"/>
        <v>102.1</v>
      </c>
      <c r="S36" s="114">
        <f t="shared" si="10"/>
        <v>227</v>
      </c>
      <c r="T36" s="115">
        <f t="shared" si="10"/>
        <v>4884</v>
      </c>
      <c r="U36" s="105">
        <f t="shared" si="10"/>
        <v>27386</v>
      </c>
      <c r="V36" s="105">
        <f t="shared" si="10"/>
        <v>1937</v>
      </c>
      <c r="W36" s="116">
        <f t="shared" ref="W36:AJ36" si="11">W11+W17+W23+W29+W35</f>
        <v>57</v>
      </c>
      <c r="X36" s="116">
        <f t="shared" si="11"/>
        <v>16</v>
      </c>
      <c r="Y36" s="116">
        <f t="shared" si="11"/>
        <v>23</v>
      </c>
      <c r="Z36" s="116">
        <f t="shared" si="11"/>
        <v>14</v>
      </c>
      <c r="AA36" s="116">
        <f t="shared" si="11"/>
        <v>60</v>
      </c>
      <c r="AB36" s="116">
        <f t="shared" si="11"/>
        <v>57</v>
      </c>
      <c r="AC36" s="116">
        <f t="shared" si="11"/>
        <v>227</v>
      </c>
      <c r="AD36" s="117">
        <f t="shared" si="11"/>
        <v>210</v>
      </c>
      <c r="AE36" s="118">
        <f t="shared" si="11"/>
        <v>59</v>
      </c>
      <c r="AF36" s="118">
        <f t="shared" si="11"/>
        <v>79</v>
      </c>
      <c r="AG36" s="118">
        <f t="shared" si="11"/>
        <v>51.5</v>
      </c>
      <c r="AH36" s="118">
        <f t="shared" si="11"/>
        <v>233.5</v>
      </c>
      <c r="AI36" s="118">
        <f t="shared" si="11"/>
        <v>219.5</v>
      </c>
      <c r="AJ36" s="113">
        <f t="shared" si="11"/>
        <v>852.5</v>
      </c>
    </row>
    <row r="41" spans="1:36">
      <c r="T41" s="5"/>
      <c r="W41" s="2"/>
    </row>
    <row r="42" spans="1:36">
      <c r="T42" s="5"/>
      <c r="W42" s="2"/>
    </row>
    <row r="43" spans="1:36">
      <c r="T43" s="5"/>
      <c r="W43" s="2"/>
    </row>
    <row r="44" spans="1:36">
      <c r="T44" s="5"/>
      <c r="W44" s="2"/>
    </row>
    <row r="45" spans="1:36">
      <c r="T45" s="5"/>
      <c r="W45" s="2"/>
    </row>
    <row r="46" spans="1:36">
      <c r="T46" s="5"/>
      <c r="W46" s="2"/>
    </row>
    <row r="47" spans="1:36">
      <c r="T47" s="5"/>
      <c r="W47" s="2"/>
    </row>
    <row r="48" spans="1:36">
      <c r="T48" s="5"/>
      <c r="W48" s="2"/>
    </row>
    <row r="49" spans="20:23">
      <c r="T49" s="5"/>
      <c r="W49" s="2"/>
    </row>
    <row r="50" spans="20:23">
      <c r="T50" s="5"/>
      <c r="W50" s="2"/>
    </row>
    <row r="51" spans="20:23">
      <c r="T51" s="5"/>
      <c r="W51" s="2"/>
    </row>
    <row r="52" spans="20:23">
      <c r="T52" s="5"/>
      <c r="W52" s="2"/>
    </row>
    <row r="53" spans="20:23">
      <c r="T53" s="5"/>
      <c r="W53" s="2"/>
    </row>
    <row r="54" spans="20:23">
      <c r="T54" s="5"/>
      <c r="W54" s="2"/>
    </row>
    <row r="55" spans="20:23">
      <c r="T55" s="5"/>
      <c r="W55" s="2"/>
    </row>
    <row r="56" spans="20:23">
      <c r="T56" s="5"/>
      <c r="W56" s="2"/>
    </row>
    <row r="57" spans="20:23">
      <c r="T57" s="5"/>
      <c r="W57" s="2"/>
    </row>
    <row r="58" spans="20:23">
      <c r="T58" s="5"/>
      <c r="W58" s="2"/>
    </row>
    <row r="59" spans="20:23">
      <c r="T59" s="5"/>
      <c r="W59" s="2"/>
    </row>
    <row r="60" spans="20:23">
      <c r="T60" s="5"/>
      <c r="W60" s="2"/>
    </row>
    <row r="61" spans="20:23">
      <c r="T61" s="5"/>
      <c r="W61" s="2"/>
    </row>
    <row r="62" spans="20:23">
      <c r="T62" s="5"/>
      <c r="W62" s="2"/>
    </row>
    <row r="63" spans="20:23">
      <c r="T63" s="5"/>
      <c r="W63" s="2"/>
    </row>
    <row r="64" spans="20:23">
      <c r="T64" s="5"/>
      <c r="W64" s="2"/>
    </row>
    <row r="65" spans="20:23">
      <c r="T65" s="5"/>
      <c r="W65" s="2"/>
    </row>
    <row r="66" spans="20:23">
      <c r="T66" s="5"/>
      <c r="W66" s="2"/>
    </row>
    <row r="67" spans="20:23">
      <c r="T67" s="5"/>
      <c r="W67" s="2"/>
    </row>
    <row r="68" spans="20:23">
      <c r="T68" s="5"/>
      <c r="W68" s="2"/>
    </row>
    <row r="69" spans="20:23">
      <c r="T69" s="5"/>
      <c r="W69" s="2"/>
    </row>
    <row r="70" spans="20:23">
      <c r="T70" s="5"/>
      <c r="W70" s="2"/>
    </row>
    <row r="71" spans="20:23">
      <c r="T71" s="5"/>
      <c r="W71" s="2"/>
    </row>
    <row r="72" spans="20:23">
      <c r="T72" s="5"/>
      <c r="W72" s="2"/>
    </row>
    <row r="73" spans="20:23">
      <c r="T73" s="5"/>
      <c r="W73" s="2"/>
    </row>
    <row r="74" spans="20:23">
      <c r="T74" s="5"/>
      <c r="W74" s="2"/>
    </row>
  </sheetData>
  <mergeCells count="20">
    <mergeCell ref="C4:G4"/>
    <mergeCell ref="H4:L4"/>
    <mergeCell ref="M4:P4"/>
    <mergeCell ref="Q4:R4"/>
    <mergeCell ref="S4:T4"/>
    <mergeCell ref="U4:V4"/>
    <mergeCell ref="W4:AC4"/>
    <mergeCell ref="AD4:AJ4"/>
    <mergeCell ref="A11:B11"/>
    <mergeCell ref="A17:B17"/>
    <mergeCell ref="A23:B23"/>
    <mergeCell ref="A29:B29"/>
    <mergeCell ref="A35:B35"/>
    <mergeCell ref="A36:B36"/>
    <mergeCell ref="A6:A10"/>
    <mergeCell ref="A12:A16"/>
    <mergeCell ref="A18:A22"/>
    <mergeCell ref="A24:A28"/>
    <mergeCell ref="A30:A34"/>
    <mergeCell ref="E1:AA2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74"/>
  <sheetViews>
    <sheetView workbookViewId="0">
      <selection activeCell="A1" sqref="A1"/>
    </sheetView>
  </sheetViews>
  <sheetFormatPr defaultColWidth="13.6923076923077" defaultRowHeight="16.8"/>
  <cols>
    <col min="1" max="1" width="3.68269230769231" style="2" customWidth="1"/>
    <col min="2" max="22" width="13.6923076923077" style="2" customWidth="1"/>
    <col min="23" max="23" width="13.6923076923077" style="5" customWidth="1"/>
    <col min="24" max="16384" width="13.6923076923077" style="2" customWidth="1"/>
  </cols>
  <sheetData>
    <row r="1" spans="1:36">
      <c r="E1" s="6" t="s">
        <v>104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36"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17.55"/>
    <row r="4" s="1" customFormat="1" ht="17.55" spans="1:36">
      <c r="C4" s="8" t="s">
        <v>105</v>
      </c>
      <c r="D4" s="9"/>
      <c r="E4" s="9"/>
      <c r="F4" s="9"/>
      <c r="G4" s="10"/>
      <c r="H4" s="9" t="s">
        <v>106</v>
      </c>
      <c r="I4" s="9"/>
      <c r="J4" s="9"/>
      <c r="K4" s="9"/>
      <c r="L4" s="9"/>
      <c r="M4" s="8" t="s">
        <v>107</v>
      </c>
      <c r="N4" s="9"/>
      <c r="O4" s="9"/>
      <c r="P4" s="11"/>
      <c r="Q4" s="12" t="s">
        <v>124</v>
      </c>
      <c r="R4" s="10"/>
      <c r="S4" s="9" t="s">
        <v>109</v>
      </c>
      <c r="T4" s="11"/>
      <c r="U4" s="13" t="s">
        <v>110</v>
      </c>
      <c r="V4" s="14"/>
      <c r="W4" s="12" t="s">
        <v>111</v>
      </c>
      <c r="X4" s="15"/>
      <c r="Y4" s="15"/>
      <c r="Z4" s="15"/>
      <c r="AA4" s="15"/>
      <c r="AB4" s="15"/>
      <c r="AC4" s="15"/>
      <c r="AD4" s="12" t="s">
        <v>112</v>
      </c>
      <c r="AE4" s="15"/>
      <c r="AF4" s="15"/>
      <c r="AG4" s="15"/>
      <c r="AH4" s="15"/>
      <c r="AI4" s="15"/>
      <c r="AJ4" s="10"/>
    </row>
    <row r="5" s="2" customFormat="1" ht="17.55" spans="1:36">
      <c r="A5" s="16" t="s">
        <v>198</v>
      </c>
      <c r="B5" s="17" t="s">
        <v>55</v>
      </c>
      <c r="C5" s="18" t="s">
        <v>47</v>
      </c>
      <c r="D5" s="19" t="s">
        <v>114</v>
      </c>
      <c r="E5" s="20" t="s">
        <v>40</v>
      </c>
      <c r="F5" s="19" t="s">
        <v>41</v>
      </c>
      <c r="G5" s="21" t="s">
        <v>42</v>
      </c>
      <c r="H5" s="22" t="s">
        <v>47</v>
      </c>
      <c r="I5" s="22" t="s">
        <v>114</v>
      </c>
      <c r="J5" s="23" t="s">
        <v>40</v>
      </c>
      <c r="K5" s="23" t="s">
        <v>41</v>
      </c>
      <c r="L5" s="24" t="s">
        <v>42</v>
      </c>
      <c r="M5" s="25" t="s">
        <v>47</v>
      </c>
      <c r="N5" s="23" t="s">
        <v>48</v>
      </c>
      <c r="O5" s="23" t="s">
        <v>49</v>
      </c>
      <c r="P5" s="26" t="s">
        <v>50</v>
      </c>
      <c r="Q5" s="25" t="s">
        <v>115</v>
      </c>
      <c r="R5" s="26" t="s">
        <v>116</v>
      </c>
      <c r="S5" s="22" t="s">
        <v>72</v>
      </c>
      <c r="T5" s="27" t="s">
        <v>73</v>
      </c>
      <c r="U5" s="19" t="s">
        <v>74</v>
      </c>
      <c r="V5" s="28" t="s">
        <v>75</v>
      </c>
      <c r="W5" s="25" t="s">
        <v>117</v>
      </c>
      <c r="X5" s="23" t="s">
        <v>118</v>
      </c>
      <c r="Y5" s="23" t="s">
        <v>119</v>
      </c>
      <c r="Z5" s="23" t="s">
        <v>110</v>
      </c>
      <c r="AA5" s="24" t="s">
        <v>120</v>
      </c>
      <c r="AB5" s="24" t="s">
        <v>121</v>
      </c>
      <c r="AC5" s="24" t="s">
        <v>39</v>
      </c>
      <c r="AD5" s="25" t="s">
        <v>117</v>
      </c>
      <c r="AE5" s="23" t="s">
        <v>118</v>
      </c>
      <c r="AF5" s="23" t="s">
        <v>122</v>
      </c>
      <c r="AG5" s="23" t="s">
        <v>110</v>
      </c>
      <c r="AH5" s="24" t="s">
        <v>120</v>
      </c>
      <c r="AI5" s="24" t="s">
        <v>121</v>
      </c>
      <c r="AJ5" s="26" t="s">
        <v>39</v>
      </c>
    </row>
    <row r="6" spans="1:36">
      <c r="A6" s="29" t="s">
        <v>184</v>
      </c>
      <c r="B6" s="30"/>
      <c r="C6" s="31"/>
      <c r="D6" s="32"/>
      <c r="E6" s="32"/>
      <c r="F6" s="32"/>
      <c r="G6" s="33"/>
      <c r="H6" s="34"/>
      <c r="I6" s="34"/>
      <c r="J6" s="32"/>
      <c r="K6" s="32"/>
      <c r="L6" s="35"/>
      <c r="M6" s="36"/>
      <c r="N6" s="37"/>
      <c r="O6" s="37"/>
      <c r="P6" s="38"/>
      <c r="Q6" s="39"/>
      <c r="R6" s="40"/>
      <c r="S6" s="41"/>
      <c r="T6" s="42"/>
      <c r="U6" s="31"/>
      <c r="V6" s="33"/>
      <c r="W6" s="41"/>
      <c r="X6" s="37"/>
      <c r="Y6" s="37"/>
      <c r="Z6" s="37"/>
      <c r="AA6" s="43"/>
      <c r="AB6" s="43"/>
      <c r="AC6" s="43">
        <f>SUM(W6:AB6)</f>
        <v>0</v>
      </c>
      <c r="AD6" s="44"/>
      <c r="AE6" s="45"/>
      <c r="AF6" s="45"/>
      <c r="AG6" s="45"/>
      <c r="AH6" s="46"/>
      <c r="AI6" s="46"/>
      <c r="AJ6" s="47">
        <f>SUM(AD6:AI6)</f>
        <v>0</v>
      </c>
    </row>
    <row r="7" spans="1:36">
      <c r="A7" s="29"/>
      <c r="B7" s="30"/>
      <c r="C7" s="49"/>
      <c r="D7" s="50"/>
      <c r="E7" s="50"/>
      <c r="F7" s="50"/>
      <c r="G7" s="51"/>
      <c r="H7" s="52"/>
      <c r="I7" s="50"/>
      <c r="J7" s="50"/>
      <c r="K7" s="50"/>
      <c r="L7" s="52"/>
      <c r="M7" s="49"/>
      <c r="N7" s="50"/>
      <c r="O7" s="50"/>
      <c r="P7" s="51"/>
      <c r="Q7" s="53"/>
      <c r="R7" s="54"/>
      <c r="S7" s="55"/>
      <c r="T7" s="56"/>
      <c r="U7" s="49"/>
      <c r="V7" s="51"/>
      <c r="W7" s="55"/>
      <c r="X7" s="50"/>
      <c r="Y7" s="50"/>
      <c r="Z7" s="50"/>
      <c r="AA7" s="57"/>
      <c r="AB7" s="57"/>
      <c r="AC7" s="57">
        <f>SUM(W7:AB7)</f>
        <v>0</v>
      </c>
      <c r="AD7" s="58"/>
      <c r="AE7" s="59"/>
      <c r="AF7" s="59"/>
      <c r="AG7" s="59"/>
      <c r="AH7" s="60"/>
      <c r="AI7" s="60"/>
      <c r="AJ7" s="54">
        <f>SUM(AD7:AI7)</f>
        <v>0</v>
      </c>
    </row>
    <row r="8" spans="1:36">
      <c r="A8" s="29"/>
      <c r="B8" s="30"/>
      <c r="C8" s="49"/>
      <c r="D8" s="50"/>
      <c r="E8" s="50"/>
      <c r="F8" s="50"/>
      <c r="G8" s="51"/>
      <c r="H8" s="52"/>
      <c r="I8" s="50"/>
      <c r="J8" s="50"/>
      <c r="K8" s="50"/>
      <c r="L8" s="52"/>
      <c r="M8" s="61"/>
      <c r="N8" s="50"/>
      <c r="O8" s="50"/>
      <c r="P8" s="51"/>
      <c r="Q8" s="53"/>
      <c r="R8" s="54"/>
      <c r="S8" s="55"/>
      <c r="T8" s="56"/>
      <c r="U8" s="49"/>
      <c r="V8" s="51"/>
      <c r="W8" s="55"/>
      <c r="X8" s="50"/>
      <c r="Y8" s="50"/>
      <c r="Z8" s="50"/>
      <c r="AA8" s="57"/>
      <c r="AB8" s="57"/>
      <c r="AC8" s="57">
        <f>SUM(W8:AB8)</f>
        <v>0</v>
      </c>
      <c r="AD8" s="58"/>
      <c r="AE8" s="59"/>
      <c r="AF8" s="59"/>
      <c r="AG8" s="59"/>
      <c r="AH8" s="60"/>
      <c r="AI8" s="60"/>
      <c r="AJ8" s="54">
        <f>SUM(AD8:AI8)</f>
        <v>0</v>
      </c>
    </row>
    <row r="9" spans="1:36">
      <c r="A9" s="29"/>
      <c r="B9" s="30"/>
      <c r="C9" s="49"/>
      <c r="D9" s="50"/>
      <c r="E9" s="50"/>
      <c r="F9" s="50"/>
      <c r="G9" s="51"/>
      <c r="H9" s="52"/>
      <c r="I9" s="50"/>
      <c r="J9" s="50"/>
      <c r="K9" s="50"/>
      <c r="L9" s="52"/>
      <c r="M9" s="61"/>
      <c r="N9" s="50"/>
      <c r="O9" s="50"/>
      <c r="P9" s="51"/>
      <c r="Q9" s="53"/>
      <c r="R9" s="54"/>
      <c r="S9" s="55"/>
      <c r="T9" s="56"/>
      <c r="U9" s="49"/>
      <c r="V9" s="51"/>
      <c r="W9" s="55"/>
      <c r="X9" s="50"/>
      <c r="Y9" s="50"/>
      <c r="Z9" s="50"/>
      <c r="AA9" s="57"/>
      <c r="AB9" s="57"/>
      <c r="AC9" s="57">
        <f>SUM(W9:AB9)</f>
        <v>0</v>
      </c>
      <c r="AD9" s="58"/>
      <c r="AE9" s="59"/>
      <c r="AF9" s="59"/>
      <c r="AG9" s="59"/>
      <c r="AH9" s="60"/>
      <c r="AI9" s="60"/>
      <c r="AJ9" s="54">
        <f>SUM(AD9:AI9)</f>
        <v>0</v>
      </c>
    </row>
    <row r="10" spans="1:36">
      <c r="A10" s="62"/>
      <c r="B10" s="48">
        <v>46143</v>
      </c>
      <c r="C10" s="49">
        <v>3</v>
      </c>
      <c r="D10" s="50">
        <v>3</v>
      </c>
      <c r="E10" s="50">
        <v>1</v>
      </c>
      <c r="F10" s="50">
        <v>2</v>
      </c>
      <c r="G10" s="51">
        <v>0</v>
      </c>
      <c r="H10" s="52">
        <v>3</v>
      </c>
      <c r="I10" s="50">
        <v>2</v>
      </c>
      <c r="J10" s="50">
        <v>0</v>
      </c>
      <c r="K10" s="50">
        <v>2</v>
      </c>
      <c r="L10" s="52">
        <v>0</v>
      </c>
      <c r="M10" s="61">
        <v>1</v>
      </c>
      <c r="N10" s="50">
        <v>0</v>
      </c>
      <c r="O10" s="50">
        <v>0</v>
      </c>
      <c r="P10" s="51">
        <v>0</v>
      </c>
      <c r="Q10" s="53">
        <v>34.8</v>
      </c>
      <c r="R10" s="54">
        <v>10.4</v>
      </c>
      <c r="S10" s="55">
        <v>11</v>
      </c>
      <c r="T10" s="56">
        <v>182.41</v>
      </c>
      <c r="U10" s="49">
        <v>1581</v>
      </c>
      <c r="V10" s="51">
        <v>185</v>
      </c>
      <c r="W10" s="55">
        <v>4</v>
      </c>
      <c r="X10" s="50">
        <v>2</v>
      </c>
      <c r="Y10" s="50">
        <v>1</v>
      </c>
      <c r="Z10" s="50">
        <v>2</v>
      </c>
      <c r="AA10" s="57">
        <v>4</v>
      </c>
      <c r="AB10" s="57">
        <v>3</v>
      </c>
      <c r="AC10" s="57">
        <f>SUM(W10:AB10)</f>
        <v>16</v>
      </c>
      <c r="AD10" s="58">
        <v>12</v>
      </c>
      <c r="AE10" s="59">
        <v>5.5</v>
      </c>
      <c r="AF10" s="59">
        <v>4.5</v>
      </c>
      <c r="AG10" s="59">
        <v>10.5</v>
      </c>
      <c r="AH10" s="60">
        <v>9.5</v>
      </c>
      <c r="AI10" s="60">
        <v>16.5</v>
      </c>
      <c r="AJ10" s="54">
        <f>SUM(AD10:AI10)</f>
        <v>58.5</v>
      </c>
    </row>
    <row r="11" s="3" customFormat="1" spans="1:36">
      <c r="A11" s="63" t="s">
        <v>126</v>
      </c>
      <c r="B11" s="64"/>
      <c r="C11" s="65">
        <f>SUM(C10:C10)</f>
        <v>3</v>
      </c>
      <c r="D11" s="66">
        <f>SUM(D10:D10)</f>
        <v>3</v>
      </c>
      <c r="E11" s="66">
        <f>SUM(E10:E10)</f>
        <v>1</v>
      </c>
      <c r="F11" s="66">
        <f>SUM(F10:F10)</f>
        <v>2</v>
      </c>
      <c r="G11" s="67">
        <f>SUM(G10:G10)</f>
        <v>0</v>
      </c>
      <c r="H11" s="68">
        <f t="shared" ref="H11:V11" si="0">SUM(H10:H10)</f>
        <v>3</v>
      </c>
      <c r="I11" s="66">
        <f t="shared" si="0"/>
        <v>2</v>
      </c>
      <c r="J11" s="66">
        <f t="shared" si="0"/>
        <v>0</v>
      </c>
      <c r="K11" s="66">
        <f t="shared" si="0"/>
        <v>2</v>
      </c>
      <c r="L11" s="68">
        <f t="shared" si="0"/>
        <v>0</v>
      </c>
      <c r="M11" s="69">
        <f t="shared" si="0"/>
        <v>1</v>
      </c>
      <c r="N11" s="66">
        <f t="shared" si="0"/>
        <v>0</v>
      </c>
      <c r="O11" s="66">
        <f t="shared" si="0"/>
        <v>0</v>
      </c>
      <c r="P11" s="67">
        <f t="shared" si="0"/>
        <v>0</v>
      </c>
      <c r="Q11" s="70">
        <f t="shared" si="0"/>
        <v>34.8</v>
      </c>
      <c r="R11" s="71">
        <f t="shared" si="0"/>
        <v>10.4</v>
      </c>
      <c r="S11" s="72">
        <f t="shared" si="0"/>
        <v>11</v>
      </c>
      <c r="T11" s="73">
        <f t="shared" si="0"/>
        <v>182.41</v>
      </c>
      <c r="U11" s="65">
        <f t="shared" si="0"/>
        <v>1581</v>
      </c>
      <c r="V11" s="67">
        <f t="shared" si="0"/>
        <v>185</v>
      </c>
      <c r="W11" s="68">
        <f t="shared" ref="W11:AJ11" si="1">SUM(W10:W10)</f>
        <v>4</v>
      </c>
      <c r="X11" s="74">
        <f t="shared" si="1"/>
        <v>2</v>
      </c>
      <c r="Y11" s="74">
        <f t="shared" si="1"/>
        <v>1</v>
      </c>
      <c r="Z11" s="74">
        <f t="shared" si="1"/>
        <v>2</v>
      </c>
      <c r="AA11" s="74">
        <f t="shared" si="1"/>
        <v>4</v>
      </c>
      <c r="AB11" s="74">
        <f t="shared" si="1"/>
        <v>3</v>
      </c>
      <c r="AC11" s="74">
        <f t="shared" si="1"/>
        <v>16</v>
      </c>
      <c r="AD11" s="70">
        <f t="shared" si="1"/>
        <v>12</v>
      </c>
      <c r="AE11" s="75">
        <f t="shared" si="1"/>
        <v>5.5</v>
      </c>
      <c r="AF11" s="75">
        <f t="shared" si="1"/>
        <v>4.5</v>
      </c>
      <c r="AG11" s="75">
        <f t="shared" si="1"/>
        <v>10.5</v>
      </c>
      <c r="AH11" s="75">
        <f t="shared" si="1"/>
        <v>9.5</v>
      </c>
      <c r="AI11" s="75">
        <f t="shared" si="1"/>
        <v>16.5</v>
      </c>
      <c r="AJ11" s="71">
        <f t="shared" si="1"/>
        <v>58.5</v>
      </c>
    </row>
    <row r="12" spans="1:36">
      <c r="A12" s="29" t="s">
        <v>185</v>
      </c>
      <c r="B12" s="48">
        <v>46146</v>
      </c>
      <c r="C12" s="49">
        <v>3</v>
      </c>
      <c r="D12" s="50">
        <v>2</v>
      </c>
      <c r="E12" s="50">
        <v>0</v>
      </c>
      <c r="F12" s="50">
        <v>2</v>
      </c>
      <c r="G12" s="51">
        <v>0</v>
      </c>
      <c r="H12" s="52">
        <v>2</v>
      </c>
      <c r="I12" s="50">
        <v>2</v>
      </c>
      <c r="J12" s="50">
        <v>1</v>
      </c>
      <c r="K12" s="50">
        <v>1</v>
      </c>
      <c r="L12" s="52">
        <v>0</v>
      </c>
      <c r="M12" s="61">
        <v>1</v>
      </c>
      <c r="N12" s="50">
        <v>0</v>
      </c>
      <c r="O12" s="50">
        <v>1</v>
      </c>
      <c r="P12" s="51">
        <v>0</v>
      </c>
      <c r="Q12" s="53">
        <v>33.6</v>
      </c>
      <c r="R12" s="54">
        <v>6.6</v>
      </c>
      <c r="S12" s="55">
        <v>15</v>
      </c>
      <c r="T12" s="56">
        <v>347.95</v>
      </c>
      <c r="U12" s="49">
        <v>396</v>
      </c>
      <c r="V12" s="51">
        <v>37</v>
      </c>
      <c r="W12" s="55">
        <v>2</v>
      </c>
      <c r="X12" s="50">
        <v>0</v>
      </c>
      <c r="Y12" s="50">
        <v>0</v>
      </c>
      <c r="Z12" s="50">
        <v>0</v>
      </c>
      <c r="AA12" s="57">
        <v>5</v>
      </c>
      <c r="AB12" s="57">
        <v>2</v>
      </c>
      <c r="AC12" s="57">
        <f>SUM(W12:AB12)</f>
        <v>9</v>
      </c>
      <c r="AD12" s="58">
        <v>6.5</v>
      </c>
      <c r="AE12" s="59">
        <v>0</v>
      </c>
      <c r="AF12" s="59">
        <v>0</v>
      </c>
      <c r="AG12" s="59">
        <v>0</v>
      </c>
      <c r="AH12" s="60">
        <v>18</v>
      </c>
      <c r="AI12" s="60">
        <v>6</v>
      </c>
      <c r="AJ12" s="54">
        <f>SUM(AD12:AI12)</f>
        <v>30.5</v>
      </c>
    </row>
    <row r="13" spans="1:36">
      <c r="A13" s="29"/>
      <c r="B13" s="48">
        <v>46147</v>
      </c>
      <c r="C13" s="49">
        <v>3</v>
      </c>
      <c r="D13" s="50">
        <v>3</v>
      </c>
      <c r="E13" s="50">
        <v>1</v>
      </c>
      <c r="F13" s="50">
        <v>2</v>
      </c>
      <c r="G13" s="51">
        <v>0</v>
      </c>
      <c r="H13" s="52">
        <v>3</v>
      </c>
      <c r="I13" s="50">
        <v>3</v>
      </c>
      <c r="J13" s="50">
        <v>1</v>
      </c>
      <c r="K13" s="50">
        <v>2</v>
      </c>
      <c r="L13" s="52">
        <v>0</v>
      </c>
      <c r="M13" s="61">
        <v>1</v>
      </c>
      <c r="N13" s="50">
        <v>0</v>
      </c>
      <c r="O13" s="50">
        <v>0</v>
      </c>
      <c r="P13" s="51">
        <v>0</v>
      </c>
      <c r="Q13" s="53">
        <v>16.6</v>
      </c>
      <c r="R13" s="54">
        <v>0</v>
      </c>
      <c r="S13" s="55">
        <v>3</v>
      </c>
      <c r="T13" s="56">
        <v>87.74</v>
      </c>
      <c r="U13" s="49">
        <v>1415</v>
      </c>
      <c r="V13" s="51">
        <v>99</v>
      </c>
      <c r="W13" s="55">
        <v>1</v>
      </c>
      <c r="X13" s="50">
        <v>2</v>
      </c>
      <c r="Y13" s="50">
        <v>1</v>
      </c>
      <c r="Z13" s="50">
        <v>1</v>
      </c>
      <c r="AA13" s="57">
        <v>1</v>
      </c>
      <c r="AB13" s="57">
        <v>2</v>
      </c>
      <c r="AC13" s="57">
        <f>SUM(W13:AB13)</f>
        <v>8</v>
      </c>
      <c r="AD13" s="58">
        <v>3.5</v>
      </c>
      <c r="AE13" s="59">
        <v>5</v>
      </c>
      <c r="AF13" s="59">
        <v>4</v>
      </c>
      <c r="AG13" s="59">
        <v>5.5</v>
      </c>
      <c r="AH13" s="60">
        <v>2.5</v>
      </c>
      <c r="AI13" s="60">
        <v>9</v>
      </c>
      <c r="AJ13" s="54">
        <f>SUM(AD13:AI13)</f>
        <v>29.5</v>
      </c>
    </row>
    <row r="14" spans="1:36">
      <c r="A14" s="29"/>
      <c r="B14" s="48">
        <v>46148</v>
      </c>
      <c r="C14" s="49">
        <v>4</v>
      </c>
      <c r="D14" s="50">
        <v>4</v>
      </c>
      <c r="E14" s="50">
        <v>1</v>
      </c>
      <c r="F14" s="50">
        <v>3</v>
      </c>
      <c r="G14" s="51">
        <v>0</v>
      </c>
      <c r="H14" s="52">
        <v>3</v>
      </c>
      <c r="I14" s="50">
        <v>3</v>
      </c>
      <c r="J14" s="50">
        <v>1</v>
      </c>
      <c r="K14" s="50">
        <v>2</v>
      </c>
      <c r="L14" s="52">
        <v>0</v>
      </c>
      <c r="M14" s="61">
        <v>1</v>
      </c>
      <c r="N14" s="50">
        <v>0</v>
      </c>
      <c r="O14" s="50">
        <v>0</v>
      </c>
      <c r="P14" s="51">
        <v>0</v>
      </c>
      <c r="Q14" s="53">
        <v>0</v>
      </c>
      <c r="R14" s="54">
        <v>21.3</v>
      </c>
      <c r="S14" s="55">
        <v>16</v>
      </c>
      <c r="T14" s="56">
        <v>365.51</v>
      </c>
      <c r="U14" s="49">
        <v>581</v>
      </c>
      <c r="V14" s="51">
        <v>66</v>
      </c>
      <c r="W14" s="55">
        <v>1</v>
      </c>
      <c r="X14" s="50">
        <v>2</v>
      </c>
      <c r="Y14" s="50">
        <v>2</v>
      </c>
      <c r="Z14" s="50">
        <v>1</v>
      </c>
      <c r="AA14" s="57">
        <v>3</v>
      </c>
      <c r="AB14" s="57">
        <v>3</v>
      </c>
      <c r="AC14" s="57">
        <f>SUM(W14:AB14)</f>
        <v>12</v>
      </c>
      <c r="AD14" s="58">
        <v>4.5</v>
      </c>
      <c r="AE14" s="59">
        <v>6.5</v>
      </c>
      <c r="AF14" s="59">
        <v>6.5</v>
      </c>
      <c r="AG14" s="59">
        <v>2</v>
      </c>
      <c r="AH14" s="60">
        <v>13.5</v>
      </c>
      <c r="AI14" s="60">
        <v>8.5</v>
      </c>
      <c r="AJ14" s="54">
        <f>SUM(AD14:AI14)</f>
        <v>41.5</v>
      </c>
    </row>
    <row r="15" spans="1:36">
      <c r="A15" s="29"/>
      <c r="B15" s="48">
        <v>46149</v>
      </c>
      <c r="C15" s="49">
        <v>2</v>
      </c>
      <c r="D15" s="50">
        <v>2</v>
      </c>
      <c r="E15" s="50">
        <v>0</v>
      </c>
      <c r="F15" s="50">
        <v>2</v>
      </c>
      <c r="G15" s="51">
        <v>0</v>
      </c>
      <c r="H15" s="55">
        <v>3</v>
      </c>
      <c r="I15" s="55">
        <v>3</v>
      </c>
      <c r="J15" s="50">
        <v>0</v>
      </c>
      <c r="K15" s="50">
        <v>3</v>
      </c>
      <c r="L15" s="57">
        <v>0</v>
      </c>
      <c r="M15" s="49">
        <v>0</v>
      </c>
      <c r="N15" s="50">
        <v>1</v>
      </c>
      <c r="O15" s="50">
        <v>1</v>
      </c>
      <c r="P15" s="51">
        <v>0</v>
      </c>
      <c r="Q15" s="53">
        <v>54.7</v>
      </c>
      <c r="R15" s="54">
        <v>0</v>
      </c>
      <c r="S15" s="55">
        <v>12</v>
      </c>
      <c r="T15" s="56">
        <v>333.51</v>
      </c>
      <c r="U15" s="49">
        <v>609</v>
      </c>
      <c r="V15" s="51">
        <v>72</v>
      </c>
      <c r="W15" s="55">
        <v>1</v>
      </c>
      <c r="X15" s="50">
        <v>1</v>
      </c>
      <c r="Y15" s="50">
        <v>2</v>
      </c>
      <c r="Z15" s="50">
        <v>0</v>
      </c>
      <c r="AA15" s="57">
        <v>3</v>
      </c>
      <c r="AB15" s="57">
        <v>1</v>
      </c>
      <c r="AC15" s="57">
        <f>SUM(W15:AB15)</f>
        <v>8</v>
      </c>
      <c r="AD15" s="58">
        <v>3</v>
      </c>
      <c r="AE15" s="59">
        <v>3.5</v>
      </c>
      <c r="AF15" s="59">
        <v>4</v>
      </c>
      <c r="AG15" s="59">
        <v>0</v>
      </c>
      <c r="AH15" s="60">
        <v>12.5</v>
      </c>
      <c r="AI15" s="60">
        <v>3</v>
      </c>
      <c r="AJ15" s="54">
        <f>SUM(AD15:AI15)</f>
        <v>26</v>
      </c>
    </row>
    <row r="16" spans="1:36">
      <c r="A16" s="29"/>
      <c r="B16" s="48">
        <v>46150</v>
      </c>
      <c r="C16" s="49">
        <v>0</v>
      </c>
      <c r="D16" s="50">
        <v>0</v>
      </c>
      <c r="E16" s="50">
        <v>0</v>
      </c>
      <c r="F16" s="50">
        <v>0</v>
      </c>
      <c r="G16" s="51">
        <v>0</v>
      </c>
      <c r="H16" s="55">
        <v>0</v>
      </c>
      <c r="I16" s="55">
        <v>0</v>
      </c>
      <c r="J16" s="50">
        <v>0</v>
      </c>
      <c r="K16" s="50">
        <v>0</v>
      </c>
      <c r="L16" s="57">
        <v>0</v>
      </c>
      <c r="M16" s="49">
        <v>2</v>
      </c>
      <c r="N16" s="50">
        <v>0</v>
      </c>
      <c r="O16" s="50">
        <v>0</v>
      </c>
      <c r="P16" s="51">
        <v>0</v>
      </c>
      <c r="Q16" s="77">
        <v>29.1</v>
      </c>
      <c r="R16" s="54">
        <v>0</v>
      </c>
      <c r="S16" s="78">
        <v>7</v>
      </c>
      <c r="T16" s="79">
        <v>192.84</v>
      </c>
      <c r="U16" s="80">
        <v>695</v>
      </c>
      <c r="V16" s="81">
        <v>43</v>
      </c>
      <c r="W16" s="55">
        <v>1</v>
      </c>
      <c r="X16" s="50">
        <v>0</v>
      </c>
      <c r="Y16" s="50">
        <v>2</v>
      </c>
      <c r="Z16" s="50">
        <v>0</v>
      </c>
      <c r="AA16" s="57">
        <v>4</v>
      </c>
      <c r="AB16" s="57">
        <v>1</v>
      </c>
      <c r="AC16" s="57">
        <f>SUM(W16:AB16)</f>
        <v>8</v>
      </c>
      <c r="AD16" s="58">
        <v>2</v>
      </c>
      <c r="AE16" s="59">
        <v>0</v>
      </c>
      <c r="AF16" s="59">
        <v>4.5</v>
      </c>
      <c r="AG16" s="59">
        <v>0</v>
      </c>
      <c r="AH16" s="60">
        <v>13.5</v>
      </c>
      <c r="AI16" s="60">
        <v>4.5</v>
      </c>
      <c r="AJ16" s="54">
        <f>SUM(AD16:AI16)</f>
        <v>24.5</v>
      </c>
    </row>
    <row r="17" spans="1:36">
      <c r="A17" s="63" t="s">
        <v>126</v>
      </c>
      <c r="B17" s="64"/>
      <c r="C17" s="65">
        <f>SUM(C12:C16)</f>
        <v>12</v>
      </c>
      <c r="D17" s="66">
        <f>SUM(D12:D16)</f>
        <v>11</v>
      </c>
      <c r="E17" s="66">
        <f>SUM(E12:E16)</f>
        <v>2</v>
      </c>
      <c r="F17" s="66">
        <f>SUM(F12:F16)</f>
        <v>9</v>
      </c>
      <c r="G17" s="67">
        <f>SUM(G12:G16)</f>
        <v>0</v>
      </c>
      <c r="H17" s="72">
        <f t="shared" ref="H17:V17" si="2">SUM(H12:H16)</f>
        <v>11</v>
      </c>
      <c r="I17" s="66">
        <f t="shared" si="2"/>
        <v>11</v>
      </c>
      <c r="J17" s="66">
        <f t="shared" si="2"/>
        <v>3</v>
      </c>
      <c r="K17" s="66">
        <f t="shared" si="2"/>
        <v>8</v>
      </c>
      <c r="L17" s="74">
        <f t="shared" si="2"/>
        <v>0</v>
      </c>
      <c r="M17" s="65">
        <f t="shared" si="2"/>
        <v>5</v>
      </c>
      <c r="N17" s="66">
        <f t="shared" si="2"/>
        <v>1</v>
      </c>
      <c r="O17" s="66">
        <f t="shared" si="2"/>
        <v>2</v>
      </c>
      <c r="P17" s="67">
        <f t="shared" si="2"/>
        <v>0</v>
      </c>
      <c r="Q17" s="70">
        <f t="shared" si="2"/>
        <v>134</v>
      </c>
      <c r="R17" s="71">
        <f t="shared" si="2"/>
        <v>27.9</v>
      </c>
      <c r="S17" s="72">
        <f t="shared" si="2"/>
        <v>53</v>
      </c>
      <c r="T17" s="73">
        <f t="shared" si="2"/>
        <v>1327.55</v>
      </c>
      <c r="U17" s="65">
        <f t="shared" si="2"/>
        <v>3696</v>
      </c>
      <c r="V17" s="67">
        <f t="shared" si="2"/>
        <v>317</v>
      </c>
      <c r="W17" s="68">
        <f t="shared" ref="W17:AJ17" si="3">SUM(W12:W16)</f>
        <v>6</v>
      </c>
      <c r="X17" s="74">
        <f t="shared" si="3"/>
        <v>5</v>
      </c>
      <c r="Y17" s="74">
        <f t="shared" si="3"/>
        <v>7</v>
      </c>
      <c r="Z17" s="74">
        <f t="shared" si="3"/>
        <v>2</v>
      </c>
      <c r="AA17" s="74">
        <f t="shared" si="3"/>
        <v>16</v>
      </c>
      <c r="AB17" s="74">
        <f t="shared" si="3"/>
        <v>9</v>
      </c>
      <c r="AC17" s="74">
        <f t="shared" si="3"/>
        <v>45</v>
      </c>
      <c r="AD17" s="70">
        <f t="shared" si="3"/>
        <v>19.5</v>
      </c>
      <c r="AE17" s="75">
        <f t="shared" si="3"/>
        <v>15</v>
      </c>
      <c r="AF17" s="75">
        <f t="shared" si="3"/>
        <v>19</v>
      </c>
      <c r="AG17" s="75">
        <f t="shared" si="3"/>
        <v>7.5</v>
      </c>
      <c r="AH17" s="75">
        <f t="shared" si="3"/>
        <v>60</v>
      </c>
      <c r="AI17" s="75">
        <f t="shared" si="3"/>
        <v>31</v>
      </c>
      <c r="AJ17" s="71">
        <f t="shared" si="3"/>
        <v>152</v>
      </c>
    </row>
    <row r="18" spans="1:36">
      <c r="A18" s="29" t="s">
        <v>186</v>
      </c>
      <c r="B18" s="48">
        <v>46153</v>
      </c>
      <c r="C18" s="49">
        <v>1</v>
      </c>
      <c r="D18" s="50">
        <v>1</v>
      </c>
      <c r="E18" s="50">
        <v>1</v>
      </c>
      <c r="F18" s="50">
        <v>0</v>
      </c>
      <c r="G18" s="51">
        <v>0</v>
      </c>
      <c r="H18" s="55">
        <v>0</v>
      </c>
      <c r="I18" s="55">
        <v>0</v>
      </c>
      <c r="J18" s="50">
        <v>0</v>
      </c>
      <c r="K18" s="50">
        <v>0</v>
      </c>
      <c r="L18" s="57">
        <v>0</v>
      </c>
      <c r="M18" s="49">
        <v>1</v>
      </c>
      <c r="N18" s="50">
        <v>0</v>
      </c>
      <c r="O18" s="50">
        <v>0</v>
      </c>
      <c r="P18" s="51">
        <v>0</v>
      </c>
      <c r="Q18" s="53">
        <v>29.1</v>
      </c>
      <c r="R18" s="54">
        <v>0</v>
      </c>
      <c r="S18" s="55">
        <v>13</v>
      </c>
      <c r="T18" s="56">
        <v>284.08</v>
      </c>
      <c r="U18" s="49">
        <v>1218</v>
      </c>
      <c r="V18" s="51">
        <v>144</v>
      </c>
      <c r="W18" s="55">
        <v>2</v>
      </c>
      <c r="X18" s="50">
        <v>2</v>
      </c>
      <c r="Y18" s="50">
        <v>2</v>
      </c>
      <c r="Z18" s="50">
        <v>0</v>
      </c>
      <c r="AA18" s="57">
        <v>3</v>
      </c>
      <c r="AB18" s="57">
        <v>4</v>
      </c>
      <c r="AC18" s="57">
        <f>SUM(W18:AB18)</f>
        <v>13</v>
      </c>
      <c r="AD18" s="58">
        <v>7</v>
      </c>
      <c r="AE18" s="59">
        <v>10.5</v>
      </c>
      <c r="AF18" s="59">
        <v>4.5</v>
      </c>
      <c r="AG18" s="59">
        <v>0</v>
      </c>
      <c r="AH18" s="60">
        <v>16.5</v>
      </c>
      <c r="AI18" s="60">
        <v>10</v>
      </c>
      <c r="AJ18" s="54">
        <f>SUM(AD18:AI18)</f>
        <v>48.5</v>
      </c>
    </row>
    <row r="19" spans="1:36">
      <c r="A19" s="29"/>
      <c r="B19" s="48">
        <v>46154</v>
      </c>
      <c r="C19" s="49">
        <v>3</v>
      </c>
      <c r="D19" s="50">
        <v>3</v>
      </c>
      <c r="E19" s="50">
        <v>0</v>
      </c>
      <c r="F19" s="50">
        <v>3</v>
      </c>
      <c r="G19" s="51">
        <v>0</v>
      </c>
      <c r="H19" s="55">
        <v>2</v>
      </c>
      <c r="I19" s="55">
        <v>1</v>
      </c>
      <c r="J19" s="50">
        <v>0</v>
      </c>
      <c r="K19" s="50">
        <v>1</v>
      </c>
      <c r="L19" s="57">
        <v>0</v>
      </c>
      <c r="M19" s="49">
        <v>0</v>
      </c>
      <c r="N19" s="50">
        <v>0</v>
      </c>
      <c r="O19" s="50">
        <v>0</v>
      </c>
      <c r="P19" s="51">
        <v>0</v>
      </c>
      <c r="Q19" s="53">
        <v>13.9</v>
      </c>
      <c r="R19" s="54">
        <v>17.8</v>
      </c>
      <c r="S19" s="55">
        <v>12</v>
      </c>
      <c r="T19" s="56">
        <v>220.19</v>
      </c>
      <c r="U19" s="49">
        <v>807</v>
      </c>
      <c r="V19" s="51">
        <v>114</v>
      </c>
      <c r="W19" s="55">
        <v>4</v>
      </c>
      <c r="X19" s="50">
        <v>1</v>
      </c>
      <c r="Y19" s="50">
        <v>2</v>
      </c>
      <c r="Z19" s="50">
        <v>1</v>
      </c>
      <c r="AA19" s="57">
        <v>1</v>
      </c>
      <c r="AB19" s="57">
        <v>4</v>
      </c>
      <c r="AC19" s="57">
        <f>SUM(W19:AB19)</f>
        <v>13</v>
      </c>
      <c r="AD19" s="58">
        <v>14.5</v>
      </c>
      <c r="AE19" s="59">
        <v>4</v>
      </c>
      <c r="AF19" s="59">
        <v>7</v>
      </c>
      <c r="AG19" s="59">
        <v>2.5</v>
      </c>
      <c r="AH19" s="60">
        <v>5</v>
      </c>
      <c r="AI19" s="60">
        <v>9.5</v>
      </c>
      <c r="AJ19" s="54">
        <f>SUM(AD19:AI19)</f>
        <v>42.5</v>
      </c>
    </row>
    <row r="20" spans="1:36">
      <c r="A20" s="29"/>
      <c r="B20" s="48">
        <v>46155</v>
      </c>
      <c r="C20" s="49">
        <v>1</v>
      </c>
      <c r="D20" s="50">
        <v>0</v>
      </c>
      <c r="E20" s="50">
        <v>0</v>
      </c>
      <c r="F20" s="50">
        <v>0</v>
      </c>
      <c r="G20" s="51">
        <v>0</v>
      </c>
      <c r="H20" s="55">
        <v>2</v>
      </c>
      <c r="I20" s="55">
        <v>2</v>
      </c>
      <c r="J20" s="50">
        <v>0</v>
      </c>
      <c r="K20" s="50">
        <v>2</v>
      </c>
      <c r="L20" s="57">
        <v>0</v>
      </c>
      <c r="M20" s="49">
        <v>0</v>
      </c>
      <c r="N20" s="50">
        <v>0</v>
      </c>
      <c r="O20" s="50">
        <v>0</v>
      </c>
      <c r="P20" s="51">
        <v>0</v>
      </c>
      <c r="Q20" s="53">
        <v>38.5</v>
      </c>
      <c r="R20" s="54">
        <v>9.7</v>
      </c>
      <c r="S20" s="55">
        <v>20</v>
      </c>
      <c r="T20" s="56">
        <v>424.29</v>
      </c>
      <c r="U20" s="82">
        <v>1948</v>
      </c>
      <c r="V20" s="51">
        <v>95</v>
      </c>
      <c r="W20" s="55">
        <v>2</v>
      </c>
      <c r="X20" s="50">
        <v>1</v>
      </c>
      <c r="Y20" s="50">
        <v>1</v>
      </c>
      <c r="Z20" s="50">
        <v>0</v>
      </c>
      <c r="AA20" s="57">
        <v>3</v>
      </c>
      <c r="AB20" s="57">
        <v>2</v>
      </c>
      <c r="AC20" s="57">
        <f>SUM(W20:AB20)</f>
        <v>9</v>
      </c>
      <c r="AD20" s="58">
        <v>9.5</v>
      </c>
      <c r="AE20" s="59">
        <v>2</v>
      </c>
      <c r="AF20" s="59">
        <v>3</v>
      </c>
      <c r="AG20" s="59">
        <v>0</v>
      </c>
      <c r="AH20" s="60">
        <v>14.5</v>
      </c>
      <c r="AI20" s="60">
        <v>5.5</v>
      </c>
      <c r="AJ20" s="54">
        <f>SUM(AD20:AI20)</f>
        <v>34.5</v>
      </c>
    </row>
    <row r="21" spans="1:36">
      <c r="A21" s="29"/>
      <c r="B21" s="48">
        <v>46156</v>
      </c>
      <c r="C21" s="49">
        <v>2</v>
      </c>
      <c r="D21" s="50">
        <v>2</v>
      </c>
      <c r="E21" s="50">
        <v>1</v>
      </c>
      <c r="F21" s="50">
        <v>1</v>
      </c>
      <c r="G21" s="51">
        <v>0</v>
      </c>
      <c r="H21" s="55">
        <v>1</v>
      </c>
      <c r="I21" s="55">
        <v>1</v>
      </c>
      <c r="J21" s="50">
        <v>1</v>
      </c>
      <c r="K21" s="50">
        <v>0</v>
      </c>
      <c r="L21" s="57">
        <v>0</v>
      </c>
      <c r="M21" s="49">
        <v>0</v>
      </c>
      <c r="N21" s="50">
        <v>1</v>
      </c>
      <c r="O21" s="50">
        <v>0</v>
      </c>
      <c r="P21" s="51">
        <v>1</v>
      </c>
      <c r="Q21" s="53">
        <v>20</v>
      </c>
      <c r="R21" s="54">
        <v>0</v>
      </c>
      <c r="S21" s="55">
        <v>14</v>
      </c>
      <c r="T21" s="56">
        <v>203.17</v>
      </c>
      <c r="U21" s="49">
        <v>1445</v>
      </c>
      <c r="V21" s="51">
        <v>151</v>
      </c>
      <c r="W21" s="55">
        <v>3</v>
      </c>
      <c r="X21" s="50">
        <v>1</v>
      </c>
      <c r="Y21" s="50">
        <v>1</v>
      </c>
      <c r="Z21" s="50">
        <v>2</v>
      </c>
      <c r="AA21" s="57">
        <v>2</v>
      </c>
      <c r="AB21" s="57">
        <v>2</v>
      </c>
      <c r="AC21" s="57">
        <f>SUM(W21:AB21)</f>
        <v>11</v>
      </c>
      <c r="AD21" s="58">
        <v>15</v>
      </c>
      <c r="AE21" s="59">
        <v>3</v>
      </c>
      <c r="AF21" s="59">
        <v>5</v>
      </c>
      <c r="AG21" s="59">
        <v>11</v>
      </c>
      <c r="AH21" s="60">
        <v>5</v>
      </c>
      <c r="AI21" s="60">
        <v>9</v>
      </c>
      <c r="AJ21" s="54">
        <f>SUM(AD21:AI21)</f>
        <v>48</v>
      </c>
    </row>
    <row r="22" spans="1:36">
      <c r="A22" s="29"/>
      <c r="B22" s="48">
        <v>46157</v>
      </c>
      <c r="C22" s="49">
        <v>2</v>
      </c>
      <c r="D22" s="50">
        <v>1</v>
      </c>
      <c r="E22" s="50">
        <v>1</v>
      </c>
      <c r="F22" s="50">
        <v>0</v>
      </c>
      <c r="G22" s="51">
        <v>0</v>
      </c>
      <c r="H22" s="55">
        <v>0</v>
      </c>
      <c r="I22" s="55">
        <v>0</v>
      </c>
      <c r="J22" s="50">
        <v>0</v>
      </c>
      <c r="K22" s="50">
        <v>0</v>
      </c>
      <c r="L22" s="57">
        <v>0</v>
      </c>
      <c r="M22" s="49">
        <v>0</v>
      </c>
      <c r="N22" s="50">
        <v>0</v>
      </c>
      <c r="O22" s="50">
        <v>0</v>
      </c>
      <c r="P22" s="51">
        <v>0</v>
      </c>
      <c r="Q22" s="77">
        <v>35.7</v>
      </c>
      <c r="R22" s="54">
        <v>0</v>
      </c>
      <c r="S22" s="78">
        <v>13</v>
      </c>
      <c r="T22" s="79">
        <v>398.09</v>
      </c>
      <c r="U22" s="80">
        <v>782</v>
      </c>
      <c r="V22" s="81">
        <v>73</v>
      </c>
      <c r="W22" s="55">
        <v>2</v>
      </c>
      <c r="X22" s="50">
        <v>2</v>
      </c>
      <c r="Y22" s="50">
        <v>1</v>
      </c>
      <c r="Z22" s="50">
        <v>0</v>
      </c>
      <c r="AA22" s="57">
        <v>4</v>
      </c>
      <c r="AB22" s="57">
        <v>3</v>
      </c>
      <c r="AC22" s="57">
        <f>SUM(W22:AB22)</f>
        <v>12</v>
      </c>
      <c r="AD22" s="58">
        <v>5.5</v>
      </c>
      <c r="AE22" s="59">
        <v>9.5</v>
      </c>
      <c r="AF22" s="59">
        <v>3</v>
      </c>
      <c r="AG22" s="59">
        <v>0</v>
      </c>
      <c r="AH22" s="60">
        <v>21.5</v>
      </c>
      <c r="AI22" s="60">
        <v>9</v>
      </c>
      <c r="AJ22" s="54">
        <f>SUM(AD22:AI22)</f>
        <v>48.5</v>
      </c>
    </row>
    <row r="23" spans="1:36">
      <c r="A23" s="63" t="s">
        <v>126</v>
      </c>
      <c r="B23" s="64"/>
      <c r="C23" s="65">
        <f>SUM(C18:C22)</f>
        <v>9</v>
      </c>
      <c r="D23" s="66">
        <f>SUM(D18:D22)</f>
        <v>7</v>
      </c>
      <c r="E23" s="66">
        <f>SUM(E18:E22)</f>
        <v>3</v>
      </c>
      <c r="F23" s="66">
        <f>SUM(F18:F22)</f>
        <v>4</v>
      </c>
      <c r="G23" s="67">
        <f>SUM(G18:G22)</f>
        <v>0</v>
      </c>
      <c r="H23" s="72">
        <f t="shared" ref="H23:V23" si="4">SUM(H18:H22)</f>
        <v>5</v>
      </c>
      <c r="I23" s="66">
        <f t="shared" si="4"/>
        <v>4</v>
      </c>
      <c r="J23" s="66">
        <f t="shared" si="4"/>
        <v>1</v>
      </c>
      <c r="K23" s="66">
        <f t="shared" si="4"/>
        <v>3</v>
      </c>
      <c r="L23" s="74">
        <f t="shared" si="4"/>
        <v>0</v>
      </c>
      <c r="M23" s="65">
        <f t="shared" si="4"/>
        <v>1</v>
      </c>
      <c r="N23" s="66">
        <f t="shared" si="4"/>
        <v>1</v>
      </c>
      <c r="O23" s="66">
        <f t="shared" si="4"/>
        <v>0</v>
      </c>
      <c r="P23" s="67">
        <f t="shared" si="4"/>
        <v>1</v>
      </c>
      <c r="Q23" s="70">
        <f t="shared" si="4"/>
        <v>137.2</v>
      </c>
      <c r="R23" s="71">
        <f t="shared" si="4"/>
        <v>27.5</v>
      </c>
      <c r="S23" s="72">
        <f t="shared" si="4"/>
        <v>72</v>
      </c>
      <c r="T23" s="73">
        <f t="shared" si="4"/>
        <v>1529.82</v>
      </c>
      <c r="U23" s="65">
        <f t="shared" si="4"/>
        <v>6200</v>
      </c>
      <c r="V23" s="67">
        <f t="shared" si="4"/>
        <v>577</v>
      </c>
      <c r="W23" s="68">
        <f t="shared" ref="W23:AJ23" si="5">SUM(W18:W22)</f>
        <v>13</v>
      </c>
      <c r="X23" s="74">
        <f t="shared" si="5"/>
        <v>7</v>
      </c>
      <c r="Y23" s="74">
        <f t="shared" si="5"/>
        <v>7</v>
      </c>
      <c r="Z23" s="74">
        <f t="shared" si="5"/>
        <v>3</v>
      </c>
      <c r="AA23" s="74">
        <f t="shared" si="5"/>
        <v>13</v>
      </c>
      <c r="AB23" s="74">
        <f t="shared" si="5"/>
        <v>15</v>
      </c>
      <c r="AC23" s="74">
        <f t="shared" si="5"/>
        <v>58</v>
      </c>
      <c r="AD23" s="70">
        <f t="shared" si="5"/>
        <v>51.5</v>
      </c>
      <c r="AE23" s="75">
        <f t="shared" si="5"/>
        <v>29</v>
      </c>
      <c r="AF23" s="75">
        <f t="shared" si="5"/>
        <v>22.5</v>
      </c>
      <c r="AG23" s="75">
        <f t="shared" si="5"/>
        <v>13.5</v>
      </c>
      <c r="AH23" s="75">
        <f t="shared" si="5"/>
        <v>62.5</v>
      </c>
      <c r="AI23" s="75">
        <f t="shared" si="5"/>
        <v>43</v>
      </c>
      <c r="AJ23" s="71">
        <f t="shared" si="5"/>
        <v>222</v>
      </c>
    </row>
    <row r="24" spans="1:36">
      <c r="A24" s="29" t="s">
        <v>187</v>
      </c>
      <c r="B24" s="48">
        <v>46160</v>
      </c>
      <c r="C24" s="49">
        <v>0</v>
      </c>
      <c r="D24" s="50">
        <v>0</v>
      </c>
      <c r="E24" s="50">
        <v>0</v>
      </c>
      <c r="F24" s="50">
        <v>0</v>
      </c>
      <c r="G24" s="51">
        <v>0</v>
      </c>
      <c r="H24" s="55">
        <v>1</v>
      </c>
      <c r="I24" s="55">
        <v>1</v>
      </c>
      <c r="J24" s="50">
        <v>1</v>
      </c>
      <c r="K24" s="50">
        <v>0</v>
      </c>
      <c r="L24" s="57">
        <v>0</v>
      </c>
      <c r="M24" s="49">
        <v>1</v>
      </c>
      <c r="N24" s="50">
        <v>0</v>
      </c>
      <c r="O24" s="50">
        <v>1</v>
      </c>
      <c r="P24" s="51">
        <v>0</v>
      </c>
      <c r="Q24" s="53">
        <v>52.4</v>
      </c>
      <c r="R24" s="54">
        <v>0</v>
      </c>
      <c r="S24" s="55">
        <v>5</v>
      </c>
      <c r="T24" s="56">
        <v>178.61</v>
      </c>
      <c r="U24" s="49">
        <v>1935</v>
      </c>
      <c r="V24" s="51">
        <v>140</v>
      </c>
      <c r="W24" s="55">
        <v>1</v>
      </c>
      <c r="X24" s="50">
        <v>1</v>
      </c>
      <c r="Y24" s="50">
        <v>0</v>
      </c>
      <c r="Z24" s="50">
        <v>0</v>
      </c>
      <c r="AA24" s="57">
        <v>2</v>
      </c>
      <c r="AB24" s="57">
        <v>3</v>
      </c>
      <c r="AC24" s="57">
        <f>SUM(W24:AB24)</f>
        <v>7</v>
      </c>
      <c r="AD24" s="58">
        <v>2</v>
      </c>
      <c r="AE24" s="59">
        <v>4</v>
      </c>
      <c r="AF24" s="59">
        <v>0</v>
      </c>
      <c r="AG24" s="59">
        <v>0</v>
      </c>
      <c r="AH24" s="60">
        <v>6</v>
      </c>
      <c r="AI24" s="60">
        <v>12</v>
      </c>
      <c r="AJ24" s="54">
        <f>SUM(AD24:AI24)</f>
        <v>24</v>
      </c>
    </row>
    <row r="25" spans="1:36">
      <c r="A25" s="29"/>
      <c r="B25" s="48">
        <v>46161</v>
      </c>
      <c r="C25" s="49">
        <v>1</v>
      </c>
      <c r="D25" s="50">
        <v>1</v>
      </c>
      <c r="E25" s="50">
        <v>1</v>
      </c>
      <c r="F25" s="50">
        <v>0</v>
      </c>
      <c r="G25" s="51">
        <v>0</v>
      </c>
      <c r="H25" s="55">
        <v>2</v>
      </c>
      <c r="I25" s="55">
        <v>2</v>
      </c>
      <c r="J25" s="50">
        <v>0</v>
      </c>
      <c r="K25" s="50">
        <v>2</v>
      </c>
      <c r="L25" s="57">
        <v>0</v>
      </c>
      <c r="M25" s="49">
        <v>0</v>
      </c>
      <c r="N25" s="50">
        <v>0</v>
      </c>
      <c r="O25" s="50">
        <v>1</v>
      </c>
      <c r="P25" s="51">
        <v>0</v>
      </c>
      <c r="Q25" s="53">
        <v>51.5</v>
      </c>
      <c r="R25" s="54">
        <v>0</v>
      </c>
      <c r="S25" s="55">
        <v>14</v>
      </c>
      <c r="T25" s="56">
        <v>284.29</v>
      </c>
      <c r="U25" s="49">
        <v>1981</v>
      </c>
      <c r="V25" s="51">
        <v>265</v>
      </c>
      <c r="W25" s="55">
        <v>4</v>
      </c>
      <c r="X25" s="50">
        <v>1</v>
      </c>
      <c r="Y25" s="50">
        <v>0</v>
      </c>
      <c r="Z25" s="50">
        <v>1</v>
      </c>
      <c r="AA25" s="57">
        <v>3</v>
      </c>
      <c r="AB25" s="57">
        <v>2</v>
      </c>
      <c r="AC25" s="57">
        <f>SUM(W25:AB25)</f>
        <v>11</v>
      </c>
      <c r="AD25" s="58">
        <v>16</v>
      </c>
      <c r="AE25" s="59">
        <v>5</v>
      </c>
      <c r="AF25" s="59">
        <v>0</v>
      </c>
      <c r="AG25" s="59">
        <v>5.5</v>
      </c>
      <c r="AH25" s="60">
        <v>10.5</v>
      </c>
      <c r="AI25" s="60">
        <v>10</v>
      </c>
      <c r="AJ25" s="54">
        <f>SUM(AD25:AI25)</f>
        <v>47</v>
      </c>
    </row>
    <row r="26" spans="1:36">
      <c r="A26" s="29"/>
      <c r="B26" s="48">
        <v>46162</v>
      </c>
      <c r="C26" s="49">
        <v>1</v>
      </c>
      <c r="D26" s="50">
        <v>0</v>
      </c>
      <c r="E26" s="50">
        <v>0</v>
      </c>
      <c r="F26" s="50">
        <v>0</v>
      </c>
      <c r="G26" s="51">
        <v>0</v>
      </c>
      <c r="H26" s="55">
        <v>1</v>
      </c>
      <c r="I26" s="55">
        <v>1</v>
      </c>
      <c r="J26" s="50">
        <v>0</v>
      </c>
      <c r="K26" s="50">
        <v>1</v>
      </c>
      <c r="L26" s="57">
        <v>0</v>
      </c>
      <c r="M26" s="49">
        <v>2</v>
      </c>
      <c r="N26" s="50">
        <v>0</v>
      </c>
      <c r="O26" s="50">
        <v>0</v>
      </c>
      <c r="P26" s="51">
        <v>1</v>
      </c>
      <c r="Q26" s="53">
        <v>40.6</v>
      </c>
      <c r="R26" s="54">
        <v>0</v>
      </c>
      <c r="S26" s="55">
        <v>16</v>
      </c>
      <c r="T26" s="56">
        <v>214.1</v>
      </c>
      <c r="U26" s="49">
        <v>1766</v>
      </c>
      <c r="V26" s="51">
        <v>82</v>
      </c>
      <c r="W26" s="55">
        <v>4</v>
      </c>
      <c r="X26" s="50">
        <v>0</v>
      </c>
      <c r="Y26" s="50">
        <v>0</v>
      </c>
      <c r="Z26" s="50">
        <v>0</v>
      </c>
      <c r="AA26" s="57">
        <v>2</v>
      </c>
      <c r="AB26" s="57">
        <v>2</v>
      </c>
      <c r="AC26" s="57">
        <f>SUM(W26:AB26)</f>
        <v>8</v>
      </c>
      <c r="AD26" s="58">
        <v>12</v>
      </c>
      <c r="AE26" s="59">
        <v>0</v>
      </c>
      <c r="AF26" s="59">
        <v>0</v>
      </c>
      <c r="AG26" s="59">
        <v>0</v>
      </c>
      <c r="AH26" s="60">
        <v>4.5</v>
      </c>
      <c r="AI26" s="60">
        <v>8.5</v>
      </c>
      <c r="AJ26" s="54">
        <f>SUM(AD26:AI26)</f>
        <v>25</v>
      </c>
    </row>
    <row r="27" spans="1:36">
      <c r="A27" s="29"/>
      <c r="B27" s="48">
        <v>46163</v>
      </c>
      <c r="C27" s="49">
        <v>3</v>
      </c>
      <c r="D27" s="50">
        <v>2</v>
      </c>
      <c r="E27" s="50">
        <v>0</v>
      </c>
      <c r="F27" s="50">
        <v>2</v>
      </c>
      <c r="G27" s="51">
        <v>0</v>
      </c>
      <c r="H27" s="55">
        <v>3</v>
      </c>
      <c r="I27" s="55">
        <v>2</v>
      </c>
      <c r="J27" s="50">
        <v>0</v>
      </c>
      <c r="K27" s="50">
        <v>2</v>
      </c>
      <c r="L27" s="57">
        <v>0</v>
      </c>
      <c r="M27" s="49">
        <v>1</v>
      </c>
      <c r="N27" s="50">
        <v>0</v>
      </c>
      <c r="O27" s="50">
        <v>0</v>
      </c>
      <c r="P27" s="51">
        <v>1</v>
      </c>
      <c r="Q27" s="53">
        <v>16.5</v>
      </c>
      <c r="R27" s="54">
        <v>0</v>
      </c>
      <c r="S27" s="55">
        <v>21</v>
      </c>
      <c r="T27" s="56">
        <v>271.82</v>
      </c>
      <c r="U27" s="49">
        <v>825</v>
      </c>
      <c r="V27" s="51">
        <v>22</v>
      </c>
      <c r="W27" s="55">
        <v>4</v>
      </c>
      <c r="X27" s="50">
        <v>0</v>
      </c>
      <c r="Y27" s="50">
        <v>1</v>
      </c>
      <c r="Z27" s="50">
        <v>0</v>
      </c>
      <c r="AA27" s="57">
        <v>3</v>
      </c>
      <c r="AB27" s="57">
        <v>3</v>
      </c>
      <c r="AC27" s="57">
        <f>SUM(W27:AB27)</f>
        <v>11</v>
      </c>
      <c r="AD27" s="58">
        <v>13.5</v>
      </c>
      <c r="AE27" s="59">
        <v>0</v>
      </c>
      <c r="AF27" s="59">
        <v>2</v>
      </c>
      <c r="AG27" s="59">
        <v>0</v>
      </c>
      <c r="AH27" s="60">
        <v>7.5</v>
      </c>
      <c r="AI27" s="60">
        <v>13.5</v>
      </c>
      <c r="AJ27" s="54">
        <f>SUM(AD27:AI27)</f>
        <v>36.5</v>
      </c>
    </row>
    <row r="28" spans="1:36">
      <c r="A28" s="29"/>
      <c r="B28" s="48">
        <v>46164</v>
      </c>
      <c r="C28" s="49">
        <v>0</v>
      </c>
      <c r="D28" s="50">
        <v>0</v>
      </c>
      <c r="E28" s="50">
        <v>0</v>
      </c>
      <c r="F28" s="50">
        <v>0</v>
      </c>
      <c r="G28" s="51">
        <v>0</v>
      </c>
      <c r="H28" s="55">
        <v>3</v>
      </c>
      <c r="I28" s="55">
        <v>2</v>
      </c>
      <c r="J28" s="50">
        <v>1</v>
      </c>
      <c r="K28" s="50">
        <v>1</v>
      </c>
      <c r="L28" s="57">
        <v>0</v>
      </c>
      <c r="M28" s="49">
        <v>2</v>
      </c>
      <c r="N28" s="50">
        <v>0</v>
      </c>
      <c r="O28" s="50">
        <v>1</v>
      </c>
      <c r="P28" s="51">
        <v>0</v>
      </c>
      <c r="Q28" s="77">
        <v>60</v>
      </c>
      <c r="R28" s="54">
        <v>0</v>
      </c>
      <c r="S28" s="78">
        <v>15</v>
      </c>
      <c r="T28" s="79">
        <v>187.86</v>
      </c>
      <c r="U28" s="80">
        <v>767</v>
      </c>
      <c r="V28" s="81">
        <v>37</v>
      </c>
      <c r="W28" s="55">
        <v>4</v>
      </c>
      <c r="X28" s="50">
        <v>0</v>
      </c>
      <c r="Y28" s="50">
        <v>2</v>
      </c>
      <c r="Z28" s="50">
        <v>2</v>
      </c>
      <c r="AA28" s="57">
        <v>2</v>
      </c>
      <c r="AB28" s="57">
        <v>3</v>
      </c>
      <c r="AC28" s="57">
        <f>SUM(W28:AB28)</f>
        <v>13</v>
      </c>
      <c r="AD28" s="58">
        <v>9</v>
      </c>
      <c r="AE28" s="59">
        <v>0</v>
      </c>
      <c r="AF28" s="59">
        <v>9.5</v>
      </c>
      <c r="AG28" s="59">
        <v>6</v>
      </c>
      <c r="AH28" s="60">
        <v>9.5</v>
      </c>
      <c r="AI28" s="60">
        <v>9</v>
      </c>
      <c r="AJ28" s="54">
        <f>SUM(AD28:AI28)</f>
        <v>43</v>
      </c>
    </row>
    <row r="29" spans="1:36">
      <c r="A29" s="63" t="s">
        <v>126</v>
      </c>
      <c r="B29" s="64"/>
      <c r="C29" s="65">
        <f>SUM(C24:C28)</f>
        <v>5</v>
      </c>
      <c r="D29" s="66">
        <f>SUM(D24:D28)</f>
        <v>3</v>
      </c>
      <c r="E29" s="66">
        <f>SUM(E24:E28)</f>
        <v>1</v>
      </c>
      <c r="F29" s="66">
        <f>SUM(F24:F28)</f>
        <v>2</v>
      </c>
      <c r="G29" s="67">
        <f>SUM(G24:G28)</f>
        <v>0</v>
      </c>
      <c r="H29" s="72">
        <f t="shared" ref="H29:V29" si="6">SUM(H24:H28)</f>
        <v>10</v>
      </c>
      <c r="I29" s="66">
        <f t="shared" si="6"/>
        <v>8</v>
      </c>
      <c r="J29" s="66">
        <f t="shared" si="6"/>
        <v>2</v>
      </c>
      <c r="K29" s="66">
        <f t="shared" si="6"/>
        <v>6</v>
      </c>
      <c r="L29" s="74">
        <f t="shared" si="6"/>
        <v>0</v>
      </c>
      <c r="M29" s="65">
        <f t="shared" si="6"/>
        <v>6</v>
      </c>
      <c r="N29" s="66">
        <f t="shared" si="6"/>
        <v>0</v>
      </c>
      <c r="O29" s="66">
        <f t="shared" si="6"/>
        <v>3</v>
      </c>
      <c r="P29" s="67">
        <f t="shared" si="6"/>
        <v>2</v>
      </c>
      <c r="Q29" s="70">
        <f t="shared" si="6"/>
        <v>221</v>
      </c>
      <c r="R29" s="71">
        <f t="shared" si="6"/>
        <v>0</v>
      </c>
      <c r="S29" s="72">
        <f t="shared" si="6"/>
        <v>71</v>
      </c>
      <c r="T29" s="73">
        <f t="shared" si="6"/>
        <v>1136.68</v>
      </c>
      <c r="U29" s="65">
        <f t="shared" si="6"/>
        <v>7274</v>
      </c>
      <c r="V29" s="67">
        <f t="shared" si="6"/>
        <v>546</v>
      </c>
      <c r="W29" s="68">
        <f t="shared" ref="W29:AJ29" si="7">SUM(W24:W28)</f>
        <v>17</v>
      </c>
      <c r="X29" s="74">
        <f t="shared" si="7"/>
        <v>2</v>
      </c>
      <c r="Y29" s="74">
        <f t="shared" si="7"/>
        <v>3</v>
      </c>
      <c r="Z29" s="74">
        <f t="shared" si="7"/>
        <v>3</v>
      </c>
      <c r="AA29" s="74">
        <f t="shared" si="7"/>
        <v>12</v>
      </c>
      <c r="AB29" s="74">
        <f t="shared" si="7"/>
        <v>13</v>
      </c>
      <c r="AC29" s="74">
        <f t="shared" si="7"/>
        <v>50</v>
      </c>
      <c r="AD29" s="70">
        <f t="shared" si="7"/>
        <v>52.5</v>
      </c>
      <c r="AE29" s="75">
        <f t="shared" si="7"/>
        <v>9</v>
      </c>
      <c r="AF29" s="75">
        <f t="shared" si="7"/>
        <v>11.5</v>
      </c>
      <c r="AG29" s="75">
        <f t="shared" si="7"/>
        <v>11.5</v>
      </c>
      <c r="AH29" s="75">
        <f t="shared" si="7"/>
        <v>38</v>
      </c>
      <c r="AI29" s="75">
        <f t="shared" si="7"/>
        <v>53</v>
      </c>
      <c r="AJ29" s="71">
        <f t="shared" si="7"/>
        <v>175.5</v>
      </c>
    </row>
    <row r="30" spans="1:36">
      <c r="A30" s="29" t="s">
        <v>188</v>
      </c>
      <c r="B30" s="48">
        <v>46167</v>
      </c>
      <c r="C30" s="49">
        <v>0</v>
      </c>
      <c r="D30" s="50">
        <v>0</v>
      </c>
      <c r="E30" s="50">
        <v>0</v>
      </c>
      <c r="F30" s="50">
        <v>0</v>
      </c>
      <c r="G30" s="51">
        <v>0</v>
      </c>
      <c r="H30" s="55">
        <v>0</v>
      </c>
      <c r="I30" s="55">
        <v>0</v>
      </c>
      <c r="J30" s="50">
        <v>0</v>
      </c>
      <c r="K30" s="50">
        <v>0</v>
      </c>
      <c r="L30" s="57">
        <v>0</v>
      </c>
      <c r="M30" s="49">
        <v>1</v>
      </c>
      <c r="N30" s="50">
        <v>0</v>
      </c>
      <c r="O30" s="50">
        <v>0</v>
      </c>
      <c r="P30" s="51">
        <v>0</v>
      </c>
      <c r="Q30" s="53">
        <v>22.4</v>
      </c>
      <c r="R30" s="54">
        <v>0</v>
      </c>
      <c r="S30" s="55">
        <v>15</v>
      </c>
      <c r="T30" s="56">
        <v>377.56</v>
      </c>
      <c r="U30" s="49">
        <v>412</v>
      </c>
      <c r="V30" s="51">
        <v>19</v>
      </c>
      <c r="W30" s="55">
        <v>1</v>
      </c>
      <c r="X30" s="50">
        <v>0</v>
      </c>
      <c r="Y30" s="50">
        <v>1</v>
      </c>
      <c r="Z30" s="50">
        <v>0</v>
      </c>
      <c r="AA30" s="57">
        <v>4</v>
      </c>
      <c r="AB30" s="57">
        <v>1</v>
      </c>
      <c r="AC30" s="57">
        <f>SUM(W30:AB30)</f>
        <v>7</v>
      </c>
      <c r="AD30" s="58">
        <v>2.5</v>
      </c>
      <c r="AE30" s="59">
        <v>0</v>
      </c>
      <c r="AF30" s="59">
        <v>4.5</v>
      </c>
      <c r="AG30" s="59">
        <v>0</v>
      </c>
      <c r="AH30" s="60">
        <v>18.5</v>
      </c>
      <c r="AI30" s="60">
        <v>5.5</v>
      </c>
      <c r="AJ30" s="54">
        <f>SUM(AD30:AI30)</f>
        <v>31</v>
      </c>
    </row>
    <row r="31" spans="1:36">
      <c r="A31" s="29"/>
      <c r="B31" s="48">
        <v>46168</v>
      </c>
      <c r="C31" s="49">
        <v>2</v>
      </c>
      <c r="D31" s="50">
        <v>2</v>
      </c>
      <c r="E31" s="50">
        <v>0</v>
      </c>
      <c r="F31" s="50">
        <v>2</v>
      </c>
      <c r="G31" s="51">
        <v>0</v>
      </c>
      <c r="H31" s="55">
        <v>1</v>
      </c>
      <c r="I31" s="55">
        <v>1</v>
      </c>
      <c r="J31" s="50">
        <v>0</v>
      </c>
      <c r="K31" s="50">
        <v>1</v>
      </c>
      <c r="L31" s="57">
        <v>0</v>
      </c>
      <c r="M31" s="49">
        <v>0</v>
      </c>
      <c r="N31" s="50">
        <v>0</v>
      </c>
      <c r="O31" s="50">
        <v>0</v>
      </c>
      <c r="P31" s="51">
        <v>0</v>
      </c>
      <c r="Q31" s="53">
        <v>11.9</v>
      </c>
      <c r="R31" s="54">
        <v>20.8</v>
      </c>
      <c r="S31" s="55">
        <v>11</v>
      </c>
      <c r="T31" s="56">
        <v>188.54</v>
      </c>
      <c r="U31" s="49">
        <v>775</v>
      </c>
      <c r="V31" s="51">
        <v>110</v>
      </c>
      <c r="W31" s="55">
        <v>3</v>
      </c>
      <c r="X31" s="50">
        <v>0</v>
      </c>
      <c r="Y31" s="50">
        <v>0</v>
      </c>
      <c r="Z31" s="50">
        <v>1</v>
      </c>
      <c r="AA31" s="57">
        <v>4</v>
      </c>
      <c r="AB31" s="57">
        <v>3</v>
      </c>
      <c r="AC31" s="57">
        <f>SUM(W31:AB31)</f>
        <v>11</v>
      </c>
      <c r="AD31" s="58">
        <v>14.5</v>
      </c>
      <c r="AE31" s="59">
        <v>0</v>
      </c>
      <c r="AF31" s="59">
        <v>0</v>
      </c>
      <c r="AG31" s="59">
        <v>5</v>
      </c>
      <c r="AH31" s="60">
        <v>18</v>
      </c>
      <c r="AI31" s="60">
        <v>12.5</v>
      </c>
      <c r="AJ31" s="54">
        <f>SUM(AD31:AI31)</f>
        <v>50</v>
      </c>
    </row>
    <row r="32" spans="1:36">
      <c r="A32" s="29"/>
      <c r="B32" s="48">
        <v>46169</v>
      </c>
      <c r="C32" s="49">
        <v>0</v>
      </c>
      <c r="D32" s="50">
        <v>0</v>
      </c>
      <c r="E32" s="50">
        <v>0</v>
      </c>
      <c r="F32" s="50">
        <v>0</v>
      </c>
      <c r="G32" s="51">
        <v>0</v>
      </c>
      <c r="H32" s="55">
        <v>1</v>
      </c>
      <c r="I32" s="55">
        <v>0</v>
      </c>
      <c r="J32" s="50">
        <v>0</v>
      </c>
      <c r="K32" s="50">
        <v>0</v>
      </c>
      <c r="L32" s="57">
        <v>0</v>
      </c>
      <c r="M32" s="49">
        <v>0</v>
      </c>
      <c r="N32" s="50">
        <v>1</v>
      </c>
      <c r="O32" s="50">
        <v>0</v>
      </c>
      <c r="P32" s="51">
        <v>0</v>
      </c>
      <c r="Q32" s="53">
        <v>59.7</v>
      </c>
      <c r="R32" s="54">
        <v>13.8</v>
      </c>
      <c r="S32" s="55">
        <v>12</v>
      </c>
      <c r="T32" s="56">
        <v>198.27</v>
      </c>
      <c r="U32" s="49">
        <v>218</v>
      </c>
      <c r="V32" s="51">
        <v>25</v>
      </c>
      <c r="W32" s="55">
        <v>1</v>
      </c>
      <c r="X32" s="50">
        <v>2</v>
      </c>
      <c r="Y32" s="50">
        <v>0</v>
      </c>
      <c r="Z32" s="50">
        <v>0</v>
      </c>
      <c r="AA32" s="57">
        <v>5</v>
      </c>
      <c r="AB32" s="57">
        <v>4</v>
      </c>
      <c r="AC32" s="57">
        <f>SUM(W32:AB32)</f>
        <v>12</v>
      </c>
      <c r="AD32" s="58">
        <v>2.5</v>
      </c>
      <c r="AE32" s="59">
        <v>10</v>
      </c>
      <c r="AF32" s="59">
        <v>0</v>
      </c>
      <c r="AG32" s="59">
        <v>0</v>
      </c>
      <c r="AH32" s="60">
        <v>19</v>
      </c>
      <c r="AI32" s="60">
        <v>12</v>
      </c>
      <c r="AJ32" s="54">
        <f>SUM(AD32:AI32)</f>
        <v>43.5</v>
      </c>
    </row>
    <row r="33" spans="1:36">
      <c r="A33" s="29"/>
      <c r="B33" s="48">
        <v>46170</v>
      </c>
      <c r="C33" s="49">
        <v>2</v>
      </c>
      <c r="D33" s="50">
        <v>2</v>
      </c>
      <c r="E33" s="50">
        <v>1</v>
      </c>
      <c r="F33" s="50">
        <v>1</v>
      </c>
      <c r="G33" s="51">
        <v>0</v>
      </c>
      <c r="H33" s="55">
        <v>2</v>
      </c>
      <c r="I33" s="55">
        <v>2</v>
      </c>
      <c r="J33" s="50">
        <v>1</v>
      </c>
      <c r="K33" s="50">
        <v>1</v>
      </c>
      <c r="L33" s="57">
        <v>0</v>
      </c>
      <c r="M33" s="49">
        <v>0</v>
      </c>
      <c r="N33" s="50">
        <v>1</v>
      </c>
      <c r="O33" s="50">
        <v>0</v>
      </c>
      <c r="P33" s="51">
        <v>0</v>
      </c>
      <c r="Q33" s="53">
        <v>35.7</v>
      </c>
      <c r="R33" s="54">
        <v>0</v>
      </c>
      <c r="S33" s="55">
        <v>22</v>
      </c>
      <c r="T33" s="56">
        <v>325.5</v>
      </c>
      <c r="U33" s="49">
        <v>1283</v>
      </c>
      <c r="V33" s="51">
        <v>116</v>
      </c>
      <c r="W33" s="55">
        <v>3</v>
      </c>
      <c r="X33" s="50">
        <v>1</v>
      </c>
      <c r="Y33" s="50">
        <v>2</v>
      </c>
      <c r="Z33" s="50">
        <v>0</v>
      </c>
      <c r="AA33" s="57">
        <v>3</v>
      </c>
      <c r="AB33" s="57">
        <v>3</v>
      </c>
      <c r="AC33" s="57">
        <f>SUM(W33:AB33)</f>
        <v>12</v>
      </c>
      <c r="AD33" s="58">
        <v>15.5</v>
      </c>
      <c r="AE33" s="59">
        <v>2</v>
      </c>
      <c r="AF33" s="59">
        <v>10.5</v>
      </c>
      <c r="AG33" s="59">
        <v>0</v>
      </c>
      <c r="AH33" s="60">
        <v>15</v>
      </c>
      <c r="AI33" s="60">
        <v>8.5</v>
      </c>
      <c r="AJ33" s="54">
        <f>SUM(AD33:AI33)</f>
        <v>51.5</v>
      </c>
    </row>
    <row r="34" spans="1:36">
      <c r="A34" s="29"/>
      <c r="B34" s="48">
        <v>46171</v>
      </c>
      <c r="C34" s="49">
        <v>1</v>
      </c>
      <c r="D34" s="50">
        <v>1</v>
      </c>
      <c r="E34" s="50">
        <v>1</v>
      </c>
      <c r="F34" s="50">
        <v>0</v>
      </c>
      <c r="G34" s="51">
        <v>0</v>
      </c>
      <c r="H34" s="55">
        <v>2</v>
      </c>
      <c r="I34" s="55">
        <v>2</v>
      </c>
      <c r="J34" s="50">
        <v>1</v>
      </c>
      <c r="K34" s="50">
        <v>1</v>
      </c>
      <c r="L34" s="57">
        <v>0</v>
      </c>
      <c r="M34" s="49">
        <v>1</v>
      </c>
      <c r="N34" s="50">
        <v>0</v>
      </c>
      <c r="O34" s="50">
        <v>0</v>
      </c>
      <c r="P34" s="51">
        <v>0</v>
      </c>
      <c r="Q34" s="77">
        <v>12.1</v>
      </c>
      <c r="R34" s="54">
        <v>0</v>
      </c>
      <c r="S34" s="78">
        <v>4</v>
      </c>
      <c r="T34" s="79">
        <v>118.32</v>
      </c>
      <c r="U34" s="80">
        <v>736</v>
      </c>
      <c r="V34" s="81">
        <v>67</v>
      </c>
      <c r="W34" s="55">
        <v>1</v>
      </c>
      <c r="X34" s="50">
        <v>0</v>
      </c>
      <c r="Y34" s="50">
        <v>2</v>
      </c>
      <c r="Z34" s="50">
        <v>1</v>
      </c>
      <c r="AA34" s="57">
        <v>3</v>
      </c>
      <c r="AB34" s="57">
        <v>1</v>
      </c>
      <c r="AC34" s="57">
        <f>SUM(W34:AB34)</f>
        <v>8</v>
      </c>
      <c r="AD34" s="58">
        <v>5</v>
      </c>
      <c r="AE34" s="59">
        <v>0</v>
      </c>
      <c r="AF34" s="59">
        <v>6</v>
      </c>
      <c r="AG34" s="59">
        <v>3</v>
      </c>
      <c r="AH34" s="60">
        <v>12.5</v>
      </c>
      <c r="AI34" s="60">
        <v>5.5</v>
      </c>
      <c r="AJ34" s="54">
        <f>SUM(AD34:AI34)</f>
        <v>32</v>
      </c>
    </row>
    <row r="35" ht="17.55" spans="1:36">
      <c r="A35" s="83" t="s">
        <v>126</v>
      </c>
      <c r="B35" s="84"/>
      <c r="C35" s="85">
        <f>SUM(C30:C34)</f>
        <v>5</v>
      </c>
      <c r="D35" s="86">
        <f>SUM(D30:D34)</f>
        <v>5</v>
      </c>
      <c r="E35" s="86">
        <f>SUM(E30:E34)</f>
        <v>2</v>
      </c>
      <c r="F35" s="86">
        <f>SUM(F30:F34)</f>
        <v>3</v>
      </c>
      <c r="G35" s="87">
        <f>SUM(G30:G34)</f>
        <v>0</v>
      </c>
      <c r="H35" s="88">
        <f t="shared" ref="H35:V35" si="8">SUM(H30:H34)</f>
        <v>6</v>
      </c>
      <c r="I35" s="86">
        <f t="shared" si="8"/>
        <v>5</v>
      </c>
      <c r="J35" s="86">
        <f t="shared" si="8"/>
        <v>2</v>
      </c>
      <c r="K35" s="86">
        <f t="shared" si="8"/>
        <v>3</v>
      </c>
      <c r="L35" s="89">
        <f t="shared" si="8"/>
        <v>0</v>
      </c>
      <c r="M35" s="90">
        <f t="shared" si="8"/>
        <v>2</v>
      </c>
      <c r="N35" s="91">
        <f t="shared" si="8"/>
        <v>2</v>
      </c>
      <c r="O35" s="91">
        <f t="shared" si="8"/>
        <v>0</v>
      </c>
      <c r="P35" s="92">
        <f t="shared" si="8"/>
        <v>0</v>
      </c>
      <c r="Q35" s="93">
        <f t="shared" si="8"/>
        <v>141.8</v>
      </c>
      <c r="R35" s="94">
        <f t="shared" si="8"/>
        <v>34.6</v>
      </c>
      <c r="S35" s="95">
        <f t="shared" si="8"/>
        <v>64</v>
      </c>
      <c r="T35" s="96">
        <f t="shared" si="8"/>
        <v>1208.19</v>
      </c>
      <c r="U35" s="85">
        <f t="shared" si="8"/>
        <v>3424</v>
      </c>
      <c r="V35" s="87">
        <f t="shared" si="8"/>
        <v>337</v>
      </c>
      <c r="W35" s="97">
        <f t="shared" ref="W35:AJ35" si="9">SUM(W30:W34)</f>
        <v>9</v>
      </c>
      <c r="X35" s="98">
        <f t="shared" si="9"/>
        <v>3</v>
      </c>
      <c r="Y35" s="98">
        <f t="shared" si="9"/>
        <v>5</v>
      </c>
      <c r="Z35" s="98">
        <f t="shared" si="9"/>
        <v>2</v>
      </c>
      <c r="AA35" s="98">
        <f t="shared" si="9"/>
        <v>19</v>
      </c>
      <c r="AB35" s="98">
        <f t="shared" si="9"/>
        <v>12</v>
      </c>
      <c r="AC35" s="98">
        <f t="shared" si="9"/>
        <v>50</v>
      </c>
      <c r="AD35" s="99">
        <f t="shared" si="9"/>
        <v>40</v>
      </c>
      <c r="AE35" s="100">
        <f t="shared" si="9"/>
        <v>12</v>
      </c>
      <c r="AF35" s="100">
        <f t="shared" si="9"/>
        <v>21</v>
      </c>
      <c r="AG35" s="100">
        <f t="shared" si="9"/>
        <v>8</v>
      </c>
      <c r="AH35" s="100">
        <f t="shared" si="9"/>
        <v>83</v>
      </c>
      <c r="AI35" s="100">
        <f t="shared" si="9"/>
        <v>44</v>
      </c>
      <c r="AJ35" s="101">
        <f t="shared" si="9"/>
        <v>208</v>
      </c>
    </row>
    <row r="36" s="4" customFormat="1" ht="37.2" customHeight="1" spans="1:36">
      <c r="A36" s="102" t="s">
        <v>199</v>
      </c>
      <c r="B36" s="103"/>
      <c r="C36" s="104">
        <f>C11+C17+C23+C29+C35</f>
        <v>34</v>
      </c>
      <c r="D36" s="105">
        <f>D11+D17+D23+D29+D35</f>
        <v>29</v>
      </c>
      <c r="E36" s="105">
        <f>E11+E17+E23+E29+E35</f>
        <v>9</v>
      </c>
      <c r="F36" s="105">
        <f>F11+F17+F23+F29+F35</f>
        <v>20</v>
      </c>
      <c r="G36" s="106">
        <f>G11+G17+G23+G29+G35</f>
        <v>0</v>
      </c>
      <c r="H36" s="107">
        <f t="shared" ref="H36:V36" si="10">H11+H17+H23+H29+H35</f>
        <v>35</v>
      </c>
      <c r="I36" s="105">
        <f t="shared" si="10"/>
        <v>30</v>
      </c>
      <c r="J36" s="105">
        <f t="shared" si="10"/>
        <v>8</v>
      </c>
      <c r="K36" s="105">
        <f t="shared" si="10"/>
        <v>22</v>
      </c>
      <c r="L36" s="108">
        <f t="shared" si="10"/>
        <v>0</v>
      </c>
      <c r="M36" s="109">
        <f t="shared" si="10"/>
        <v>15</v>
      </c>
      <c r="N36" s="110">
        <f t="shared" si="10"/>
        <v>4</v>
      </c>
      <c r="O36" s="110">
        <f t="shared" si="10"/>
        <v>5</v>
      </c>
      <c r="P36" s="111">
        <f t="shared" si="10"/>
        <v>3</v>
      </c>
      <c r="Q36" s="112">
        <f t="shared" si="10"/>
        <v>668.8</v>
      </c>
      <c r="R36" s="113">
        <f t="shared" si="10"/>
        <v>100.4</v>
      </c>
      <c r="S36" s="114">
        <f t="shared" si="10"/>
        <v>271</v>
      </c>
      <c r="T36" s="115">
        <f t="shared" si="10"/>
        <v>5384.65</v>
      </c>
      <c r="U36" s="105">
        <f t="shared" si="10"/>
        <v>22175</v>
      </c>
      <c r="V36" s="105">
        <f t="shared" si="10"/>
        <v>1962</v>
      </c>
      <c r="W36" s="116">
        <f t="shared" ref="W36:AJ36" si="11">W11+W17+W23+W29+W35</f>
        <v>49</v>
      </c>
      <c r="X36" s="116">
        <f t="shared" si="11"/>
        <v>19</v>
      </c>
      <c r="Y36" s="116">
        <f t="shared" si="11"/>
        <v>23</v>
      </c>
      <c r="Z36" s="116">
        <f t="shared" si="11"/>
        <v>12</v>
      </c>
      <c r="AA36" s="116">
        <f t="shared" si="11"/>
        <v>64</v>
      </c>
      <c r="AB36" s="116">
        <f t="shared" si="11"/>
        <v>52</v>
      </c>
      <c r="AC36" s="116">
        <f t="shared" si="11"/>
        <v>219</v>
      </c>
      <c r="AD36" s="117">
        <f t="shared" si="11"/>
        <v>175.5</v>
      </c>
      <c r="AE36" s="118">
        <f t="shared" si="11"/>
        <v>70.5</v>
      </c>
      <c r="AF36" s="118">
        <f t="shared" si="11"/>
        <v>78.5</v>
      </c>
      <c r="AG36" s="118">
        <f t="shared" si="11"/>
        <v>51</v>
      </c>
      <c r="AH36" s="118">
        <f t="shared" si="11"/>
        <v>253</v>
      </c>
      <c r="AI36" s="118">
        <f t="shared" si="11"/>
        <v>187.5</v>
      </c>
      <c r="AJ36" s="113">
        <f t="shared" si="11"/>
        <v>816</v>
      </c>
    </row>
    <row r="41" spans="1:36">
      <c r="T41" s="5"/>
      <c r="W41" s="2"/>
    </row>
    <row r="42" spans="1:36">
      <c r="T42" s="5"/>
      <c r="W42" s="2"/>
    </row>
    <row r="43" spans="1:36">
      <c r="T43" s="5"/>
      <c r="W43" s="2"/>
    </row>
    <row r="44" spans="1:36">
      <c r="T44" s="5"/>
      <c r="W44" s="2"/>
    </row>
    <row r="45" spans="1:36">
      <c r="T45" s="5"/>
      <c r="W45" s="2"/>
    </row>
    <row r="46" spans="1:36">
      <c r="T46" s="5"/>
      <c r="W46" s="2"/>
    </row>
    <row r="47" spans="1:36">
      <c r="T47" s="5"/>
      <c r="W47" s="2"/>
    </row>
    <row r="48" spans="1:36">
      <c r="T48" s="5"/>
      <c r="W48" s="2"/>
    </row>
    <row r="49" spans="20:23">
      <c r="T49" s="5"/>
      <c r="W49" s="2"/>
    </row>
    <row r="50" spans="20:23">
      <c r="T50" s="5"/>
      <c r="W50" s="2"/>
    </row>
    <row r="51" spans="20:23">
      <c r="T51" s="5"/>
      <c r="W51" s="2"/>
    </row>
    <row r="52" spans="20:23">
      <c r="T52" s="5"/>
      <c r="W52" s="2"/>
    </row>
    <row r="53" spans="20:23">
      <c r="T53" s="5"/>
      <c r="W53" s="2"/>
    </row>
    <row r="54" spans="20:23">
      <c r="T54" s="5"/>
      <c r="W54" s="2"/>
    </row>
    <row r="55" spans="20:23">
      <c r="T55" s="5"/>
      <c r="W55" s="2"/>
    </row>
    <row r="56" spans="20:23">
      <c r="T56" s="5"/>
      <c r="W56" s="2"/>
    </row>
    <row r="57" spans="20:23">
      <c r="T57" s="5"/>
      <c r="W57" s="2"/>
    </row>
    <row r="58" spans="20:23">
      <c r="T58" s="5"/>
      <c r="W58" s="2"/>
    </row>
    <row r="59" spans="20:23">
      <c r="T59" s="5"/>
      <c r="W59" s="2"/>
    </row>
    <row r="60" spans="20:23">
      <c r="T60" s="5"/>
      <c r="W60" s="2"/>
    </row>
    <row r="61" spans="20:23">
      <c r="T61" s="5"/>
      <c r="W61" s="2"/>
    </row>
    <row r="62" spans="20:23">
      <c r="T62" s="5"/>
      <c r="W62" s="2"/>
    </row>
    <row r="63" spans="20:23">
      <c r="T63" s="5"/>
      <c r="W63" s="2"/>
    </row>
    <row r="64" spans="20:23">
      <c r="T64" s="5"/>
      <c r="W64" s="2"/>
    </row>
    <row r="65" spans="20:23">
      <c r="T65" s="5"/>
      <c r="W65" s="2"/>
    </row>
    <row r="66" spans="20:23">
      <c r="T66" s="5"/>
      <c r="W66" s="2"/>
    </row>
    <row r="67" spans="20:23">
      <c r="T67" s="5"/>
      <c r="W67" s="2"/>
    </row>
    <row r="68" spans="20:23">
      <c r="T68" s="5"/>
      <c r="W68" s="2"/>
    </row>
    <row r="69" spans="20:23">
      <c r="T69" s="5"/>
      <c r="W69" s="2"/>
    </row>
    <row r="70" spans="20:23">
      <c r="T70" s="5"/>
      <c r="W70" s="2"/>
    </row>
    <row r="71" spans="20:23">
      <c r="T71" s="5"/>
      <c r="W71" s="2"/>
    </row>
    <row r="72" spans="20:23">
      <c r="T72" s="5"/>
      <c r="W72" s="2"/>
    </row>
    <row r="73" spans="20:23">
      <c r="T73" s="5"/>
      <c r="W73" s="2"/>
    </row>
    <row r="74" spans="20:23">
      <c r="T74" s="5"/>
      <c r="W74" s="2"/>
    </row>
  </sheetData>
  <mergeCells count="20">
    <mergeCell ref="C4:G4"/>
    <mergeCell ref="H4:L4"/>
    <mergeCell ref="M4:P4"/>
    <mergeCell ref="Q4:R4"/>
    <mergeCell ref="S4:T4"/>
    <mergeCell ref="U4:V4"/>
    <mergeCell ref="W4:AC4"/>
    <mergeCell ref="AD4:AJ4"/>
    <mergeCell ref="A11:B11"/>
    <mergeCell ref="A17:B17"/>
    <mergeCell ref="A23:B23"/>
    <mergeCell ref="A29:B29"/>
    <mergeCell ref="A35:B35"/>
    <mergeCell ref="A36:B36"/>
    <mergeCell ref="A6:A10"/>
    <mergeCell ref="A12:A16"/>
    <mergeCell ref="A18:A22"/>
    <mergeCell ref="A24:A28"/>
    <mergeCell ref="A30:A34"/>
    <mergeCell ref="E1:AA2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74"/>
  <sheetViews>
    <sheetView workbookViewId="0">
      <selection activeCell="A1" sqref="A1"/>
    </sheetView>
  </sheetViews>
  <sheetFormatPr defaultColWidth="13.6923076923077" defaultRowHeight="16.8"/>
  <cols>
    <col min="1" max="1" width="3.68269230769231" style="2" customWidth="1"/>
    <col min="2" max="22" width="13.6923076923077" style="2" customWidth="1"/>
    <col min="23" max="23" width="13.6923076923077" style="5" customWidth="1"/>
    <col min="24" max="16384" width="13.6923076923077" style="2" customWidth="1"/>
  </cols>
  <sheetData>
    <row r="1" spans="1:36">
      <c r="E1" s="6" t="s">
        <v>104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36"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17.55"/>
    <row r="4" s="1" customFormat="1" ht="17.55" spans="1:36">
      <c r="C4" s="8" t="s">
        <v>105</v>
      </c>
      <c r="D4" s="9"/>
      <c r="E4" s="9"/>
      <c r="F4" s="9"/>
      <c r="G4" s="10"/>
      <c r="H4" s="9" t="s">
        <v>106</v>
      </c>
      <c r="I4" s="9"/>
      <c r="J4" s="9"/>
      <c r="K4" s="9"/>
      <c r="L4" s="9"/>
      <c r="M4" s="8" t="s">
        <v>107</v>
      </c>
      <c r="N4" s="9"/>
      <c r="O4" s="9"/>
      <c r="P4" s="11"/>
      <c r="Q4" s="12" t="s">
        <v>124</v>
      </c>
      <c r="R4" s="10"/>
      <c r="S4" s="9" t="s">
        <v>109</v>
      </c>
      <c r="T4" s="11"/>
      <c r="U4" s="13" t="s">
        <v>110</v>
      </c>
      <c r="V4" s="14"/>
      <c r="W4" s="12" t="s">
        <v>111</v>
      </c>
      <c r="X4" s="15"/>
      <c r="Y4" s="15"/>
      <c r="Z4" s="15"/>
      <c r="AA4" s="15"/>
      <c r="AB4" s="15"/>
      <c r="AC4" s="15"/>
      <c r="AD4" s="12" t="s">
        <v>112</v>
      </c>
      <c r="AE4" s="15"/>
      <c r="AF4" s="15"/>
      <c r="AG4" s="15"/>
      <c r="AH4" s="15"/>
      <c r="AI4" s="15"/>
      <c r="AJ4" s="10"/>
    </row>
    <row r="5" s="2" customFormat="1" ht="17.55" spans="1:36">
      <c r="A5" s="16" t="s">
        <v>200</v>
      </c>
      <c r="B5" s="17" t="s">
        <v>55</v>
      </c>
      <c r="C5" s="18" t="s">
        <v>47</v>
      </c>
      <c r="D5" s="19" t="s">
        <v>114</v>
      </c>
      <c r="E5" s="20" t="s">
        <v>40</v>
      </c>
      <c r="F5" s="19" t="s">
        <v>41</v>
      </c>
      <c r="G5" s="21" t="s">
        <v>42</v>
      </c>
      <c r="H5" s="22" t="s">
        <v>47</v>
      </c>
      <c r="I5" s="22" t="s">
        <v>114</v>
      </c>
      <c r="J5" s="23" t="s">
        <v>40</v>
      </c>
      <c r="K5" s="23" t="s">
        <v>41</v>
      </c>
      <c r="L5" s="24" t="s">
        <v>42</v>
      </c>
      <c r="M5" s="25" t="s">
        <v>47</v>
      </c>
      <c r="N5" s="23" t="s">
        <v>48</v>
      </c>
      <c r="O5" s="23" t="s">
        <v>49</v>
      </c>
      <c r="P5" s="26" t="s">
        <v>50</v>
      </c>
      <c r="Q5" s="25" t="s">
        <v>115</v>
      </c>
      <c r="R5" s="26" t="s">
        <v>116</v>
      </c>
      <c r="S5" s="22" t="s">
        <v>72</v>
      </c>
      <c r="T5" s="27" t="s">
        <v>73</v>
      </c>
      <c r="U5" s="19" t="s">
        <v>74</v>
      </c>
      <c r="V5" s="28" t="s">
        <v>75</v>
      </c>
      <c r="W5" s="25" t="s">
        <v>117</v>
      </c>
      <c r="X5" s="23" t="s">
        <v>118</v>
      </c>
      <c r="Y5" s="23" t="s">
        <v>119</v>
      </c>
      <c r="Z5" s="23" t="s">
        <v>110</v>
      </c>
      <c r="AA5" s="24" t="s">
        <v>120</v>
      </c>
      <c r="AB5" s="24" t="s">
        <v>121</v>
      </c>
      <c r="AC5" s="24" t="s">
        <v>39</v>
      </c>
      <c r="AD5" s="25" t="s">
        <v>117</v>
      </c>
      <c r="AE5" s="23" t="s">
        <v>118</v>
      </c>
      <c r="AF5" s="23" t="s">
        <v>122</v>
      </c>
      <c r="AG5" s="23" t="s">
        <v>110</v>
      </c>
      <c r="AH5" s="24" t="s">
        <v>120</v>
      </c>
      <c r="AI5" s="24" t="s">
        <v>121</v>
      </c>
      <c r="AJ5" s="26" t="s">
        <v>39</v>
      </c>
    </row>
    <row r="6" spans="1:36">
      <c r="A6" s="29" t="s">
        <v>184</v>
      </c>
      <c r="B6" s="48">
        <v>46174</v>
      </c>
      <c r="C6" s="31">
        <v>0</v>
      </c>
      <c r="D6" s="32">
        <v>0</v>
      </c>
      <c r="E6" s="32">
        <v>0</v>
      </c>
      <c r="F6" s="32">
        <v>0</v>
      </c>
      <c r="G6" s="33">
        <v>0</v>
      </c>
      <c r="H6" s="34">
        <v>1</v>
      </c>
      <c r="I6" s="34">
        <v>1</v>
      </c>
      <c r="J6" s="32">
        <v>1</v>
      </c>
      <c r="K6" s="32">
        <v>0</v>
      </c>
      <c r="L6" s="35">
        <v>0</v>
      </c>
      <c r="M6" s="36">
        <v>0</v>
      </c>
      <c r="N6" s="37">
        <v>0</v>
      </c>
      <c r="O6" s="37">
        <v>0</v>
      </c>
      <c r="P6" s="38">
        <v>0</v>
      </c>
      <c r="Q6" s="39">
        <v>24.9</v>
      </c>
      <c r="R6" s="40">
        <v>0</v>
      </c>
      <c r="S6" s="41">
        <v>20</v>
      </c>
      <c r="T6" s="42">
        <v>453.04</v>
      </c>
      <c r="U6" s="31">
        <v>1737</v>
      </c>
      <c r="V6" s="33">
        <v>237</v>
      </c>
      <c r="W6" s="41">
        <v>2</v>
      </c>
      <c r="X6" s="37">
        <v>1</v>
      </c>
      <c r="Y6" s="37">
        <v>1</v>
      </c>
      <c r="Z6" s="37">
        <v>2</v>
      </c>
      <c r="AA6" s="43">
        <v>1</v>
      </c>
      <c r="AB6" s="43">
        <v>3</v>
      </c>
      <c r="AC6" s="43">
        <f>SUM(W6:AB6)</f>
        <v>10</v>
      </c>
      <c r="AD6" s="44">
        <v>5.5</v>
      </c>
      <c r="AE6" s="45">
        <v>4</v>
      </c>
      <c r="AF6" s="45">
        <v>4</v>
      </c>
      <c r="AG6" s="45">
        <v>8</v>
      </c>
      <c r="AH6" s="46">
        <v>2.5</v>
      </c>
      <c r="AI6" s="46">
        <v>7.5</v>
      </c>
      <c r="AJ6" s="47">
        <f>SUM(AD6:AI6)</f>
        <v>31.5</v>
      </c>
    </row>
    <row r="7" spans="1:36">
      <c r="A7" s="29"/>
      <c r="B7" s="48">
        <v>46175</v>
      </c>
      <c r="C7" s="49">
        <v>2</v>
      </c>
      <c r="D7" s="50">
        <v>2</v>
      </c>
      <c r="E7" s="50">
        <v>1</v>
      </c>
      <c r="F7" s="50">
        <v>1</v>
      </c>
      <c r="G7" s="51">
        <v>0</v>
      </c>
      <c r="H7" s="52">
        <v>1</v>
      </c>
      <c r="I7" s="50">
        <v>1</v>
      </c>
      <c r="J7" s="50">
        <v>0</v>
      </c>
      <c r="K7" s="50">
        <v>1</v>
      </c>
      <c r="L7" s="52">
        <v>0</v>
      </c>
      <c r="M7" s="49">
        <v>0</v>
      </c>
      <c r="N7" s="50">
        <v>0</v>
      </c>
      <c r="O7" s="50">
        <v>1</v>
      </c>
      <c r="P7" s="51">
        <v>0</v>
      </c>
      <c r="Q7" s="53">
        <v>15.3</v>
      </c>
      <c r="R7" s="54">
        <v>0</v>
      </c>
      <c r="S7" s="55">
        <v>19</v>
      </c>
      <c r="T7" s="56">
        <v>564.72</v>
      </c>
      <c r="U7" s="49">
        <v>560</v>
      </c>
      <c r="V7" s="51">
        <v>67</v>
      </c>
      <c r="W7" s="55">
        <v>2</v>
      </c>
      <c r="X7" s="50">
        <v>1</v>
      </c>
      <c r="Y7" s="50">
        <v>1</v>
      </c>
      <c r="Z7" s="50">
        <v>0</v>
      </c>
      <c r="AA7" s="57">
        <v>4</v>
      </c>
      <c r="AB7" s="57">
        <v>4</v>
      </c>
      <c r="AC7" s="57">
        <f>SUM(W7:AB7)</f>
        <v>12</v>
      </c>
      <c r="AD7" s="58">
        <v>5.5</v>
      </c>
      <c r="AE7" s="59">
        <v>4</v>
      </c>
      <c r="AF7" s="59">
        <v>2.5</v>
      </c>
      <c r="AG7" s="59">
        <v>0</v>
      </c>
      <c r="AH7" s="60">
        <v>8.5</v>
      </c>
      <c r="AI7" s="60">
        <v>9.5</v>
      </c>
      <c r="AJ7" s="54">
        <f>SUM(AD7:AI7)</f>
        <v>30</v>
      </c>
    </row>
    <row r="8" spans="1:36">
      <c r="A8" s="29"/>
      <c r="B8" s="48">
        <v>46176</v>
      </c>
      <c r="C8" s="49">
        <v>4</v>
      </c>
      <c r="D8" s="50">
        <v>4</v>
      </c>
      <c r="E8" s="50">
        <v>1</v>
      </c>
      <c r="F8" s="50">
        <v>2</v>
      </c>
      <c r="G8" s="51">
        <v>1</v>
      </c>
      <c r="H8" s="52">
        <v>3</v>
      </c>
      <c r="I8" s="50">
        <v>3</v>
      </c>
      <c r="J8" s="50">
        <v>1</v>
      </c>
      <c r="K8" s="50">
        <v>2</v>
      </c>
      <c r="L8" s="52">
        <v>0</v>
      </c>
      <c r="M8" s="61">
        <v>0</v>
      </c>
      <c r="N8" s="50">
        <v>1</v>
      </c>
      <c r="O8" s="50">
        <v>0</v>
      </c>
      <c r="P8" s="51">
        <v>0</v>
      </c>
      <c r="Q8" s="53">
        <v>34.8</v>
      </c>
      <c r="R8" s="54">
        <v>0</v>
      </c>
      <c r="S8" s="55">
        <v>16</v>
      </c>
      <c r="T8" s="56">
        <v>263.59</v>
      </c>
      <c r="U8" s="49">
        <v>1245</v>
      </c>
      <c r="V8" s="51">
        <v>54</v>
      </c>
      <c r="W8" s="55">
        <v>1</v>
      </c>
      <c r="X8" s="50">
        <v>0</v>
      </c>
      <c r="Y8" s="50">
        <v>2</v>
      </c>
      <c r="Z8" s="50">
        <v>1</v>
      </c>
      <c r="AA8" s="57">
        <v>5</v>
      </c>
      <c r="AB8" s="57">
        <v>3</v>
      </c>
      <c r="AC8" s="57">
        <f>SUM(W8:AB8)</f>
        <v>12</v>
      </c>
      <c r="AD8" s="58">
        <v>5</v>
      </c>
      <c r="AE8" s="59">
        <v>0</v>
      </c>
      <c r="AF8" s="59">
        <v>10.5</v>
      </c>
      <c r="AG8" s="59">
        <v>5</v>
      </c>
      <c r="AH8" s="60">
        <v>16.5</v>
      </c>
      <c r="AI8" s="60">
        <v>14</v>
      </c>
      <c r="AJ8" s="54">
        <f>SUM(AD8:AI8)</f>
        <v>51</v>
      </c>
    </row>
    <row r="9" spans="1:36">
      <c r="A9" s="29"/>
      <c r="B9" s="48">
        <v>46177</v>
      </c>
      <c r="C9" s="49">
        <v>1</v>
      </c>
      <c r="D9" s="50">
        <v>1</v>
      </c>
      <c r="E9" s="50">
        <v>1</v>
      </c>
      <c r="F9" s="50">
        <v>0</v>
      </c>
      <c r="G9" s="51">
        <v>0</v>
      </c>
      <c r="H9" s="52">
        <v>3</v>
      </c>
      <c r="I9" s="50">
        <v>2</v>
      </c>
      <c r="J9" s="50">
        <v>1</v>
      </c>
      <c r="K9" s="50">
        <v>1</v>
      </c>
      <c r="L9" s="52">
        <v>0</v>
      </c>
      <c r="M9" s="61">
        <v>1</v>
      </c>
      <c r="N9" s="50">
        <v>0</v>
      </c>
      <c r="O9" s="50">
        <v>0</v>
      </c>
      <c r="P9" s="51">
        <v>0</v>
      </c>
      <c r="Q9" s="53">
        <v>0</v>
      </c>
      <c r="R9" s="54">
        <v>0</v>
      </c>
      <c r="S9" s="55">
        <v>15</v>
      </c>
      <c r="T9" s="56">
        <v>288.98</v>
      </c>
      <c r="U9" s="49">
        <v>1591</v>
      </c>
      <c r="V9" s="51">
        <v>163</v>
      </c>
      <c r="W9" s="55">
        <v>2</v>
      </c>
      <c r="X9" s="50">
        <v>1</v>
      </c>
      <c r="Y9" s="50">
        <v>2</v>
      </c>
      <c r="Z9" s="50">
        <v>0</v>
      </c>
      <c r="AA9" s="57">
        <v>5</v>
      </c>
      <c r="AB9" s="57">
        <v>4</v>
      </c>
      <c r="AC9" s="57">
        <f>SUM(W9:AB9)</f>
        <v>14</v>
      </c>
      <c r="AD9" s="58">
        <v>6</v>
      </c>
      <c r="AE9" s="59">
        <v>3.5</v>
      </c>
      <c r="AF9" s="59">
        <v>7.5</v>
      </c>
      <c r="AG9" s="59">
        <v>0</v>
      </c>
      <c r="AH9" s="60">
        <v>23</v>
      </c>
      <c r="AI9" s="60">
        <v>22</v>
      </c>
      <c r="AJ9" s="54">
        <f>SUM(AD9:AI9)</f>
        <v>62</v>
      </c>
    </row>
    <row r="10" spans="1:36">
      <c r="A10" s="62"/>
      <c r="B10" s="48">
        <v>46178</v>
      </c>
      <c r="C10" s="49">
        <v>1</v>
      </c>
      <c r="D10" s="50">
        <v>0</v>
      </c>
      <c r="E10" s="50">
        <v>0</v>
      </c>
      <c r="F10" s="50">
        <v>0</v>
      </c>
      <c r="G10" s="51">
        <v>0</v>
      </c>
      <c r="H10" s="52">
        <v>1</v>
      </c>
      <c r="I10" s="50">
        <v>0</v>
      </c>
      <c r="J10" s="50">
        <v>0</v>
      </c>
      <c r="K10" s="50">
        <v>0</v>
      </c>
      <c r="L10" s="52">
        <v>0</v>
      </c>
      <c r="M10" s="61">
        <v>0</v>
      </c>
      <c r="N10" s="50">
        <v>0</v>
      </c>
      <c r="O10" s="50">
        <v>0</v>
      </c>
      <c r="P10" s="51">
        <v>0</v>
      </c>
      <c r="Q10" s="53">
        <v>32.5</v>
      </c>
      <c r="R10" s="54">
        <v>0</v>
      </c>
      <c r="S10" s="55">
        <v>8</v>
      </c>
      <c r="T10" s="56">
        <v>223.49</v>
      </c>
      <c r="U10" s="49">
        <v>191</v>
      </c>
      <c r="V10" s="51">
        <v>6</v>
      </c>
      <c r="W10" s="55">
        <v>3</v>
      </c>
      <c r="X10" s="50">
        <v>0</v>
      </c>
      <c r="Y10" s="50">
        <v>0</v>
      </c>
      <c r="Z10" s="50">
        <v>0</v>
      </c>
      <c r="AA10" s="57">
        <v>1</v>
      </c>
      <c r="AB10" s="57">
        <v>4</v>
      </c>
      <c r="AC10" s="57">
        <f>SUM(W10:AB10)</f>
        <v>8</v>
      </c>
      <c r="AD10" s="58">
        <v>12</v>
      </c>
      <c r="AE10" s="59">
        <v>0</v>
      </c>
      <c r="AF10" s="59">
        <v>0</v>
      </c>
      <c r="AG10" s="59">
        <v>0</v>
      </c>
      <c r="AH10" s="60">
        <v>4</v>
      </c>
      <c r="AI10" s="60">
        <v>18.5</v>
      </c>
      <c r="AJ10" s="54">
        <f>SUM(AD10:AI10)</f>
        <v>34.5</v>
      </c>
    </row>
    <row r="11" s="3" customFormat="1" spans="1:36">
      <c r="A11" s="63" t="s">
        <v>126</v>
      </c>
      <c r="B11" s="64"/>
      <c r="C11" s="65">
        <f>SUM(C6:C10)</f>
        <v>8</v>
      </c>
      <c r="D11" s="66">
        <f>SUM(D6:D10)</f>
        <v>7</v>
      </c>
      <c r="E11" s="66">
        <f>SUM(E6:E10)</f>
        <v>3</v>
      </c>
      <c r="F11" s="66">
        <f>SUM(F6:F10)</f>
        <v>3</v>
      </c>
      <c r="G11" s="67">
        <f>SUM(G6:G10)</f>
        <v>1</v>
      </c>
      <c r="H11" s="68">
        <f t="shared" ref="H11:V11" si="0">SUM(H6:H10)</f>
        <v>9</v>
      </c>
      <c r="I11" s="66">
        <f t="shared" si="0"/>
        <v>7</v>
      </c>
      <c r="J11" s="66">
        <f t="shared" si="0"/>
        <v>3</v>
      </c>
      <c r="K11" s="66">
        <f t="shared" si="0"/>
        <v>4</v>
      </c>
      <c r="L11" s="68">
        <f t="shared" si="0"/>
        <v>0</v>
      </c>
      <c r="M11" s="69">
        <f t="shared" si="0"/>
        <v>1</v>
      </c>
      <c r="N11" s="66">
        <f t="shared" si="0"/>
        <v>1</v>
      </c>
      <c r="O11" s="66">
        <f t="shared" si="0"/>
        <v>1</v>
      </c>
      <c r="P11" s="67">
        <f t="shared" si="0"/>
        <v>0</v>
      </c>
      <c r="Q11" s="70">
        <f t="shared" si="0"/>
        <v>107.5</v>
      </c>
      <c r="R11" s="71">
        <f t="shared" si="0"/>
        <v>0</v>
      </c>
      <c r="S11" s="72">
        <f t="shared" si="0"/>
        <v>78</v>
      </c>
      <c r="T11" s="73">
        <f t="shared" si="0"/>
        <v>1793.82</v>
      </c>
      <c r="U11" s="65">
        <f t="shared" si="0"/>
        <v>5324</v>
      </c>
      <c r="V11" s="67">
        <f t="shared" si="0"/>
        <v>527</v>
      </c>
      <c r="W11" s="68">
        <f t="shared" ref="W11:AJ11" si="1">SUM(W6:W10)</f>
        <v>10</v>
      </c>
      <c r="X11" s="74">
        <f t="shared" si="1"/>
        <v>3</v>
      </c>
      <c r="Y11" s="74">
        <f t="shared" si="1"/>
        <v>6</v>
      </c>
      <c r="Z11" s="74">
        <f t="shared" si="1"/>
        <v>3</v>
      </c>
      <c r="AA11" s="74">
        <f t="shared" si="1"/>
        <v>16</v>
      </c>
      <c r="AB11" s="74">
        <f t="shared" si="1"/>
        <v>18</v>
      </c>
      <c r="AC11" s="74">
        <f t="shared" si="1"/>
        <v>56</v>
      </c>
      <c r="AD11" s="70">
        <f t="shared" si="1"/>
        <v>34</v>
      </c>
      <c r="AE11" s="75">
        <f t="shared" si="1"/>
        <v>11.5</v>
      </c>
      <c r="AF11" s="75">
        <f t="shared" si="1"/>
        <v>24.5</v>
      </c>
      <c r="AG11" s="75">
        <f t="shared" si="1"/>
        <v>13</v>
      </c>
      <c r="AH11" s="75">
        <f t="shared" si="1"/>
        <v>54.5</v>
      </c>
      <c r="AI11" s="75">
        <f t="shared" si="1"/>
        <v>71.5</v>
      </c>
      <c r="AJ11" s="71">
        <f t="shared" si="1"/>
        <v>209</v>
      </c>
    </row>
    <row r="12" spans="1:36">
      <c r="A12" s="29" t="s">
        <v>185</v>
      </c>
      <c r="B12" s="48">
        <v>46181</v>
      </c>
      <c r="C12" s="49">
        <v>2</v>
      </c>
      <c r="D12" s="50">
        <v>1</v>
      </c>
      <c r="E12" s="50">
        <v>1</v>
      </c>
      <c r="F12" s="50">
        <v>0</v>
      </c>
      <c r="G12" s="51">
        <v>0</v>
      </c>
      <c r="H12" s="52">
        <v>2</v>
      </c>
      <c r="I12" s="50">
        <v>2</v>
      </c>
      <c r="J12" s="50">
        <v>1</v>
      </c>
      <c r="K12" s="50">
        <v>1</v>
      </c>
      <c r="L12" s="52">
        <v>0</v>
      </c>
      <c r="M12" s="61">
        <v>0</v>
      </c>
      <c r="N12" s="50">
        <v>0</v>
      </c>
      <c r="O12" s="50">
        <v>0</v>
      </c>
      <c r="P12" s="51">
        <v>1</v>
      </c>
      <c r="Q12" s="53">
        <v>20</v>
      </c>
      <c r="R12" s="54">
        <v>8.7</v>
      </c>
      <c r="S12" s="55">
        <v>21</v>
      </c>
      <c r="T12" s="56">
        <v>462.4</v>
      </c>
      <c r="U12" s="49">
        <v>884</v>
      </c>
      <c r="V12" s="51">
        <v>97</v>
      </c>
      <c r="W12" s="55">
        <v>3</v>
      </c>
      <c r="X12" s="50">
        <v>0</v>
      </c>
      <c r="Y12" s="50">
        <v>1</v>
      </c>
      <c r="Z12" s="50">
        <v>0</v>
      </c>
      <c r="AA12" s="57">
        <v>4</v>
      </c>
      <c r="AB12" s="57">
        <v>1</v>
      </c>
      <c r="AC12" s="57">
        <f>SUM(W12:AB12)</f>
        <v>9</v>
      </c>
      <c r="AD12" s="58">
        <v>16</v>
      </c>
      <c r="AE12" s="59">
        <v>0</v>
      </c>
      <c r="AF12" s="59">
        <v>4</v>
      </c>
      <c r="AG12" s="59">
        <v>0</v>
      </c>
      <c r="AH12" s="60">
        <v>14.5</v>
      </c>
      <c r="AI12" s="60">
        <v>5.5</v>
      </c>
      <c r="AJ12" s="54">
        <f>SUM(AD12:AI12)</f>
        <v>40</v>
      </c>
    </row>
    <row r="13" spans="1:36">
      <c r="A13" s="29"/>
      <c r="B13" s="48">
        <v>46182</v>
      </c>
      <c r="C13" s="49">
        <v>0</v>
      </c>
      <c r="D13" s="50">
        <v>0</v>
      </c>
      <c r="E13" s="50">
        <v>0</v>
      </c>
      <c r="F13" s="50">
        <v>0</v>
      </c>
      <c r="G13" s="51">
        <v>0</v>
      </c>
      <c r="H13" s="52">
        <v>3</v>
      </c>
      <c r="I13" s="50">
        <v>3</v>
      </c>
      <c r="J13" s="50">
        <v>1</v>
      </c>
      <c r="K13" s="50">
        <v>2</v>
      </c>
      <c r="L13" s="52">
        <v>0</v>
      </c>
      <c r="M13" s="61">
        <v>1</v>
      </c>
      <c r="N13" s="50">
        <v>0</v>
      </c>
      <c r="O13" s="50">
        <v>1</v>
      </c>
      <c r="P13" s="51">
        <v>0</v>
      </c>
      <c r="Q13" s="53">
        <v>16.9</v>
      </c>
      <c r="R13" s="54">
        <v>0</v>
      </c>
      <c r="S13" s="55">
        <v>15</v>
      </c>
      <c r="T13" s="56">
        <v>306.75</v>
      </c>
      <c r="U13" s="49">
        <v>183</v>
      </c>
      <c r="V13" s="51">
        <v>19</v>
      </c>
      <c r="W13" s="55">
        <v>3</v>
      </c>
      <c r="X13" s="50">
        <v>2</v>
      </c>
      <c r="Y13" s="50">
        <v>2</v>
      </c>
      <c r="Z13" s="50">
        <v>1</v>
      </c>
      <c r="AA13" s="57">
        <v>3</v>
      </c>
      <c r="AB13" s="57">
        <v>3</v>
      </c>
      <c r="AC13" s="57">
        <f>SUM(W13:AB13)</f>
        <v>14</v>
      </c>
      <c r="AD13" s="58">
        <v>14</v>
      </c>
      <c r="AE13" s="59">
        <v>10.5</v>
      </c>
      <c r="AF13" s="59">
        <v>6</v>
      </c>
      <c r="AG13" s="59">
        <v>2</v>
      </c>
      <c r="AH13" s="60">
        <v>7</v>
      </c>
      <c r="AI13" s="60">
        <v>9</v>
      </c>
      <c r="AJ13" s="54">
        <f>SUM(AD13:AI13)</f>
        <v>48.5</v>
      </c>
    </row>
    <row r="14" spans="1:36">
      <c r="A14" s="29"/>
      <c r="B14" s="48">
        <v>46183</v>
      </c>
      <c r="C14" s="49">
        <v>2</v>
      </c>
      <c r="D14" s="50">
        <v>2</v>
      </c>
      <c r="E14" s="50">
        <v>1</v>
      </c>
      <c r="F14" s="50">
        <v>1</v>
      </c>
      <c r="G14" s="51">
        <v>0</v>
      </c>
      <c r="H14" s="52">
        <v>3</v>
      </c>
      <c r="I14" s="50">
        <v>3</v>
      </c>
      <c r="J14" s="50">
        <v>0</v>
      </c>
      <c r="K14" s="50">
        <v>2</v>
      </c>
      <c r="L14" s="52">
        <v>1</v>
      </c>
      <c r="M14" s="61">
        <v>0</v>
      </c>
      <c r="N14" s="50">
        <v>1</v>
      </c>
      <c r="O14" s="50">
        <v>0</v>
      </c>
      <c r="P14" s="51">
        <v>0</v>
      </c>
      <c r="Q14" s="53">
        <v>0</v>
      </c>
      <c r="R14" s="54">
        <v>0</v>
      </c>
      <c r="S14" s="55">
        <v>12</v>
      </c>
      <c r="T14" s="56">
        <v>298.5</v>
      </c>
      <c r="U14" s="49">
        <v>541</v>
      </c>
      <c r="V14" s="51">
        <v>46</v>
      </c>
      <c r="W14" s="55">
        <v>2</v>
      </c>
      <c r="X14" s="50">
        <v>1</v>
      </c>
      <c r="Y14" s="50">
        <v>0</v>
      </c>
      <c r="Z14" s="50">
        <v>0</v>
      </c>
      <c r="AA14" s="57">
        <v>2</v>
      </c>
      <c r="AB14" s="57">
        <v>4</v>
      </c>
      <c r="AC14" s="57">
        <f>SUM(W14:AB14)</f>
        <v>9</v>
      </c>
      <c r="AD14" s="58">
        <v>6.5</v>
      </c>
      <c r="AE14" s="59">
        <v>3</v>
      </c>
      <c r="AF14" s="59">
        <v>0</v>
      </c>
      <c r="AG14" s="59">
        <v>0</v>
      </c>
      <c r="AH14" s="60">
        <v>7.5</v>
      </c>
      <c r="AI14" s="60">
        <v>14.5</v>
      </c>
      <c r="AJ14" s="54">
        <f>SUM(AD14:AI14)</f>
        <v>31.5</v>
      </c>
    </row>
    <row r="15" spans="1:36">
      <c r="A15" s="29"/>
      <c r="B15" s="48">
        <v>46184</v>
      </c>
      <c r="C15" s="49">
        <v>2</v>
      </c>
      <c r="D15" s="50">
        <v>2</v>
      </c>
      <c r="E15" s="50">
        <v>0</v>
      </c>
      <c r="F15" s="50">
        <v>2</v>
      </c>
      <c r="G15" s="51">
        <v>0</v>
      </c>
      <c r="H15" s="55">
        <v>1</v>
      </c>
      <c r="I15" s="55">
        <v>0</v>
      </c>
      <c r="J15" s="50">
        <v>0</v>
      </c>
      <c r="K15" s="50">
        <v>0</v>
      </c>
      <c r="L15" s="57">
        <v>0</v>
      </c>
      <c r="M15" s="49">
        <v>1</v>
      </c>
      <c r="N15" s="50">
        <v>0</v>
      </c>
      <c r="O15" s="50">
        <v>1</v>
      </c>
      <c r="P15" s="51">
        <v>0</v>
      </c>
      <c r="Q15" s="53">
        <v>26.2</v>
      </c>
      <c r="R15" s="54">
        <v>8.9</v>
      </c>
      <c r="S15" s="55">
        <v>4</v>
      </c>
      <c r="T15" s="56">
        <v>126.93</v>
      </c>
      <c r="U15" s="49">
        <v>432</v>
      </c>
      <c r="V15" s="51">
        <v>16</v>
      </c>
      <c r="W15" s="55">
        <v>4</v>
      </c>
      <c r="X15" s="50">
        <v>0</v>
      </c>
      <c r="Y15" s="50">
        <v>2</v>
      </c>
      <c r="Z15" s="50">
        <v>0</v>
      </c>
      <c r="AA15" s="57">
        <v>1</v>
      </c>
      <c r="AB15" s="57">
        <v>3</v>
      </c>
      <c r="AC15" s="57">
        <f>SUM(W15:AB15)</f>
        <v>10</v>
      </c>
      <c r="AD15" s="58">
        <v>14</v>
      </c>
      <c r="AE15" s="59">
        <v>0</v>
      </c>
      <c r="AF15" s="59">
        <v>10</v>
      </c>
      <c r="AG15" s="59">
        <v>0</v>
      </c>
      <c r="AH15" s="60">
        <v>4.5</v>
      </c>
      <c r="AI15" s="60">
        <v>8</v>
      </c>
      <c r="AJ15" s="54">
        <f>SUM(AD15:AI15)</f>
        <v>36.5</v>
      </c>
    </row>
    <row r="16" spans="1:36">
      <c r="A16" s="29"/>
      <c r="B16" s="48">
        <v>46185</v>
      </c>
      <c r="C16" s="49">
        <v>2</v>
      </c>
      <c r="D16" s="50">
        <v>2</v>
      </c>
      <c r="E16" s="50">
        <v>1</v>
      </c>
      <c r="F16" s="50">
        <v>1</v>
      </c>
      <c r="G16" s="51">
        <v>0</v>
      </c>
      <c r="H16" s="55">
        <v>0</v>
      </c>
      <c r="I16" s="55">
        <v>0</v>
      </c>
      <c r="J16" s="50">
        <v>0</v>
      </c>
      <c r="K16" s="50">
        <v>0</v>
      </c>
      <c r="L16" s="57">
        <v>0</v>
      </c>
      <c r="M16" s="49">
        <v>1</v>
      </c>
      <c r="N16" s="50">
        <v>1</v>
      </c>
      <c r="O16" s="50">
        <v>0</v>
      </c>
      <c r="P16" s="51">
        <v>1</v>
      </c>
      <c r="Q16" s="77">
        <v>27.6</v>
      </c>
      <c r="R16" s="54">
        <v>2.2</v>
      </c>
      <c r="S16" s="78">
        <v>21</v>
      </c>
      <c r="T16" s="79">
        <v>595.16</v>
      </c>
      <c r="U16" s="80">
        <v>610</v>
      </c>
      <c r="V16" s="81">
        <v>20</v>
      </c>
      <c r="W16" s="55">
        <v>4</v>
      </c>
      <c r="X16" s="50">
        <v>2</v>
      </c>
      <c r="Y16" s="50">
        <v>2</v>
      </c>
      <c r="Z16" s="50">
        <v>0</v>
      </c>
      <c r="AA16" s="57">
        <v>2</v>
      </c>
      <c r="AB16" s="57">
        <v>1</v>
      </c>
      <c r="AC16" s="57">
        <f>SUM(W16:AB16)</f>
        <v>11</v>
      </c>
      <c r="AD16" s="58">
        <v>8.5</v>
      </c>
      <c r="AE16" s="59">
        <v>10</v>
      </c>
      <c r="AF16" s="59">
        <v>7.5</v>
      </c>
      <c r="AG16" s="59">
        <v>0</v>
      </c>
      <c r="AH16" s="60">
        <v>5</v>
      </c>
      <c r="AI16" s="60">
        <v>3</v>
      </c>
      <c r="AJ16" s="54">
        <f>SUM(AD16:AI16)</f>
        <v>34</v>
      </c>
    </row>
    <row r="17" spans="1:36">
      <c r="A17" s="63" t="s">
        <v>126</v>
      </c>
      <c r="B17" s="64"/>
      <c r="C17" s="65">
        <f>SUM(C12:C16)</f>
        <v>8</v>
      </c>
      <c r="D17" s="66">
        <f>SUM(D12:D16)</f>
        <v>7</v>
      </c>
      <c r="E17" s="66">
        <f>SUM(E12:E16)</f>
        <v>3</v>
      </c>
      <c r="F17" s="66">
        <f>SUM(F12:F16)</f>
        <v>4</v>
      </c>
      <c r="G17" s="67">
        <f>SUM(G12:G16)</f>
        <v>0</v>
      </c>
      <c r="H17" s="72">
        <f t="shared" ref="H17:V17" si="2">SUM(H12:H16)</f>
        <v>9</v>
      </c>
      <c r="I17" s="66">
        <f t="shared" si="2"/>
        <v>8</v>
      </c>
      <c r="J17" s="66">
        <f t="shared" si="2"/>
        <v>2</v>
      </c>
      <c r="K17" s="66">
        <f t="shared" si="2"/>
        <v>5</v>
      </c>
      <c r="L17" s="74">
        <f t="shared" si="2"/>
        <v>1</v>
      </c>
      <c r="M17" s="65">
        <f t="shared" si="2"/>
        <v>3</v>
      </c>
      <c r="N17" s="66">
        <f t="shared" si="2"/>
        <v>2</v>
      </c>
      <c r="O17" s="66">
        <f t="shared" si="2"/>
        <v>2</v>
      </c>
      <c r="P17" s="67">
        <f t="shared" si="2"/>
        <v>2</v>
      </c>
      <c r="Q17" s="70">
        <f t="shared" si="2"/>
        <v>90.7</v>
      </c>
      <c r="R17" s="71">
        <f t="shared" si="2"/>
        <v>19.8</v>
      </c>
      <c r="S17" s="72">
        <f t="shared" si="2"/>
        <v>73</v>
      </c>
      <c r="T17" s="73">
        <f t="shared" si="2"/>
        <v>1789.74</v>
      </c>
      <c r="U17" s="65">
        <f t="shared" si="2"/>
        <v>2650</v>
      </c>
      <c r="V17" s="67">
        <f t="shared" si="2"/>
        <v>198</v>
      </c>
      <c r="W17" s="68">
        <f t="shared" ref="W17:AJ17" si="3">SUM(W12:W16)</f>
        <v>16</v>
      </c>
      <c r="X17" s="74">
        <f t="shared" si="3"/>
        <v>5</v>
      </c>
      <c r="Y17" s="74">
        <f t="shared" si="3"/>
        <v>7</v>
      </c>
      <c r="Z17" s="74">
        <f t="shared" si="3"/>
        <v>1</v>
      </c>
      <c r="AA17" s="74">
        <f t="shared" si="3"/>
        <v>12</v>
      </c>
      <c r="AB17" s="74">
        <f t="shared" si="3"/>
        <v>12</v>
      </c>
      <c r="AC17" s="74">
        <f t="shared" si="3"/>
        <v>53</v>
      </c>
      <c r="AD17" s="70">
        <f t="shared" si="3"/>
        <v>59</v>
      </c>
      <c r="AE17" s="75">
        <f t="shared" si="3"/>
        <v>23.5</v>
      </c>
      <c r="AF17" s="75">
        <f t="shared" si="3"/>
        <v>27.5</v>
      </c>
      <c r="AG17" s="75">
        <f t="shared" si="3"/>
        <v>2</v>
      </c>
      <c r="AH17" s="75">
        <f t="shared" si="3"/>
        <v>38.5</v>
      </c>
      <c r="AI17" s="75">
        <f t="shared" si="3"/>
        <v>40</v>
      </c>
      <c r="AJ17" s="71">
        <f t="shared" si="3"/>
        <v>190.5</v>
      </c>
    </row>
    <row r="18" spans="1:36">
      <c r="A18" s="29" t="s">
        <v>186</v>
      </c>
      <c r="B18" s="48">
        <v>46188</v>
      </c>
      <c r="C18" s="49">
        <v>0</v>
      </c>
      <c r="D18" s="50">
        <v>0</v>
      </c>
      <c r="E18" s="50">
        <v>0</v>
      </c>
      <c r="F18" s="50">
        <v>0</v>
      </c>
      <c r="G18" s="51">
        <v>0</v>
      </c>
      <c r="H18" s="55">
        <v>1</v>
      </c>
      <c r="I18" s="55">
        <v>1</v>
      </c>
      <c r="J18" s="50">
        <v>0</v>
      </c>
      <c r="K18" s="50">
        <v>1</v>
      </c>
      <c r="L18" s="57">
        <v>0</v>
      </c>
      <c r="M18" s="49">
        <v>0</v>
      </c>
      <c r="N18" s="50">
        <v>0</v>
      </c>
      <c r="O18" s="50">
        <v>0</v>
      </c>
      <c r="P18" s="51">
        <v>0</v>
      </c>
      <c r="Q18" s="53">
        <v>0</v>
      </c>
      <c r="R18" s="54">
        <v>0</v>
      </c>
      <c r="S18" s="55">
        <v>15</v>
      </c>
      <c r="T18" s="56">
        <v>387.52</v>
      </c>
      <c r="U18" s="49">
        <v>1602</v>
      </c>
      <c r="V18" s="51">
        <v>187</v>
      </c>
      <c r="W18" s="55">
        <v>2</v>
      </c>
      <c r="X18" s="50">
        <v>1</v>
      </c>
      <c r="Y18" s="50">
        <v>2</v>
      </c>
      <c r="Z18" s="50">
        <v>1</v>
      </c>
      <c r="AA18" s="57">
        <v>1</v>
      </c>
      <c r="AB18" s="57">
        <v>3</v>
      </c>
      <c r="AC18" s="57">
        <f>SUM(W18:AB18)</f>
        <v>10</v>
      </c>
      <c r="AD18" s="58">
        <v>6.5</v>
      </c>
      <c r="AE18" s="59">
        <v>2</v>
      </c>
      <c r="AF18" s="59">
        <v>4</v>
      </c>
      <c r="AG18" s="59">
        <v>4</v>
      </c>
      <c r="AH18" s="60">
        <v>2</v>
      </c>
      <c r="AI18" s="60">
        <v>14.5</v>
      </c>
      <c r="AJ18" s="54">
        <f>SUM(AD18:AI18)</f>
        <v>33</v>
      </c>
    </row>
    <row r="19" spans="1:36">
      <c r="A19" s="29"/>
      <c r="B19" s="48">
        <v>46189</v>
      </c>
      <c r="C19" s="49">
        <v>3</v>
      </c>
      <c r="D19" s="50">
        <v>3</v>
      </c>
      <c r="E19" s="50">
        <v>0</v>
      </c>
      <c r="F19" s="50">
        <v>3</v>
      </c>
      <c r="G19" s="51">
        <v>0</v>
      </c>
      <c r="H19" s="55">
        <v>2</v>
      </c>
      <c r="I19" s="55">
        <v>2</v>
      </c>
      <c r="J19" s="50">
        <v>1</v>
      </c>
      <c r="K19" s="50">
        <v>1</v>
      </c>
      <c r="L19" s="57">
        <v>0</v>
      </c>
      <c r="M19" s="49">
        <v>2</v>
      </c>
      <c r="N19" s="50">
        <v>1</v>
      </c>
      <c r="O19" s="50">
        <v>1</v>
      </c>
      <c r="P19" s="51">
        <v>0</v>
      </c>
      <c r="Q19" s="53">
        <v>0</v>
      </c>
      <c r="R19" s="54">
        <v>22</v>
      </c>
      <c r="S19" s="55">
        <v>10</v>
      </c>
      <c r="T19" s="56">
        <v>195.34</v>
      </c>
      <c r="U19" s="49">
        <v>1850</v>
      </c>
      <c r="V19" s="51">
        <v>280</v>
      </c>
      <c r="W19" s="55">
        <v>1</v>
      </c>
      <c r="X19" s="50">
        <v>1</v>
      </c>
      <c r="Y19" s="50">
        <v>2</v>
      </c>
      <c r="Z19" s="50">
        <v>1</v>
      </c>
      <c r="AA19" s="57">
        <v>2</v>
      </c>
      <c r="AB19" s="57">
        <v>1</v>
      </c>
      <c r="AC19" s="57">
        <f>SUM(W19:AB19)</f>
        <v>8</v>
      </c>
      <c r="AD19" s="58">
        <v>5</v>
      </c>
      <c r="AE19" s="59">
        <v>4</v>
      </c>
      <c r="AF19" s="59">
        <v>5.5</v>
      </c>
      <c r="AG19" s="59">
        <v>3</v>
      </c>
      <c r="AH19" s="60">
        <v>6</v>
      </c>
      <c r="AI19" s="60">
        <v>2</v>
      </c>
      <c r="AJ19" s="54">
        <f>SUM(AD19:AI19)</f>
        <v>25.5</v>
      </c>
    </row>
    <row r="20" spans="1:36">
      <c r="A20" s="29"/>
      <c r="B20" s="48">
        <v>46190</v>
      </c>
      <c r="C20" s="49">
        <v>0</v>
      </c>
      <c r="D20" s="50">
        <v>0</v>
      </c>
      <c r="E20" s="50">
        <v>0</v>
      </c>
      <c r="F20" s="50">
        <v>0</v>
      </c>
      <c r="G20" s="51">
        <v>0</v>
      </c>
      <c r="H20" s="55">
        <v>0</v>
      </c>
      <c r="I20" s="55">
        <v>0</v>
      </c>
      <c r="J20" s="50">
        <v>0</v>
      </c>
      <c r="K20" s="50">
        <v>0</v>
      </c>
      <c r="L20" s="57">
        <v>0</v>
      </c>
      <c r="M20" s="49">
        <v>0</v>
      </c>
      <c r="N20" s="50">
        <v>0</v>
      </c>
      <c r="O20" s="50">
        <v>0</v>
      </c>
      <c r="P20" s="51">
        <v>0</v>
      </c>
      <c r="Q20" s="53">
        <v>0</v>
      </c>
      <c r="R20" s="54">
        <v>6.9</v>
      </c>
      <c r="S20" s="55">
        <v>10</v>
      </c>
      <c r="T20" s="56">
        <v>159.72</v>
      </c>
      <c r="U20" s="82">
        <v>1615</v>
      </c>
      <c r="V20" s="51">
        <v>124</v>
      </c>
      <c r="W20" s="55">
        <v>3</v>
      </c>
      <c r="X20" s="50">
        <v>0</v>
      </c>
      <c r="Y20" s="50">
        <v>2</v>
      </c>
      <c r="Z20" s="50">
        <v>1</v>
      </c>
      <c r="AA20" s="57">
        <v>3</v>
      </c>
      <c r="AB20" s="57">
        <v>3</v>
      </c>
      <c r="AC20" s="57">
        <f>SUM(W20:AB20)</f>
        <v>12</v>
      </c>
      <c r="AD20" s="58">
        <v>6.5</v>
      </c>
      <c r="AE20" s="59">
        <v>0</v>
      </c>
      <c r="AF20" s="59">
        <v>7.5</v>
      </c>
      <c r="AG20" s="59">
        <v>4</v>
      </c>
      <c r="AH20" s="60">
        <v>15</v>
      </c>
      <c r="AI20" s="60">
        <v>6</v>
      </c>
      <c r="AJ20" s="54">
        <f>SUM(AD20:AI20)</f>
        <v>39</v>
      </c>
    </row>
    <row r="21" spans="1:36">
      <c r="A21" s="29"/>
      <c r="B21" s="48">
        <v>46191</v>
      </c>
      <c r="C21" s="49">
        <v>3</v>
      </c>
      <c r="D21" s="50">
        <v>3</v>
      </c>
      <c r="E21" s="50">
        <v>0</v>
      </c>
      <c r="F21" s="50">
        <v>3</v>
      </c>
      <c r="G21" s="51">
        <v>0</v>
      </c>
      <c r="H21" s="55">
        <v>1</v>
      </c>
      <c r="I21" s="55">
        <v>0</v>
      </c>
      <c r="J21" s="50">
        <v>0</v>
      </c>
      <c r="K21" s="50">
        <v>0</v>
      </c>
      <c r="L21" s="57">
        <v>0</v>
      </c>
      <c r="M21" s="49">
        <v>0</v>
      </c>
      <c r="N21" s="50">
        <v>0</v>
      </c>
      <c r="O21" s="50">
        <v>1</v>
      </c>
      <c r="P21" s="51">
        <v>0</v>
      </c>
      <c r="Q21" s="53">
        <v>10</v>
      </c>
      <c r="R21" s="54">
        <v>0</v>
      </c>
      <c r="S21" s="55">
        <v>9</v>
      </c>
      <c r="T21" s="56">
        <v>148.87</v>
      </c>
      <c r="U21" s="49">
        <v>428</v>
      </c>
      <c r="V21" s="51">
        <v>56</v>
      </c>
      <c r="W21" s="55">
        <v>2</v>
      </c>
      <c r="X21" s="50">
        <v>2</v>
      </c>
      <c r="Y21" s="50">
        <v>1</v>
      </c>
      <c r="Z21" s="50">
        <v>0</v>
      </c>
      <c r="AA21" s="57">
        <v>2</v>
      </c>
      <c r="AB21" s="57">
        <v>3</v>
      </c>
      <c r="AC21" s="57">
        <f>SUM(W21:AB21)</f>
        <v>10</v>
      </c>
      <c r="AD21" s="58">
        <v>11</v>
      </c>
      <c r="AE21" s="59">
        <v>9.5</v>
      </c>
      <c r="AF21" s="59">
        <v>4.5</v>
      </c>
      <c r="AG21" s="59">
        <v>0</v>
      </c>
      <c r="AH21" s="60">
        <v>9.5</v>
      </c>
      <c r="AI21" s="60">
        <v>13</v>
      </c>
      <c r="AJ21" s="54">
        <f>SUM(AD21:AI21)</f>
        <v>47.5</v>
      </c>
    </row>
    <row r="22" spans="1:36">
      <c r="A22" s="29"/>
      <c r="B22" s="48">
        <v>46192</v>
      </c>
      <c r="C22" s="49">
        <v>3</v>
      </c>
      <c r="D22" s="50">
        <v>2</v>
      </c>
      <c r="E22" s="50">
        <v>1</v>
      </c>
      <c r="F22" s="50">
        <v>1</v>
      </c>
      <c r="G22" s="51">
        <v>0</v>
      </c>
      <c r="H22" s="55">
        <v>1</v>
      </c>
      <c r="I22" s="55">
        <v>1</v>
      </c>
      <c r="J22" s="50">
        <v>1</v>
      </c>
      <c r="K22" s="50">
        <v>0</v>
      </c>
      <c r="L22" s="57">
        <v>0</v>
      </c>
      <c r="M22" s="49">
        <v>1</v>
      </c>
      <c r="N22" s="50">
        <v>1</v>
      </c>
      <c r="O22" s="50">
        <v>1</v>
      </c>
      <c r="P22" s="51">
        <v>0</v>
      </c>
      <c r="Q22" s="77">
        <v>43.5</v>
      </c>
      <c r="R22" s="54">
        <v>13.8</v>
      </c>
      <c r="S22" s="78">
        <v>5</v>
      </c>
      <c r="T22" s="79">
        <v>131.5</v>
      </c>
      <c r="U22" s="80">
        <v>1960</v>
      </c>
      <c r="V22" s="81">
        <v>129</v>
      </c>
      <c r="W22" s="55">
        <v>2</v>
      </c>
      <c r="X22" s="50">
        <v>1</v>
      </c>
      <c r="Y22" s="50">
        <v>1</v>
      </c>
      <c r="Z22" s="50">
        <v>1</v>
      </c>
      <c r="AA22" s="57">
        <v>1</v>
      </c>
      <c r="AB22" s="57">
        <v>3</v>
      </c>
      <c r="AC22" s="57">
        <f>SUM(W22:AB22)</f>
        <v>9</v>
      </c>
      <c r="AD22" s="58">
        <v>6.5</v>
      </c>
      <c r="AE22" s="59">
        <v>2.5</v>
      </c>
      <c r="AF22" s="59">
        <v>4</v>
      </c>
      <c r="AG22" s="59">
        <v>2.5</v>
      </c>
      <c r="AH22" s="60">
        <v>2.5</v>
      </c>
      <c r="AI22" s="60">
        <v>8.5</v>
      </c>
      <c r="AJ22" s="54">
        <f>SUM(AD22:AI22)</f>
        <v>26.5</v>
      </c>
    </row>
    <row r="23" spans="1:36">
      <c r="A23" s="63" t="s">
        <v>126</v>
      </c>
      <c r="B23" s="64"/>
      <c r="C23" s="65">
        <f>SUM(C18:C22)</f>
        <v>9</v>
      </c>
      <c r="D23" s="66">
        <f>SUM(D18:D22)</f>
        <v>8</v>
      </c>
      <c r="E23" s="66">
        <f>SUM(E18:E22)</f>
        <v>1</v>
      </c>
      <c r="F23" s="66">
        <f>SUM(F18:F22)</f>
        <v>7</v>
      </c>
      <c r="G23" s="67">
        <f>SUM(G18:G22)</f>
        <v>0</v>
      </c>
      <c r="H23" s="72">
        <f t="shared" ref="H23:V23" si="4">SUM(H18:H22)</f>
        <v>5</v>
      </c>
      <c r="I23" s="66">
        <f t="shared" si="4"/>
        <v>4</v>
      </c>
      <c r="J23" s="66">
        <f t="shared" si="4"/>
        <v>2</v>
      </c>
      <c r="K23" s="66">
        <f t="shared" si="4"/>
        <v>2</v>
      </c>
      <c r="L23" s="74">
        <f t="shared" si="4"/>
        <v>0</v>
      </c>
      <c r="M23" s="65">
        <f t="shared" si="4"/>
        <v>3</v>
      </c>
      <c r="N23" s="66">
        <f t="shared" si="4"/>
        <v>2</v>
      </c>
      <c r="O23" s="66">
        <f t="shared" si="4"/>
        <v>3</v>
      </c>
      <c r="P23" s="67">
        <f t="shared" si="4"/>
        <v>0</v>
      </c>
      <c r="Q23" s="70">
        <f t="shared" si="4"/>
        <v>53.5</v>
      </c>
      <c r="R23" s="71">
        <f t="shared" si="4"/>
        <v>42.7</v>
      </c>
      <c r="S23" s="72">
        <f t="shared" si="4"/>
        <v>49</v>
      </c>
      <c r="T23" s="73">
        <f t="shared" si="4"/>
        <v>1022.95</v>
      </c>
      <c r="U23" s="65">
        <f t="shared" si="4"/>
        <v>7455</v>
      </c>
      <c r="V23" s="67">
        <f t="shared" si="4"/>
        <v>776</v>
      </c>
      <c r="W23" s="68">
        <f t="shared" ref="W23:AJ23" si="5">SUM(W18:W22)</f>
        <v>10</v>
      </c>
      <c r="X23" s="74">
        <f t="shared" si="5"/>
        <v>5</v>
      </c>
      <c r="Y23" s="74">
        <f t="shared" si="5"/>
        <v>8</v>
      </c>
      <c r="Z23" s="74">
        <f t="shared" si="5"/>
        <v>4</v>
      </c>
      <c r="AA23" s="74">
        <f t="shared" si="5"/>
        <v>9</v>
      </c>
      <c r="AB23" s="74">
        <f t="shared" si="5"/>
        <v>13</v>
      </c>
      <c r="AC23" s="74">
        <f t="shared" si="5"/>
        <v>49</v>
      </c>
      <c r="AD23" s="70">
        <f t="shared" si="5"/>
        <v>35.5</v>
      </c>
      <c r="AE23" s="75">
        <f t="shared" si="5"/>
        <v>18</v>
      </c>
      <c r="AF23" s="75">
        <f t="shared" si="5"/>
        <v>25.5</v>
      </c>
      <c r="AG23" s="75">
        <f t="shared" si="5"/>
        <v>13.5</v>
      </c>
      <c r="AH23" s="75">
        <f t="shared" si="5"/>
        <v>35</v>
      </c>
      <c r="AI23" s="75">
        <f t="shared" si="5"/>
        <v>44</v>
      </c>
      <c r="AJ23" s="71">
        <f t="shared" si="5"/>
        <v>171.5</v>
      </c>
    </row>
    <row r="24" spans="1:36">
      <c r="A24" s="29" t="s">
        <v>187</v>
      </c>
      <c r="B24" s="48">
        <v>46195</v>
      </c>
      <c r="C24" s="49">
        <v>1</v>
      </c>
      <c r="D24" s="50">
        <v>1</v>
      </c>
      <c r="E24" s="50">
        <v>1</v>
      </c>
      <c r="F24" s="50">
        <v>0</v>
      </c>
      <c r="G24" s="51">
        <v>0</v>
      </c>
      <c r="H24" s="55">
        <v>2</v>
      </c>
      <c r="I24" s="55">
        <v>2</v>
      </c>
      <c r="J24" s="50">
        <v>0</v>
      </c>
      <c r="K24" s="50">
        <v>2</v>
      </c>
      <c r="L24" s="57">
        <v>0</v>
      </c>
      <c r="M24" s="49">
        <v>0</v>
      </c>
      <c r="N24" s="50">
        <v>0</v>
      </c>
      <c r="O24" s="50">
        <v>0</v>
      </c>
      <c r="P24" s="51">
        <v>0</v>
      </c>
      <c r="Q24" s="53">
        <v>31.8</v>
      </c>
      <c r="R24" s="54">
        <v>0</v>
      </c>
      <c r="S24" s="55">
        <v>21</v>
      </c>
      <c r="T24" s="56">
        <v>487.61</v>
      </c>
      <c r="U24" s="49">
        <v>721</v>
      </c>
      <c r="V24" s="51">
        <v>70</v>
      </c>
      <c r="W24" s="55">
        <v>3</v>
      </c>
      <c r="X24" s="50">
        <v>1</v>
      </c>
      <c r="Y24" s="50">
        <v>1</v>
      </c>
      <c r="Z24" s="50">
        <v>1</v>
      </c>
      <c r="AA24" s="57">
        <v>5</v>
      </c>
      <c r="AB24" s="57">
        <v>3</v>
      </c>
      <c r="AC24" s="57">
        <f>SUM(W24:AB24)</f>
        <v>14</v>
      </c>
      <c r="AD24" s="58">
        <v>11.5</v>
      </c>
      <c r="AE24" s="59">
        <v>2.5</v>
      </c>
      <c r="AF24" s="59">
        <v>5.5</v>
      </c>
      <c r="AG24" s="59">
        <v>2.5</v>
      </c>
      <c r="AH24" s="60">
        <v>19</v>
      </c>
      <c r="AI24" s="60">
        <v>13.5</v>
      </c>
      <c r="AJ24" s="54">
        <f>SUM(AD24:AI24)</f>
        <v>54.5</v>
      </c>
    </row>
    <row r="25" spans="1:36">
      <c r="A25" s="29"/>
      <c r="B25" s="48">
        <v>46196</v>
      </c>
      <c r="C25" s="49">
        <v>1</v>
      </c>
      <c r="D25" s="50">
        <v>1</v>
      </c>
      <c r="E25" s="50">
        <v>0</v>
      </c>
      <c r="F25" s="50">
        <v>1</v>
      </c>
      <c r="G25" s="51">
        <v>0</v>
      </c>
      <c r="H25" s="55">
        <v>0</v>
      </c>
      <c r="I25" s="55">
        <v>0</v>
      </c>
      <c r="J25" s="50">
        <v>0</v>
      </c>
      <c r="K25" s="50">
        <v>0</v>
      </c>
      <c r="L25" s="57">
        <v>0</v>
      </c>
      <c r="M25" s="49">
        <v>0</v>
      </c>
      <c r="N25" s="50">
        <v>0</v>
      </c>
      <c r="O25" s="50">
        <v>1</v>
      </c>
      <c r="P25" s="51">
        <v>0</v>
      </c>
      <c r="Q25" s="53">
        <v>0</v>
      </c>
      <c r="R25" s="54">
        <v>15.3</v>
      </c>
      <c r="S25" s="55">
        <v>8</v>
      </c>
      <c r="T25" s="56">
        <v>127.46</v>
      </c>
      <c r="U25" s="49">
        <v>1476</v>
      </c>
      <c r="V25" s="51">
        <v>191</v>
      </c>
      <c r="W25" s="55">
        <v>2</v>
      </c>
      <c r="X25" s="50">
        <v>1</v>
      </c>
      <c r="Y25" s="50">
        <v>2</v>
      </c>
      <c r="Z25" s="50">
        <v>0</v>
      </c>
      <c r="AA25" s="57">
        <v>5</v>
      </c>
      <c r="AB25" s="57">
        <v>4</v>
      </c>
      <c r="AC25" s="57">
        <f>SUM(W25:AB25)</f>
        <v>14</v>
      </c>
      <c r="AD25" s="58">
        <v>8</v>
      </c>
      <c r="AE25" s="59">
        <v>3</v>
      </c>
      <c r="AF25" s="59">
        <v>9.5</v>
      </c>
      <c r="AG25" s="59">
        <v>0</v>
      </c>
      <c r="AH25" s="60">
        <v>12</v>
      </c>
      <c r="AI25" s="60">
        <v>10.5</v>
      </c>
      <c r="AJ25" s="54">
        <f>SUM(AD25:AI25)</f>
        <v>43</v>
      </c>
    </row>
    <row r="26" spans="1:36">
      <c r="A26" s="29"/>
      <c r="B26" s="48">
        <v>46197</v>
      </c>
      <c r="C26" s="49">
        <v>4</v>
      </c>
      <c r="D26" s="50">
        <v>4</v>
      </c>
      <c r="E26" s="50">
        <v>0</v>
      </c>
      <c r="F26" s="50">
        <v>4</v>
      </c>
      <c r="G26" s="51">
        <v>0</v>
      </c>
      <c r="H26" s="55">
        <v>3</v>
      </c>
      <c r="I26" s="55">
        <v>3</v>
      </c>
      <c r="J26" s="50">
        <v>1</v>
      </c>
      <c r="K26" s="50">
        <v>2</v>
      </c>
      <c r="L26" s="57">
        <v>0</v>
      </c>
      <c r="M26" s="49">
        <v>0</v>
      </c>
      <c r="N26" s="50">
        <v>0</v>
      </c>
      <c r="O26" s="50">
        <v>0</v>
      </c>
      <c r="P26" s="51">
        <v>0</v>
      </c>
      <c r="Q26" s="53">
        <v>17.5</v>
      </c>
      <c r="R26" s="54">
        <v>20.2</v>
      </c>
      <c r="S26" s="55">
        <v>15</v>
      </c>
      <c r="T26" s="56">
        <v>276.49</v>
      </c>
      <c r="U26" s="49">
        <v>2060</v>
      </c>
      <c r="V26" s="51">
        <v>317</v>
      </c>
      <c r="W26" s="55">
        <v>3</v>
      </c>
      <c r="X26" s="50">
        <v>2</v>
      </c>
      <c r="Y26" s="50">
        <v>1</v>
      </c>
      <c r="Z26" s="50">
        <v>2</v>
      </c>
      <c r="AA26" s="57">
        <v>4</v>
      </c>
      <c r="AB26" s="57">
        <v>4</v>
      </c>
      <c r="AC26" s="57">
        <f>SUM(W26:AB26)</f>
        <v>16</v>
      </c>
      <c r="AD26" s="58">
        <v>6</v>
      </c>
      <c r="AE26" s="59">
        <v>7.5</v>
      </c>
      <c r="AF26" s="59">
        <v>4.5</v>
      </c>
      <c r="AG26" s="59">
        <v>6.5</v>
      </c>
      <c r="AH26" s="60">
        <v>18.5</v>
      </c>
      <c r="AI26" s="60">
        <v>20.5</v>
      </c>
      <c r="AJ26" s="54">
        <f>SUM(AD26:AI26)</f>
        <v>63.5</v>
      </c>
    </row>
    <row r="27" spans="1:36">
      <c r="A27" s="29"/>
      <c r="B27" s="48">
        <v>46198</v>
      </c>
      <c r="C27" s="49">
        <v>2</v>
      </c>
      <c r="D27" s="50">
        <v>1</v>
      </c>
      <c r="E27" s="50">
        <v>0</v>
      </c>
      <c r="F27" s="50">
        <v>1</v>
      </c>
      <c r="G27" s="51">
        <v>0</v>
      </c>
      <c r="H27" s="55">
        <v>1</v>
      </c>
      <c r="I27" s="55">
        <v>1</v>
      </c>
      <c r="J27" s="50">
        <v>0</v>
      </c>
      <c r="K27" s="50">
        <v>1</v>
      </c>
      <c r="L27" s="57">
        <v>0</v>
      </c>
      <c r="M27" s="49">
        <v>1</v>
      </c>
      <c r="N27" s="50">
        <v>1</v>
      </c>
      <c r="O27" s="50">
        <v>0</v>
      </c>
      <c r="P27" s="51">
        <v>0</v>
      </c>
      <c r="Q27" s="53">
        <v>10.6</v>
      </c>
      <c r="R27" s="54">
        <v>0</v>
      </c>
      <c r="S27" s="55">
        <v>12</v>
      </c>
      <c r="T27" s="56">
        <v>192.64</v>
      </c>
      <c r="U27" s="49">
        <v>366</v>
      </c>
      <c r="V27" s="51">
        <v>33</v>
      </c>
      <c r="W27" s="55">
        <v>2</v>
      </c>
      <c r="X27" s="50">
        <v>1</v>
      </c>
      <c r="Y27" s="50">
        <v>0</v>
      </c>
      <c r="Z27" s="50">
        <v>1</v>
      </c>
      <c r="AA27" s="57">
        <v>3</v>
      </c>
      <c r="AB27" s="57">
        <v>3</v>
      </c>
      <c r="AC27" s="57">
        <f>SUM(W27:AB27)</f>
        <v>10</v>
      </c>
      <c r="AD27" s="58">
        <v>5.5</v>
      </c>
      <c r="AE27" s="59">
        <v>2</v>
      </c>
      <c r="AF27" s="59">
        <v>0</v>
      </c>
      <c r="AG27" s="59">
        <v>3</v>
      </c>
      <c r="AH27" s="60">
        <v>12</v>
      </c>
      <c r="AI27" s="60">
        <v>12.5</v>
      </c>
      <c r="AJ27" s="54">
        <f>SUM(AD27:AI27)</f>
        <v>35</v>
      </c>
    </row>
    <row r="28" spans="1:36">
      <c r="A28" s="29"/>
      <c r="B28" s="48">
        <v>46199</v>
      </c>
      <c r="C28" s="49">
        <v>3</v>
      </c>
      <c r="D28" s="50">
        <v>3</v>
      </c>
      <c r="E28" s="50">
        <v>1</v>
      </c>
      <c r="F28" s="50">
        <v>2</v>
      </c>
      <c r="G28" s="51">
        <v>0</v>
      </c>
      <c r="H28" s="55">
        <v>0</v>
      </c>
      <c r="I28" s="55">
        <v>0</v>
      </c>
      <c r="J28" s="50">
        <v>0</v>
      </c>
      <c r="K28" s="50">
        <v>0</v>
      </c>
      <c r="L28" s="57">
        <v>0</v>
      </c>
      <c r="M28" s="49">
        <v>0</v>
      </c>
      <c r="N28" s="50">
        <v>1</v>
      </c>
      <c r="O28" s="50">
        <v>1</v>
      </c>
      <c r="P28" s="51">
        <v>0</v>
      </c>
      <c r="Q28" s="77">
        <v>63.3</v>
      </c>
      <c r="R28" s="54">
        <v>0</v>
      </c>
      <c r="S28" s="78">
        <v>7</v>
      </c>
      <c r="T28" s="79">
        <v>227.14</v>
      </c>
      <c r="U28" s="80">
        <v>1555</v>
      </c>
      <c r="V28" s="81">
        <v>181</v>
      </c>
      <c r="W28" s="55">
        <v>4</v>
      </c>
      <c r="X28" s="50">
        <v>1</v>
      </c>
      <c r="Y28" s="50">
        <v>0</v>
      </c>
      <c r="Z28" s="50">
        <v>1</v>
      </c>
      <c r="AA28" s="57">
        <v>3</v>
      </c>
      <c r="AB28" s="57">
        <v>3</v>
      </c>
      <c r="AC28" s="57">
        <f>SUM(W28:AB28)</f>
        <v>12</v>
      </c>
      <c r="AD28" s="58">
        <v>12</v>
      </c>
      <c r="AE28" s="59">
        <v>4.5</v>
      </c>
      <c r="AF28" s="59">
        <v>0</v>
      </c>
      <c r="AG28" s="59">
        <v>4</v>
      </c>
      <c r="AH28" s="60">
        <v>12.5</v>
      </c>
      <c r="AI28" s="60">
        <v>13</v>
      </c>
      <c r="AJ28" s="54">
        <f>SUM(AD28:AI28)</f>
        <v>46</v>
      </c>
    </row>
    <row r="29" spans="1:36">
      <c r="A29" s="63" t="s">
        <v>126</v>
      </c>
      <c r="B29" s="64"/>
      <c r="C29" s="65">
        <f>SUM(C24:C28)</f>
        <v>11</v>
      </c>
      <c r="D29" s="66">
        <f>SUM(D24:D28)</f>
        <v>10</v>
      </c>
      <c r="E29" s="66">
        <f>SUM(E24:E28)</f>
        <v>2</v>
      </c>
      <c r="F29" s="66">
        <f>SUM(F24:F28)</f>
        <v>8</v>
      </c>
      <c r="G29" s="67">
        <f>SUM(G24:G28)</f>
        <v>0</v>
      </c>
      <c r="H29" s="72">
        <f t="shared" ref="H29:V29" si="6">SUM(H24:H28)</f>
        <v>6</v>
      </c>
      <c r="I29" s="66">
        <f t="shared" si="6"/>
        <v>6</v>
      </c>
      <c r="J29" s="66">
        <f t="shared" si="6"/>
        <v>1</v>
      </c>
      <c r="K29" s="66">
        <f t="shared" si="6"/>
        <v>5</v>
      </c>
      <c r="L29" s="74">
        <f t="shared" si="6"/>
        <v>0</v>
      </c>
      <c r="M29" s="65">
        <f t="shared" si="6"/>
        <v>1</v>
      </c>
      <c r="N29" s="66">
        <f t="shared" si="6"/>
        <v>2</v>
      </c>
      <c r="O29" s="66">
        <f t="shared" si="6"/>
        <v>2</v>
      </c>
      <c r="P29" s="67">
        <f t="shared" si="6"/>
        <v>0</v>
      </c>
      <c r="Q29" s="70">
        <f t="shared" si="6"/>
        <v>123.2</v>
      </c>
      <c r="R29" s="71">
        <f t="shared" si="6"/>
        <v>35.5</v>
      </c>
      <c r="S29" s="72">
        <f t="shared" si="6"/>
        <v>63</v>
      </c>
      <c r="T29" s="73">
        <f t="shared" si="6"/>
        <v>1311.34</v>
      </c>
      <c r="U29" s="65">
        <f t="shared" si="6"/>
        <v>6178</v>
      </c>
      <c r="V29" s="67">
        <f t="shared" si="6"/>
        <v>792</v>
      </c>
      <c r="W29" s="68">
        <f t="shared" ref="W29:AJ29" si="7">SUM(W24:W28)</f>
        <v>14</v>
      </c>
      <c r="X29" s="74">
        <f t="shared" si="7"/>
        <v>6</v>
      </c>
      <c r="Y29" s="74">
        <f t="shared" si="7"/>
        <v>4</v>
      </c>
      <c r="Z29" s="74">
        <f t="shared" si="7"/>
        <v>5</v>
      </c>
      <c r="AA29" s="74">
        <f t="shared" si="7"/>
        <v>20</v>
      </c>
      <c r="AB29" s="74">
        <f t="shared" si="7"/>
        <v>17</v>
      </c>
      <c r="AC29" s="74">
        <f t="shared" si="7"/>
        <v>66</v>
      </c>
      <c r="AD29" s="70">
        <f t="shared" si="7"/>
        <v>43</v>
      </c>
      <c r="AE29" s="75">
        <f t="shared" si="7"/>
        <v>19.5</v>
      </c>
      <c r="AF29" s="75">
        <f t="shared" si="7"/>
        <v>19.5</v>
      </c>
      <c r="AG29" s="75">
        <f t="shared" si="7"/>
        <v>16</v>
      </c>
      <c r="AH29" s="75">
        <f t="shared" si="7"/>
        <v>74</v>
      </c>
      <c r="AI29" s="75">
        <f t="shared" si="7"/>
        <v>70</v>
      </c>
      <c r="AJ29" s="71">
        <f t="shared" si="7"/>
        <v>242</v>
      </c>
    </row>
    <row r="30" spans="1:36">
      <c r="A30" s="29" t="s">
        <v>188</v>
      </c>
      <c r="B30" s="48">
        <v>46202</v>
      </c>
      <c r="C30" s="49">
        <v>0</v>
      </c>
      <c r="D30" s="50">
        <v>0</v>
      </c>
      <c r="E30" s="50">
        <v>0</v>
      </c>
      <c r="F30" s="50">
        <v>0</v>
      </c>
      <c r="G30" s="51">
        <v>0</v>
      </c>
      <c r="H30" s="55">
        <v>1</v>
      </c>
      <c r="I30" s="55">
        <v>1</v>
      </c>
      <c r="J30" s="50">
        <v>0</v>
      </c>
      <c r="K30" s="50">
        <v>1</v>
      </c>
      <c r="L30" s="57">
        <v>0</v>
      </c>
      <c r="M30" s="49">
        <v>2</v>
      </c>
      <c r="N30" s="50">
        <v>1</v>
      </c>
      <c r="O30" s="50">
        <v>0</v>
      </c>
      <c r="P30" s="51">
        <v>0</v>
      </c>
      <c r="Q30" s="53">
        <v>10.1</v>
      </c>
      <c r="R30" s="54">
        <v>0</v>
      </c>
      <c r="S30" s="55">
        <v>6</v>
      </c>
      <c r="T30" s="56">
        <v>97.34</v>
      </c>
      <c r="U30" s="49">
        <v>899</v>
      </c>
      <c r="V30" s="51">
        <v>127</v>
      </c>
      <c r="W30" s="55">
        <v>2</v>
      </c>
      <c r="X30" s="50">
        <v>1</v>
      </c>
      <c r="Y30" s="50">
        <v>2</v>
      </c>
      <c r="Z30" s="50">
        <v>0</v>
      </c>
      <c r="AA30" s="57">
        <v>3</v>
      </c>
      <c r="AB30" s="57">
        <v>1</v>
      </c>
      <c r="AC30" s="57">
        <f>SUM(W30:AB30)</f>
        <v>9</v>
      </c>
      <c r="AD30" s="58">
        <v>6.5</v>
      </c>
      <c r="AE30" s="59">
        <v>3.5</v>
      </c>
      <c r="AF30" s="59">
        <v>6.5</v>
      </c>
      <c r="AG30" s="59">
        <v>0</v>
      </c>
      <c r="AH30" s="60">
        <v>11.5</v>
      </c>
      <c r="AI30" s="60">
        <v>2</v>
      </c>
      <c r="AJ30" s="54">
        <f>SUM(AD30:AI30)</f>
        <v>30</v>
      </c>
    </row>
    <row r="31" spans="1:36">
      <c r="A31" s="29"/>
      <c r="B31" s="48">
        <v>46203</v>
      </c>
      <c r="C31" s="49">
        <v>3</v>
      </c>
      <c r="D31" s="50">
        <v>3</v>
      </c>
      <c r="E31" s="50">
        <v>1</v>
      </c>
      <c r="F31" s="50">
        <v>2</v>
      </c>
      <c r="G31" s="51">
        <v>0</v>
      </c>
      <c r="H31" s="55">
        <v>2</v>
      </c>
      <c r="I31" s="55">
        <v>1</v>
      </c>
      <c r="J31" s="50">
        <v>0</v>
      </c>
      <c r="K31" s="50">
        <v>1</v>
      </c>
      <c r="L31" s="57">
        <v>0</v>
      </c>
      <c r="M31" s="49">
        <v>1</v>
      </c>
      <c r="N31" s="50">
        <v>1</v>
      </c>
      <c r="O31" s="50">
        <v>0</v>
      </c>
      <c r="P31" s="51">
        <v>1</v>
      </c>
      <c r="Q31" s="53">
        <v>48</v>
      </c>
      <c r="R31" s="54">
        <v>0</v>
      </c>
      <c r="S31" s="55">
        <v>16</v>
      </c>
      <c r="T31" s="56">
        <v>483.81</v>
      </c>
      <c r="U31" s="49">
        <v>404</v>
      </c>
      <c r="V31" s="51">
        <v>9</v>
      </c>
      <c r="W31" s="55">
        <v>1</v>
      </c>
      <c r="X31" s="50">
        <v>1</v>
      </c>
      <c r="Y31" s="50">
        <v>2</v>
      </c>
      <c r="Z31" s="50">
        <v>1</v>
      </c>
      <c r="AA31" s="57">
        <v>2</v>
      </c>
      <c r="AB31" s="57">
        <v>4</v>
      </c>
      <c r="AC31" s="57">
        <f>SUM(W31:AB31)</f>
        <v>11</v>
      </c>
      <c r="AD31" s="58">
        <v>2.5</v>
      </c>
      <c r="AE31" s="59">
        <v>3.5</v>
      </c>
      <c r="AF31" s="59">
        <v>7</v>
      </c>
      <c r="AG31" s="59">
        <v>3</v>
      </c>
      <c r="AH31" s="60">
        <v>10.5</v>
      </c>
      <c r="AI31" s="60">
        <v>9</v>
      </c>
      <c r="AJ31" s="54">
        <f>SUM(AD31:AI31)</f>
        <v>35.5</v>
      </c>
    </row>
    <row r="32" spans="1:36">
      <c r="A32" s="29"/>
      <c r="B32" s="48"/>
      <c r="C32" s="49"/>
      <c r="D32" s="50"/>
      <c r="E32" s="50"/>
      <c r="F32" s="50"/>
      <c r="G32" s="51"/>
      <c r="H32" s="55"/>
      <c r="I32" s="55"/>
      <c r="J32" s="50"/>
      <c r="K32" s="50"/>
      <c r="L32" s="57"/>
      <c r="M32" s="49"/>
      <c r="N32" s="50"/>
      <c r="O32" s="50"/>
      <c r="P32" s="51"/>
      <c r="Q32" s="53"/>
      <c r="R32" s="54"/>
      <c r="S32" s="55"/>
      <c r="T32" s="56"/>
      <c r="U32" s="49"/>
      <c r="V32" s="51"/>
      <c r="W32" s="55"/>
      <c r="X32" s="50"/>
      <c r="Y32" s="50"/>
      <c r="Z32" s="50"/>
      <c r="AA32" s="57"/>
      <c r="AB32" s="57"/>
      <c r="AC32" s="57">
        <f>SUM(W32:AB32)</f>
        <v>0</v>
      </c>
      <c r="AD32" s="58"/>
      <c r="AE32" s="59"/>
      <c r="AF32" s="59"/>
      <c r="AG32" s="59"/>
      <c r="AH32" s="60"/>
      <c r="AI32" s="60"/>
      <c r="AJ32" s="54">
        <f>SUM(AD32:AI32)</f>
        <v>0</v>
      </c>
    </row>
    <row r="33" spans="1:36">
      <c r="A33" s="29"/>
      <c r="B33" s="61"/>
      <c r="C33" s="49"/>
      <c r="D33" s="50"/>
      <c r="E33" s="50"/>
      <c r="F33" s="50"/>
      <c r="G33" s="51"/>
      <c r="H33" s="55"/>
      <c r="I33" s="55"/>
      <c r="J33" s="50"/>
      <c r="K33" s="50"/>
      <c r="L33" s="57"/>
      <c r="M33" s="49"/>
      <c r="N33" s="50"/>
      <c r="O33" s="50"/>
      <c r="P33" s="51"/>
      <c r="Q33" s="53"/>
      <c r="R33" s="54"/>
      <c r="S33" s="55"/>
      <c r="T33" s="56"/>
      <c r="U33" s="49"/>
      <c r="V33" s="51"/>
      <c r="W33" s="55"/>
      <c r="X33" s="50"/>
      <c r="Y33" s="50"/>
      <c r="Z33" s="50"/>
      <c r="AA33" s="57"/>
      <c r="AB33" s="57"/>
      <c r="AC33" s="57">
        <f>SUM(W33:AB33)</f>
        <v>0</v>
      </c>
      <c r="AD33" s="58"/>
      <c r="AE33" s="59"/>
      <c r="AF33" s="59"/>
      <c r="AG33" s="59"/>
      <c r="AH33" s="60"/>
      <c r="AI33" s="60"/>
      <c r="AJ33" s="54">
        <f>SUM(AD33:AI33)</f>
        <v>0</v>
      </c>
    </row>
    <row r="34" spans="1:36">
      <c r="A34" s="29"/>
      <c r="B34" s="61"/>
      <c r="C34" s="49"/>
      <c r="D34" s="50"/>
      <c r="E34" s="50"/>
      <c r="F34" s="50"/>
      <c r="G34" s="51"/>
      <c r="H34" s="55"/>
      <c r="I34" s="55"/>
      <c r="J34" s="50"/>
      <c r="K34" s="50"/>
      <c r="L34" s="57"/>
      <c r="M34" s="49"/>
      <c r="N34" s="50"/>
      <c r="O34" s="50"/>
      <c r="P34" s="51"/>
      <c r="Q34" s="77"/>
      <c r="R34" s="54"/>
      <c r="S34" s="78"/>
      <c r="T34" s="79"/>
      <c r="U34" s="80"/>
      <c r="V34" s="81"/>
      <c r="W34" s="55"/>
      <c r="X34" s="50"/>
      <c r="Y34" s="50"/>
      <c r="Z34" s="50"/>
      <c r="AA34" s="57"/>
      <c r="AB34" s="57"/>
      <c r="AC34" s="57">
        <f>SUM(W34:AB34)</f>
        <v>0</v>
      </c>
      <c r="AD34" s="58"/>
      <c r="AE34" s="59"/>
      <c r="AF34" s="59"/>
      <c r="AG34" s="59"/>
      <c r="AH34" s="60"/>
      <c r="AI34" s="60"/>
      <c r="AJ34" s="54">
        <f>SUM(AD34:AI34)</f>
        <v>0</v>
      </c>
    </row>
    <row r="35" ht="17.55" spans="1:36">
      <c r="A35" s="83" t="s">
        <v>126</v>
      </c>
      <c r="B35" s="84"/>
      <c r="C35" s="85">
        <f>SUM(C30:C31)</f>
        <v>3</v>
      </c>
      <c r="D35" s="86">
        <f>SUM(D30:D31)</f>
        <v>3</v>
      </c>
      <c r="E35" s="86">
        <f>SUM(E30:E31)</f>
        <v>1</v>
      </c>
      <c r="F35" s="86">
        <f>SUM(F30:F31)</f>
        <v>2</v>
      </c>
      <c r="G35" s="87">
        <f>SUM(G30:G31)</f>
        <v>0</v>
      </c>
      <c r="H35" s="88">
        <f t="shared" ref="H35:V35" si="8">SUM(H30:H31)</f>
        <v>3</v>
      </c>
      <c r="I35" s="86">
        <f t="shared" si="8"/>
        <v>2</v>
      </c>
      <c r="J35" s="86">
        <f t="shared" si="8"/>
        <v>0</v>
      </c>
      <c r="K35" s="86">
        <f t="shared" si="8"/>
        <v>2</v>
      </c>
      <c r="L35" s="89">
        <f t="shared" si="8"/>
        <v>0</v>
      </c>
      <c r="M35" s="90">
        <f t="shared" si="8"/>
        <v>3</v>
      </c>
      <c r="N35" s="91">
        <f t="shared" si="8"/>
        <v>2</v>
      </c>
      <c r="O35" s="91">
        <f t="shared" si="8"/>
        <v>0</v>
      </c>
      <c r="P35" s="92">
        <f t="shared" si="8"/>
        <v>1</v>
      </c>
      <c r="Q35" s="93">
        <f t="shared" si="8"/>
        <v>58.1</v>
      </c>
      <c r="R35" s="94">
        <f t="shared" si="8"/>
        <v>0</v>
      </c>
      <c r="S35" s="95">
        <f t="shared" si="8"/>
        <v>22</v>
      </c>
      <c r="T35" s="96">
        <f t="shared" si="8"/>
        <v>581.15</v>
      </c>
      <c r="U35" s="85">
        <f t="shared" si="8"/>
        <v>1303</v>
      </c>
      <c r="V35" s="87">
        <f t="shared" si="8"/>
        <v>136</v>
      </c>
      <c r="W35" s="97">
        <f t="shared" ref="W35:AJ35" si="9">SUM(W30:W31)</f>
        <v>3</v>
      </c>
      <c r="X35" s="98">
        <f t="shared" si="9"/>
        <v>2</v>
      </c>
      <c r="Y35" s="98">
        <f t="shared" si="9"/>
        <v>4</v>
      </c>
      <c r="Z35" s="98">
        <f t="shared" si="9"/>
        <v>1</v>
      </c>
      <c r="AA35" s="98">
        <f t="shared" si="9"/>
        <v>5</v>
      </c>
      <c r="AB35" s="98">
        <f t="shared" si="9"/>
        <v>5</v>
      </c>
      <c r="AC35" s="98">
        <f t="shared" si="9"/>
        <v>20</v>
      </c>
      <c r="AD35" s="99">
        <f t="shared" si="9"/>
        <v>9</v>
      </c>
      <c r="AE35" s="100">
        <f t="shared" si="9"/>
        <v>7</v>
      </c>
      <c r="AF35" s="100">
        <f t="shared" si="9"/>
        <v>13.5</v>
      </c>
      <c r="AG35" s="100">
        <f t="shared" si="9"/>
        <v>3</v>
      </c>
      <c r="AH35" s="100">
        <f t="shared" si="9"/>
        <v>22</v>
      </c>
      <c r="AI35" s="100">
        <f t="shared" si="9"/>
        <v>11</v>
      </c>
      <c r="AJ35" s="101">
        <f t="shared" si="9"/>
        <v>65.5</v>
      </c>
    </row>
    <row r="36" s="4" customFormat="1" ht="37.2" customHeight="1" spans="1:36">
      <c r="A36" s="102" t="s">
        <v>201</v>
      </c>
      <c r="B36" s="103"/>
      <c r="C36" s="104">
        <f>C11+C17+C23+C29+C35</f>
        <v>39</v>
      </c>
      <c r="D36" s="105">
        <f>D11+D17+D23+D29+D35</f>
        <v>35</v>
      </c>
      <c r="E36" s="105">
        <f>E11+E17+E23+E29+E35</f>
        <v>10</v>
      </c>
      <c r="F36" s="105">
        <f>F11+F17+F23+F29+F35</f>
        <v>24</v>
      </c>
      <c r="G36" s="106">
        <f>G11+G17+G23+G29+G35</f>
        <v>1</v>
      </c>
      <c r="H36" s="107">
        <f t="shared" ref="H36:V36" si="10">H11+H17+H23+H29+H35</f>
        <v>32</v>
      </c>
      <c r="I36" s="105">
        <f t="shared" si="10"/>
        <v>27</v>
      </c>
      <c r="J36" s="105">
        <f t="shared" si="10"/>
        <v>8</v>
      </c>
      <c r="K36" s="105">
        <f t="shared" si="10"/>
        <v>18</v>
      </c>
      <c r="L36" s="108">
        <f t="shared" si="10"/>
        <v>1</v>
      </c>
      <c r="M36" s="109">
        <f t="shared" si="10"/>
        <v>11</v>
      </c>
      <c r="N36" s="110">
        <f t="shared" si="10"/>
        <v>9</v>
      </c>
      <c r="O36" s="110">
        <f t="shared" si="10"/>
        <v>8</v>
      </c>
      <c r="P36" s="111">
        <f t="shared" si="10"/>
        <v>3</v>
      </c>
      <c r="Q36" s="112">
        <f t="shared" si="10"/>
        <v>433</v>
      </c>
      <c r="R36" s="113">
        <f t="shared" si="10"/>
        <v>98</v>
      </c>
      <c r="S36" s="114">
        <f t="shared" si="10"/>
        <v>285</v>
      </c>
      <c r="T36" s="115">
        <f t="shared" si="10"/>
        <v>6499</v>
      </c>
      <c r="U36" s="105">
        <f t="shared" si="10"/>
        <v>22910</v>
      </c>
      <c r="V36" s="105">
        <f t="shared" si="10"/>
        <v>2429</v>
      </c>
      <c r="W36" s="116">
        <f t="shared" ref="W36:AJ36" si="11">W11+W17+W23+W29+W35</f>
        <v>53</v>
      </c>
      <c r="X36" s="116">
        <f t="shared" si="11"/>
        <v>21</v>
      </c>
      <c r="Y36" s="116">
        <f t="shared" si="11"/>
        <v>29</v>
      </c>
      <c r="Z36" s="116">
        <f t="shared" si="11"/>
        <v>14</v>
      </c>
      <c r="AA36" s="116">
        <f t="shared" si="11"/>
        <v>62</v>
      </c>
      <c r="AB36" s="116">
        <f t="shared" si="11"/>
        <v>65</v>
      </c>
      <c r="AC36" s="116">
        <f t="shared" si="11"/>
        <v>244</v>
      </c>
      <c r="AD36" s="117">
        <f t="shared" si="11"/>
        <v>180.5</v>
      </c>
      <c r="AE36" s="118">
        <f t="shared" si="11"/>
        <v>79.5</v>
      </c>
      <c r="AF36" s="118">
        <f t="shared" si="11"/>
        <v>110.5</v>
      </c>
      <c r="AG36" s="118">
        <f t="shared" si="11"/>
        <v>47.5</v>
      </c>
      <c r="AH36" s="118">
        <f t="shared" si="11"/>
        <v>224</v>
      </c>
      <c r="AI36" s="118">
        <f t="shared" si="11"/>
        <v>236.5</v>
      </c>
      <c r="AJ36" s="113">
        <f t="shared" si="11"/>
        <v>878.5</v>
      </c>
    </row>
    <row r="41" spans="1:36">
      <c r="T41" s="5"/>
      <c r="W41" s="2"/>
    </row>
    <row r="42" spans="1:36">
      <c r="T42" s="5"/>
      <c r="W42" s="2"/>
    </row>
    <row r="43" spans="1:36">
      <c r="T43" s="5"/>
      <c r="W43" s="2"/>
    </row>
    <row r="44" spans="1:36">
      <c r="T44" s="5"/>
      <c r="W44" s="2"/>
    </row>
    <row r="45" spans="1:36">
      <c r="T45" s="5"/>
      <c r="W45" s="2"/>
    </row>
    <row r="46" spans="1:36">
      <c r="T46" s="5"/>
      <c r="W46" s="2"/>
    </row>
    <row r="47" spans="1:36">
      <c r="T47" s="5"/>
      <c r="W47" s="2"/>
    </row>
    <row r="48" spans="1:36">
      <c r="T48" s="5"/>
      <c r="W48" s="2"/>
    </row>
    <row r="49" spans="20:23">
      <c r="T49" s="5"/>
      <c r="W49" s="2"/>
    </row>
    <row r="50" spans="20:23">
      <c r="T50" s="5"/>
      <c r="W50" s="2"/>
    </row>
    <row r="51" spans="20:23">
      <c r="T51" s="5"/>
      <c r="W51" s="2"/>
    </row>
    <row r="52" spans="20:23">
      <c r="T52" s="5"/>
      <c r="W52" s="2"/>
    </row>
    <row r="53" spans="20:23">
      <c r="T53" s="5"/>
      <c r="W53" s="2"/>
    </row>
    <row r="54" spans="20:23">
      <c r="T54" s="5"/>
      <c r="W54" s="2"/>
    </row>
    <row r="55" spans="20:23">
      <c r="T55" s="5"/>
      <c r="W55" s="2"/>
    </row>
    <row r="56" spans="20:23">
      <c r="T56" s="5"/>
      <c r="W56" s="2"/>
    </row>
    <row r="57" spans="20:23">
      <c r="T57" s="5"/>
      <c r="W57" s="2"/>
    </row>
    <row r="58" spans="20:23">
      <c r="T58" s="5"/>
      <c r="W58" s="2"/>
    </row>
    <row r="59" spans="20:23">
      <c r="T59" s="5"/>
      <c r="W59" s="2"/>
    </row>
    <row r="60" spans="20:23">
      <c r="T60" s="5"/>
      <c r="W60" s="2"/>
    </row>
    <row r="61" spans="20:23">
      <c r="T61" s="5"/>
      <c r="W61" s="2"/>
    </row>
    <row r="62" spans="20:23">
      <c r="T62" s="5"/>
      <c r="W62" s="2"/>
    </row>
    <row r="63" spans="20:23">
      <c r="T63" s="5"/>
      <c r="W63" s="2"/>
    </row>
    <row r="64" spans="20:23">
      <c r="T64" s="5"/>
      <c r="W64" s="2"/>
    </row>
    <row r="65" spans="20:23">
      <c r="T65" s="5"/>
      <c r="W65" s="2"/>
    </row>
    <row r="66" spans="20:23">
      <c r="T66" s="5"/>
      <c r="W66" s="2"/>
    </row>
    <row r="67" spans="20:23">
      <c r="T67" s="5"/>
      <c r="W67" s="2"/>
    </row>
    <row r="68" spans="20:23">
      <c r="T68" s="5"/>
      <c r="W68" s="2"/>
    </row>
    <row r="69" spans="20:23">
      <c r="T69" s="5"/>
      <c r="W69" s="2"/>
    </row>
    <row r="70" spans="20:23">
      <c r="T70" s="5"/>
      <c r="W70" s="2"/>
    </row>
    <row r="71" spans="20:23">
      <c r="T71" s="5"/>
      <c r="W71" s="2"/>
    </row>
    <row r="72" spans="20:23">
      <c r="T72" s="5"/>
      <c r="W72" s="2"/>
    </row>
    <row r="73" spans="20:23">
      <c r="T73" s="5"/>
      <c r="W73" s="2"/>
    </row>
    <row r="74" spans="20:23">
      <c r="T74" s="5"/>
      <c r="W74" s="2"/>
    </row>
  </sheetData>
  <mergeCells count="20">
    <mergeCell ref="C4:G4"/>
    <mergeCell ref="H4:L4"/>
    <mergeCell ref="M4:P4"/>
    <mergeCell ref="Q4:R4"/>
    <mergeCell ref="S4:T4"/>
    <mergeCell ref="U4:V4"/>
    <mergeCell ref="W4:AC4"/>
    <mergeCell ref="AD4:AJ4"/>
    <mergeCell ref="A11:B11"/>
    <mergeCell ref="A17:B17"/>
    <mergeCell ref="A23:B23"/>
    <mergeCell ref="A29:B29"/>
    <mergeCell ref="A35:B35"/>
    <mergeCell ref="A36:B36"/>
    <mergeCell ref="A6:A10"/>
    <mergeCell ref="A12:A16"/>
    <mergeCell ref="A18:A22"/>
    <mergeCell ref="A24:A28"/>
    <mergeCell ref="A30:A34"/>
    <mergeCell ref="E1:AA2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74"/>
  <sheetViews>
    <sheetView workbookViewId="0">
      <selection activeCell="A1" sqref="A1"/>
    </sheetView>
  </sheetViews>
  <sheetFormatPr defaultColWidth="13.6923076923077" defaultRowHeight="16.8"/>
  <cols>
    <col min="1" max="1" width="3.68269230769231" style="2" customWidth="1"/>
    <col min="2" max="22" width="13.6923076923077" style="2" customWidth="1"/>
    <col min="23" max="23" width="13.6923076923077" style="5" customWidth="1"/>
    <col min="24" max="16384" width="13.6923076923077" style="2" customWidth="1"/>
  </cols>
  <sheetData>
    <row r="1" spans="1:36">
      <c r="E1" s="6" t="s">
        <v>104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36"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17.55"/>
    <row r="4" s="1" customFormat="1" ht="17.55" spans="1:36">
      <c r="C4" s="8" t="s">
        <v>105</v>
      </c>
      <c r="D4" s="9"/>
      <c r="E4" s="9"/>
      <c r="F4" s="9"/>
      <c r="G4" s="10"/>
      <c r="H4" s="9" t="s">
        <v>106</v>
      </c>
      <c r="I4" s="9"/>
      <c r="J4" s="9"/>
      <c r="K4" s="9"/>
      <c r="L4" s="9"/>
      <c r="M4" s="8" t="s">
        <v>107</v>
      </c>
      <c r="N4" s="9"/>
      <c r="O4" s="9"/>
      <c r="P4" s="11"/>
      <c r="Q4" s="12" t="s">
        <v>124</v>
      </c>
      <c r="R4" s="10"/>
      <c r="S4" s="9" t="s">
        <v>109</v>
      </c>
      <c r="T4" s="11"/>
      <c r="U4" s="13" t="s">
        <v>110</v>
      </c>
      <c r="V4" s="14"/>
      <c r="W4" s="12" t="s">
        <v>111</v>
      </c>
      <c r="X4" s="15"/>
      <c r="Y4" s="15"/>
      <c r="Z4" s="15"/>
      <c r="AA4" s="15"/>
      <c r="AB4" s="15"/>
      <c r="AC4" s="15"/>
      <c r="AD4" s="12" t="s">
        <v>112</v>
      </c>
      <c r="AE4" s="15"/>
      <c r="AF4" s="15"/>
      <c r="AG4" s="15"/>
      <c r="AH4" s="15"/>
      <c r="AI4" s="15"/>
      <c r="AJ4" s="10"/>
    </row>
    <row r="5" s="2" customFormat="1" ht="17.55" spans="1:36">
      <c r="A5" s="16" t="s">
        <v>202</v>
      </c>
      <c r="B5" s="17" t="s">
        <v>55</v>
      </c>
      <c r="C5" s="18" t="s">
        <v>47</v>
      </c>
      <c r="D5" s="19" t="s">
        <v>114</v>
      </c>
      <c r="E5" s="20" t="s">
        <v>40</v>
      </c>
      <c r="F5" s="19" t="s">
        <v>41</v>
      </c>
      <c r="G5" s="21" t="s">
        <v>42</v>
      </c>
      <c r="H5" s="22" t="s">
        <v>47</v>
      </c>
      <c r="I5" s="22" t="s">
        <v>114</v>
      </c>
      <c r="J5" s="23" t="s">
        <v>40</v>
      </c>
      <c r="K5" s="23" t="s">
        <v>41</v>
      </c>
      <c r="L5" s="24" t="s">
        <v>42</v>
      </c>
      <c r="M5" s="25" t="s">
        <v>47</v>
      </c>
      <c r="N5" s="23" t="s">
        <v>48</v>
      </c>
      <c r="O5" s="23" t="s">
        <v>49</v>
      </c>
      <c r="P5" s="26" t="s">
        <v>50</v>
      </c>
      <c r="Q5" s="25" t="s">
        <v>115</v>
      </c>
      <c r="R5" s="26" t="s">
        <v>116</v>
      </c>
      <c r="S5" s="22" t="s">
        <v>72</v>
      </c>
      <c r="T5" s="27" t="s">
        <v>73</v>
      </c>
      <c r="U5" s="19" t="s">
        <v>74</v>
      </c>
      <c r="V5" s="28" t="s">
        <v>75</v>
      </c>
      <c r="W5" s="25" t="s">
        <v>117</v>
      </c>
      <c r="X5" s="23" t="s">
        <v>118</v>
      </c>
      <c r="Y5" s="23" t="s">
        <v>119</v>
      </c>
      <c r="Z5" s="23" t="s">
        <v>110</v>
      </c>
      <c r="AA5" s="24" t="s">
        <v>120</v>
      </c>
      <c r="AB5" s="24" t="s">
        <v>121</v>
      </c>
      <c r="AC5" s="24" t="s">
        <v>39</v>
      </c>
      <c r="AD5" s="25" t="s">
        <v>117</v>
      </c>
      <c r="AE5" s="23" t="s">
        <v>118</v>
      </c>
      <c r="AF5" s="23" t="s">
        <v>122</v>
      </c>
      <c r="AG5" s="23" t="s">
        <v>110</v>
      </c>
      <c r="AH5" s="24" t="s">
        <v>120</v>
      </c>
      <c r="AI5" s="24" t="s">
        <v>121</v>
      </c>
      <c r="AJ5" s="26" t="s">
        <v>39</v>
      </c>
    </row>
    <row r="6" spans="1:36">
      <c r="A6" s="29" t="s">
        <v>184</v>
      </c>
      <c r="B6" s="30"/>
      <c r="C6" s="31"/>
      <c r="D6" s="32"/>
      <c r="E6" s="32"/>
      <c r="F6" s="32"/>
      <c r="G6" s="33"/>
      <c r="H6" s="34"/>
      <c r="I6" s="34"/>
      <c r="J6" s="32"/>
      <c r="K6" s="32"/>
      <c r="L6" s="35"/>
      <c r="M6" s="36"/>
      <c r="N6" s="37"/>
      <c r="O6" s="37"/>
      <c r="P6" s="38"/>
      <c r="Q6" s="39"/>
      <c r="R6" s="40"/>
      <c r="S6" s="41"/>
      <c r="T6" s="42"/>
      <c r="U6" s="31"/>
      <c r="V6" s="33"/>
      <c r="W6" s="41"/>
      <c r="X6" s="37"/>
      <c r="Y6" s="37"/>
      <c r="Z6" s="37"/>
      <c r="AA6" s="43"/>
      <c r="AB6" s="43"/>
      <c r="AC6" s="43">
        <f>SUM(W6:AB6)</f>
        <v>0</v>
      </c>
      <c r="AD6" s="44"/>
      <c r="AE6" s="45"/>
      <c r="AF6" s="45"/>
      <c r="AG6" s="45"/>
      <c r="AH6" s="46"/>
      <c r="AI6" s="46"/>
      <c r="AJ6" s="47">
        <f>SUM(AD6:AI6)</f>
        <v>0</v>
      </c>
    </row>
    <row r="7" spans="1:36">
      <c r="A7" s="29"/>
      <c r="B7" s="30"/>
      <c r="C7" s="49"/>
      <c r="D7" s="50"/>
      <c r="E7" s="50"/>
      <c r="F7" s="50"/>
      <c r="G7" s="51"/>
      <c r="H7" s="52"/>
      <c r="I7" s="50"/>
      <c r="J7" s="50"/>
      <c r="K7" s="50"/>
      <c r="L7" s="52"/>
      <c r="M7" s="49"/>
      <c r="N7" s="50"/>
      <c r="O7" s="50"/>
      <c r="P7" s="51"/>
      <c r="Q7" s="53"/>
      <c r="R7" s="54"/>
      <c r="S7" s="55"/>
      <c r="T7" s="56"/>
      <c r="U7" s="49"/>
      <c r="V7" s="51"/>
      <c r="W7" s="55"/>
      <c r="X7" s="50"/>
      <c r="Y7" s="50"/>
      <c r="Z7" s="50"/>
      <c r="AA7" s="57"/>
      <c r="AB7" s="57"/>
      <c r="AC7" s="57">
        <f>SUM(W7:AB7)</f>
        <v>0</v>
      </c>
      <c r="AD7" s="58"/>
      <c r="AE7" s="59"/>
      <c r="AF7" s="59"/>
      <c r="AG7" s="59"/>
      <c r="AH7" s="60"/>
      <c r="AI7" s="60"/>
      <c r="AJ7" s="54">
        <f>SUM(AD7:AI7)</f>
        <v>0</v>
      </c>
    </row>
    <row r="8" spans="1:36">
      <c r="A8" s="29"/>
      <c r="B8" s="48">
        <v>46204</v>
      </c>
      <c r="C8" s="49">
        <v>4</v>
      </c>
      <c r="D8" s="50">
        <v>4</v>
      </c>
      <c r="E8" s="50">
        <v>0</v>
      </c>
      <c r="F8" s="50">
        <v>4</v>
      </c>
      <c r="G8" s="51">
        <v>0</v>
      </c>
      <c r="H8" s="52">
        <v>2</v>
      </c>
      <c r="I8" s="50">
        <v>2</v>
      </c>
      <c r="J8" s="50">
        <v>0</v>
      </c>
      <c r="K8" s="50">
        <v>2</v>
      </c>
      <c r="L8" s="52">
        <v>0</v>
      </c>
      <c r="M8" s="61">
        <v>1</v>
      </c>
      <c r="N8" s="50">
        <v>0</v>
      </c>
      <c r="O8" s="50">
        <v>0</v>
      </c>
      <c r="P8" s="51">
        <v>0</v>
      </c>
      <c r="Q8" s="53">
        <v>8.8</v>
      </c>
      <c r="R8" s="54">
        <v>14.1</v>
      </c>
      <c r="S8" s="55">
        <v>11</v>
      </c>
      <c r="T8" s="56">
        <v>144.87</v>
      </c>
      <c r="U8" s="49">
        <v>1075</v>
      </c>
      <c r="V8" s="51">
        <v>59</v>
      </c>
      <c r="W8" s="55">
        <v>3</v>
      </c>
      <c r="X8" s="50">
        <v>2</v>
      </c>
      <c r="Y8" s="50">
        <v>2</v>
      </c>
      <c r="Z8" s="50">
        <v>0</v>
      </c>
      <c r="AA8" s="57">
        <v>4</v>
      </c>
      <c r="AB8" s="57">
        <v>2</v>
      </c>
      <c r="AC8" s="57">
        <f>SUM(W8:AB8)</f>
        <v>13</v>
      </c>
      <c r="AD8" s="58">
        <v>8.5</v>
      </c>
      <c r="AE8" s="59">
        <v>5.5</v>
      </c>
      <c r="AF8" s="59">
        <v>4.5</v>
      </c>
      <c r="AG8" s="59">
        <v>0</v>
      </c>
      <c r="AH8" s="60">
        <v>10</v>
      </c>
      <c r="AI8" s="60">
        <v>7</v>
      </c>
      <c r="AJ8" s="54">
        <f>SUM(AD8:AI8)</f>
        <v>35.5</v>
      </c>
    </row>
    <row r="9" spans="1:36">
      <c r="A9" s="29"/>
      <c r="B9" s="48">
        <v>46205</v>
      </c>
      <c r="C9" s="49">
        <v>0</v>
      </c>
      <c r="D9" s="50">
        <v>0</v>
      </c>
      <c r="E9" s="50">
        <v>0</v>
      </c>
      <c r="F9" s="50">
        <v>0</v>
      </c>
      <c r="G9" s="51">
        <v>0</v>
      </c>
      <c r="H9" s="52">
        <v>2</v>
      </c>
      <c r="I9" s="50">
        <v>2</v>
      </c>
      <c r="J9" s="50">
        <v>1</v>
      </c>
      <c r="K9" s="50">
        <v>1</v>
      </c>
      <c r="L9" s="52">
        <v>0</v>
      </c>
      <c r="M9" s="61">
        <v>0</v>
      </c>
      <c r="N9" s="50">
        <v>1</v>
      </c>
      <c r="O9" s="50">
        <v>0</v>
      </c>
      <c r="P9" s="51">
        <v>0</v>
      </c>
      <c r="Q9" s="53">
        <v>50.7</v>
      </c>
      <c r="R9" s="54">
        <v>0</v>
      </c>
      <c r="S9" s="55">
        <v>7</v>
      </c>
      <c r="T9" s="56">
        <v>141.59</v>
      </c>
      <c r="U9" s="49">
        <v>917</v>
      </c>
      <c r="V9" s="51">
        <v>37</v>
      </c>
      <c r="W9" s="55">
        <v>1</v>
      </c>
      <c r="X9" s="50">
        <v>0</v>
      </c>
      <c r="Y9" s="50">
        <v>2</v>
      </c>
      <c r="Z9" s="50">
        <v>1</v>
      </c>
      <c r="AA9" s="57">
        <v>3</v>
      </c>
      <c r="AB9" s="57">
        <v>4</v>
      </c>
      <c r="AC9" s="57">
        <f>SUM(W9:AB9)</f>
        <v>11</v>
      </c>
      <c r="AD9" s="58">
        <v>3.5</v>
      </c>
      <c r="AE9" s="59">
        <v>0</v>
      </c>
      <c r="AF9" s="59">
        <v>5</v>
      </c>
      <c r="AG9" s="59">
        <v>3</v>
      </c>
      <c r="AH9" s="60">
        <v>15.5</v>
      </c>
      <c r="AI9" s="60">
        <v>10.5</v>
      </c>
      <c r="AJ9" s="54">
        <f>SUM(AD9:AI9)</f>
        <v>37.5</v>
      </c>
    </row>
    <row r="10" spans="1:36">
      <c r="A10" s="62"/>
      <c r="B10" s="48">
        <v>46206</v>
      </c>
      <c r="C10" s="49">
        <v>3</v>
      </c>
      <c r="D10" s="50">
        <v>3</v>
      </c>
      <c r="E10" s="50">
        <v>1</v>
      </c>
      <c r="F10" s="50">
        <v>1</v>
      </c>
      <c r="G10" s="51">
        <v>1</v>
      </c>
      <c r="H10" s="52">
        <v>1</v>
      </c>
      <c r="I10" s="50">
        <v>1</v>
      </c>
      <c r="J10" s="50">
        <v>0</v>
      </c>
      <c r="K10" s="50">
        <v>1</v>
      </c>
      <c r="L10" s="52">
        <v>0</v>
      </c>
      <c r="M10" s="61">
        <v>0</v>
      </c>
      <c r="N10" s="50">
        <v>1</v>
      </c>
      <c r="O10" s="50">
        <v>0</v>
      </c>
      <c r="P10" s="51">
        <v>0</v>
      </c>
      <c r="Q10" s="53">
        <v>45.8</v>
      </c>
      <c r="R10" s="54">
        <v>0</v>
      </c>
      <c r="S10" s="55">
        <v>5</v>
      </c>
      <c r="T10" s="56">
        <v>121.13</v>
      </c>
      <c r="U10" s="49">
        <v>1130</v>
      </c>
      <c r="V10" s="51">
        <v>137</v>
      </c>
      <c r="W10" s="55">
        <v>4</v>
      </c>
      <c r="X10" s="50">
        <v>1</v>
      </c>
      <c r="Y10" s="50">
        <v>0</v>
      </c>
      <c r="Z10" s="50">
        <v>0</v>
      </c>
      <c r="AA10" s="57">
        <v>4</v>
      </c>
      <c r="AB10" s="57">
        <v>4</v>
      </c>
      <c r="AC10" s="57">
        <f>SUM(W10:AB10)</f>
        <v>13</v>
      </c>
      <c r="AD10" s="58">
        <v>15.5</v>
      </c>
      <c r="AE10" s="59">
        <v>4.5</v>
      </c>
      <c r="AF10" s="59">
        <v>0</v>
      </c>
      <c r="AG10" s="59">
        <v>0</v>
      </c>
      <c r="AH10" s="60">
        <v>11</v>
      </c>
      <c r="AI10" s="60">
        <v>15</v>
      </c>
      <c r="AJ10" s="54">
        <f>SUM(AD10:AI10)</f>
        <v>46</v>
      </c>
    </row>
    <row r="11" s="3" customFormat="1" spans="1:36">
      <c r="A11" s="63" t="s">
        <v>126</v>
      </c>
      <c r="B11" s="64"/>
      <c r="C11" s="65">
        <f>SUM(C8:C10)</f>
        <v>7</v>
      </c>
      <c r="D11" s="66">
        <f>SUM(D8:D10)</f>
        <v>7</v>
      </c>
      <c r="E11" s="66">
        <f>SUM(E8:E10)</f>
        <v>1</v>
      </c>
      <c r="F11" s="66">
        <f>SUM(F8:F10)</f>
        <v>5</v>
      </c>
      <c r="G11" s="67">
        <f>SUM(G8:G10)</f>
        <v>1</v>
      </c>
      <c r="H11" s="68">
        <f t="shared" ref="H11:V11" si="0">SUM(H8:H10)</f>
        <v>5</v>
      </c>
      <c r="I11" s="66">
        <f t="shared" si="0"/>
        <v>5</v>
      </c>
      <c r="J11" s="66">
        <f t="shared" si="0"/>
        <v>1</v>
      </c>
      <c r="K11" s="66">
        <f t="shared" si="0"/>
        <v>4</v>
      </c>
      <c r="L11" s="68">
        <f t="shared" si="0"/>
        <v>0</v>
      </c>
      <c r="M11" s="69">
        <f t="shared" si="0"/>
        <v>1</v>
      </c>
      <c r="N11" s="66">
        <f t="shared" si="0"/>
        <v>2</v>
      </c>
      <c r="O11" s="66">
        <f t="shared" si="0"/>
        <v>0</v>
      </c>
      <c r="P11" s="67">
        <f t="shared" si="0"/>
        <v>0</v>
      </c>
      <c r="Q11" s="70">
        <f t="shared" si="0"/>
        <v>105.3</v>
      </c>
      <c r="R11" s="71">
        <f t="shared" si="0"/>
        <v>14.1</v>
      </c>
      <c r="S11" s="72">
        <f t="shared" si="0"/>
        <v>23</v>
      </c>
      <c r="T11" s="73">
        <f t="shared" si="0"/>
        <v>407.59</v>
      </c>
      <c r="U11" s="65">
        <f t="shared" si="0"/>
        <v>3122</v>
      </c>
      <c r="V11" s="67">
        <f t="shared" si="0"/>
        <v>233</v>
      </c>
      <c r="W11" s="68">
        <f t="shared" ref="W11:AJ11" si="1">SUM(W8:W10)</f>
        <v>8</v>
      </c>
      <c r="X11" s="74">
        <f t="shared" si="1"/>
        <v>3</v>
      </c>
      <c r="Y11" s="74">
        <f t="shared" si="1"/>
        <v>4</v>
      </c>
      <c r="Z11" s="74">
        <f t="shared" si="1"/>
        <v>1</v>
      </c>
      <c r="AA11" s="74">
        <f t="shared" si="1"/>
        <v>11</v>
      </c>
      <c r="AB11" s="74">
        <f t="shared" si="1"/>
        <v>10</v>
      </c>
      <c r="AC11" s="74">
        <f t="shared" si="1"/>
        <v>37</v>
      </c>
      <c r="AD11" s="70">
        <f t="shared" si="1"/>
        <v>27.5</v>
      </c>
      <c r="AE11" s="75">
        <f t="shared" si="1"/>
        <v>10</v>
      </c>
      <c r="AF11" s="75">
        <f t="shared" si="1"/>
        <v>9.5</v>
      </c>
      <c r="AG11" s="75">
        <f t="shared" si="1"/>
        <v>3</v>
      </c>
      <c r="AH11" s="75">
        <f t="shared" si="1"/>
        <v>36.5</v>
      </c>
      <c r="AI11" s="75">
        <f t="shared" si="1"/>
        <v>32.5</v>
      </c>
      <c r="AJ11" s="71">
        <f t="shared" si="1"/>
        <v>119</v>
      </c>
    </row>
    <row r="12" spans="1:36">
      <c r="A12" s="29" t="s">
        <v>185</v>
      </c>
      <c r="B12" s="48">
        <v>46209</v>
      </c>
      <c r="C12" s="49">
        <v>1</v>
      </c>
      <c r="D12" s="50">
        <v>1</v>
      </c>
      <c r="E12" s="50">
        <v>1</v>
      </c>
      <c r="F12" s="50">
        <v>0</v>
      </c>
      <c r="G12" s="51">
        <v>0</v>
      </c>
      <c r="H12" s="52">
        <v>0</v>
      </c>
      <c r="I12" s="50">
        <v>0</v>
      </c>
      <c r="J12" s="50">
        <v>0</v>
      </c>
      <c r="K12" s="50">
        <v>0</v>
      </c>
      <c r="L12" s="52">
        <v>0</v>
      </c>
      <c r="M12" s="61">
        <v>0</v>
      </c>
      <c r="N12" s="50">
        <v>0</v>
      </c>
      <c r="O12" s="50">
        <v>0</v>
      </c>
      <c r="P12" s="51">
        <v>0</v>
      </c>
      <c r="Q12" s="53">
        <v>0</v>
      </c>
      <c r="R12" s="54">
        <v>0</v>
      </c>
      <c r="S12" s="55">
        <v>13</v>
      </c>
      <c r="T12" s="56">
        <v>328.45</v>
      </c>
      <c r="U12" s="49">
        <v>817</v>
      </c>
      <c r="V12" s="51">
        <v>51</v>
      </c>
      <c r="W12" s="55">
        <v>3</v>
      </c>
      <c r="X12" s="50">
        <v>2</v>
      </c>
      <c r="Y12" s="50">
        <v>2</v>
      </c>
      <c r="Z12" s="50">
        <v>0</v>
      </c>
      <c r="AA12" s="57">
        <v>5</v>
      </c>
      <c r="AB12" s="57">
        <v>2</v>
      </c>
      <c r="AC12" s="57">
        <f>SUM(W12:AB12)</f>
        <v>14</v>
      </c>
      <c r="AD12" s="58">
        <v>14.5</v>
      </c>
      <c r="AE12" s="59">
        <v>7.5</v>
      </c>
      <c r="AF12" s="59">
        <v>11</v>
      </c>
      <c r="AG12" s="59">
        <v>0</v>
      </c>
      <c r="AH12" s="60">
        <v>12</v>
      </c>
      <c r="AI12" s="60">
        <v>10.5</v>
      </c>
      <c r="AJ12" s="54">
        <f>SUM(AD12:AI12)</f>
        <v>55.5</v>
      </c>
    </row>
    <row r="13" spans="1:36">
      <c r="A13" s="29"/>
      <c r="B13" s="48">
        <v>46210</v>
      </c>
      <c r="C13" s="49">
        <v>2</v>
      </c>
      <c r="D13" s="50">
        <v>2</v>
      </c>
      <c r="E13" s="50">
        <v>0</v>
      </c>
      <c r="F13" s="50">
        <v>2</v>
      </c>
      <c r="G13" s="51">
        <v>0</v>
      </c>
      <c r="H13" s="52">
        <v>1</v>
      </c>
      <c r="I13" s="50">
        <v>1</v>
      </c>
      <c r="J13" s="50">
        <v>1</v>
      </c>
      <c r="K13" s="50">
        <v>0</v>
      </c>
      <c r="L13" s="52">
        <v>0</v>
      </c>
      <c r="M13" s="61">
        <v>1</v>
      </c>
      <c r="N13" s="50">
        <v>0</v>
      </c>
      <c r="O13" s="50">
        <v>0</v>
      </c>
      <c r="P13" s="51">
        <v>0</v>
      </c>
      <c r="Q13" s="53">
        <v>53</v>
      </c>
      <c r="R13" s="54">
        <v>0</v>
      </c>
      <c r="S13" s="55">
        <v>22</v>
      </c>
      <c r="T13" s="56">
        <v>368.39</v>
      </c>
      <c r="U13" s="49">
        <v>1278</v>
      </c>
      <c r="V13" s="51">
        <v>79</v>
      </c>
      <c r="W13" s="55">
        <v>2</v>
      </c>
      <c r="X13" s="50">
        <v>1</v>
      </c>
      <c r="Y13" s="50">
        <v>1</v>
      </c>
      <c r="Z13" s="50">
        <v>0</v>
      </c>
      <c r="AA13" s="57">
        <v>2</v>
      </c>
      <c r="AB13" s="57">
        <v>3</v>
      </c>
      <c r="AC13" s="57">
        <f>SUM(W13:AB13)</f>
        <v>9</v>
      </c>
      <c r="AD13" s="58">
        <v>5.5</v>
      </c>
      <c r="AE13" s="59">
        <v>5</v>
      </c>
      <c r="AF13" s="59">
        <v>2.5</v>
      </c>
      <c r="AG13" s="59">
        <v>0</v>
      </c>
      <c r="AH13" s="60">
        <v>9</v>
      </c>
      <c r="AI13" s="60">
        <v>11</v>
      </c>
      <c r="AJ13" s="54">
        <f>SUM(AD13:AI13)</f>
        <v>33</v>
      </c>
    </row>
    <row r="14" spans="1:36">
      <c r="A14" s="29"/>
      <c r="B14" s="48">
        <v>46211</v>
      </c>
      <c r="C14" s="49">
        <v>0</v>
      </c>
      <c r="D14" s="50">
        <v>0</v>
      </c>
      <c r="E14" s="50">
        <v>0</v>
      </c>
      <c r="F14" s="50">
        <v>0</v>
      </c>
      <c r="G14" s="51">
        <v>0</v>
      </c>
      <c r="H14" s="52">
        <v>0</v>
      </c>
      <c r="I14" s="50">
        <v>0</v>
      </c>
      <c r="J14" s="50">
        <v>0</v>
      </c>
      <c r="K14" s="50">
        <v>0</v>
      </c>
      <c r="L14" s="52">
        <v>0</v>
      </c>
      <c r="M14" s="61">
        <v>1</v>
      </c>
      <c r="N14" s="50">
        <v>0</v>
      </c>
      <c r="O14" s="50">
        <v>0</v>
      </c>
      <c r="P14" s="51">
        <v>0</v>
      </c>
      <c r="Q14" s="53">
        <v>45.4</v>
      </c>
      <c r="R14" s="54">
        <v>0</v>
      </c>
      <c r="S14" s="55">
        <v>10</v>
      </c>
      <c r="T14" s="56">
        <v>222.34</v>
      </c>
      <c r="U14" s="49">
        <v>805</v>
      </c>
      <c r="V14" s="51">
        <v>113</v>
      </c>
      <c r="W14" s="55">
        <v>4</v>
      </c>
      <c r="X14" s="50">
        <v>1</v>
      </c>
      <c r="Y14" s="50">
        <v>1</v>
      </c>
      <c r="Z14" s="50">
        <v>0</v>
      </c>
      <c r="AA14" s="57">
        <v>4</v>
      </c>
      <c r="AB14" s="57">
        <v>3</v>
      </c>
      <c r="AC14" s="57">
        <f>SUM(W14:AB14)</f>
        <v>13</v>
      </c>
      <c r="AD14" s="58">
        <v>10.5</v>
      </c>
      <c r="AE14" s="59">
        <v>5.5</v>
      </c>
      <c r="AF14" s="59">
        <v>3.5</v>
      </c>
      <c r="AG14" s="59">
        <v>0</v>
      </c>
      <c r="AH14" s="60">
        <v>9.5</v>
      </c>
      <c r="AI14" s="60">
        <v>13.5</v>
      </c>
      <c r="AJ14" s="54">
        <f>SUM(AD14:AI14)</f>
        <v>42.5</v>
      </c>
    </row>
    <row r="15" spans="1:36">
      <c r="A15" s="29"/>
      <c r="B15" s="48">
        <v>46212</v>
      </c>
      <c r="C15" s="49">
        <v>2</v>
      </c>
      <c r="D15" s="50">
        <v>2</v>
      </c>
      <c r="E15" s="50">
        <v>1</v>
      </c>
      <c r="F15" s="50">
        <v>1</v>
      </c>
      <c r="G15" s="51">
        <v>0</v>
      </c>
      <c r="H15" s="55">
        <v>2</v>
      </c>
      <c r="I15" s="55">
        <v>2</v>
      </c>
      <c r="J15" s="50">
        <v>1</v>
      </c>
      <c r="K15" s="50">
        <v>1</v>
      </c>
      <c r="L15" s="57">
        <v>0</v>
      </c>
      <c r="M15" s="49">
        <v>2</v>
      </c>
      <c r="N15" s="50">
        <v>0</v>
      </c>
      <c r="O15" s="50">
        <v>1</v>
      </c>
      <c r="P15" s="51">
        <v>0</v>
      </c>
      <c r="Q15" s="53">
        <v>44.6</v>
      </c>
      <c r="R15" s="54">
        <v>0</v>
      </c>
      <c r="S15" s="55">
        <v>5</v>
      </c>
      <c r="T15" s="56">
        <v>101.79</v>
      </c>
      <c r="U15" s="49">
        <v>1169</v>
      </c>
      <c r="V15" s="51">
        <v>173</v>
      </c>
      <c r="W15" s="55">
        <v>4</v>
      </c>
      <c r="X15" s="50">
        <v>0</v>
      </c>
      <c r="Y15" s="50">
        <v>2</v>
      </c>
      <c r="Z15" s="50">
        <v>2</v>
      </c>
      <c r="AA15" s="57">
        <v>1</v>
      </c>
      <c r="AB15" s="57">
        <v>3</v>
      </c>
      <c r="AC15" s="57">
        <f>SUM(W15:AB15)</f>
        <v>12</v>
      </c>
      <c r="AD15" s="58">
        <v>21</v>
      </c>
      <c r="AE15" s="59">
        <v>0</v>
      </c>
      <c r="AF15" s="59">
        <v>6.5</v>
      </c>
      <c r="AG15" s="59">
        <v>5</v>
      </c>
      <c r="AH15" s="60">
        <v>4</v>
      </c>
      <c r="AI15" s="60">
        <v>8</v>
      </c>
      <c r="AJ15" s="54">
        <f>SUM(AD15:AI15)</f>
        <v>44.5</v>
      </c>
    </row>
    <row r="16" spans="1:36">
      <c r="A16" s="29"/>
      <c r="B16" s="48">
        <v>46213</v>
      </c>
      <c r="C16" s="49">
        <v>3</v>
      </c>
      <c r="D16" s="50">
        <v>3</v>
      </c>
      <c r="E16" s="50">
        <v>1</v>
      </c>
      <c r="F16" s="50">
        <v>2</v>
      </c>
      <c r="G16" s="51">
        <v>0</v>
      </c>
      <c r="H16" s="55">
        <v>1</v>
      </c>
      <c r="I16" s="55">
        <v>0</v>
      </c>
      <c r="J16" s="50">
        <v>0</v>
      </c>
      <c r="K16" s="50">
        <v>0</v>
      </c>
      <c r="L16" s="57">
        <v>0</v>
      </c>
      <c r="M16" s="49">
        <v>0</v>
      </c>
      <c r="N16" s="50">
        <v>1</v>
      </c>
      <c r="O16" s="50">
        <v>0</v>
      </c>
      <c r="P16" s="51">
        <v>0</v>
      </c>
      <c r="Q16" s="77">
        <v>8.7</v>
      </c>
      <c r="R16" s="54">
        <v>0</v>
      </c>
      <c r="S16" s="78">
        <v>18</v>
      </c>
      <c r="T16" s="79">
        <v>503.95</v>
      </c>
      <c r="U16" s="80">
        <v>1977</v>
      </c>
      <c r="V16" s="81">
        <v>129</v>
      </c>
      <c r="W16" s="55">
        <v>1</v>
      </c>
      <c r="X16" s="50">
        <v>1</v>
      </c>
      <c r="Y16" s="50">
        <v>1</v>
      </c>
      <c r="Z16" s="50">
        <v>0</v>
      </c>
      <c r="AA16" s="57">
        <v>2</v>
      </c>
      <c r="AB16" s="57">
        <v>2</v>
      </c>
      <c r="AC16" s="57">
        <f>SUM(W16:AB16)</f>
        <v>7</v>
      </c>
      <c r="AD16" s="58">
        <v>3</v>
      </c>
      <c r="AE16" s="59">
        <v>3</v>
      </c>
      <c r="AF16" s="59">
        <v>5.5</v>
      </c>
      <c r="AG16" s="59">
        <v>0</v>
      </c>
      <c r="AH16" s="60">
        <v>7.5</v>
      </c>
      <c r="AI16" s="60">
        <v>6.5</v>
      </c>
      <c r="AJ16" s="54">
        <f>SUM(AD16:AI16)</f>
        <v>25.5</v>
      </c>
    </row>
    <row r="17" spans="1:36">
      <c r="A17" s="63" t="s">
        <v>126</v>
      </c>
      <c r="B17" s="64"/>
      <c r="C17" s="65">
        <f>SUM(C12:C16)</f>
        <v>8</v>
      </c>
      <c r="D17" s="66">
        <f>SUM(D12:D16)</f>
        <v>8</v>
      </c>
      <c r="E17" s="66">
        <f>SUM(E12:E16)</f>
        <v>3</v>
      </c>
      <c r="F17" s="66">
        <f>SUM(F12:F16)</f>
        <v>5</v>
      </c>
      <c r="G17" s="67">
        <f>SUM(G12:G16)</f>
        <v>0</v>
      </c>
      <c r="H17" s="72">
        <f t="shared" ref="H17:V17" si="2">SUM(H12:H16)</f>
        <v>4</v>
      </c>
      <c r="I17" s="66">
        <f t="shared" si="2"/>
        <v>3</v>
      </c>
      <c r="J17" s="66">
        <f t="shared" si="2"/>
        <v>2</v>
      </c>
      <c r="K17" s="66">
        <f t="shared" si="2"/>
        <v>1</v>
      </c>
      <c r="L17" s="74">
        <f t="shared" si="2"/>
        <v>0</v>
      </c>
      <c r="M17" s="65">
        <f t="shared" si="2"/>
        <v>4</v>
      </c>
      <c r="N17" s="66">
        <f t="shared" si="2"/>
        <v>1</v>
      </c>
      <c r="O17" s="66">
        <f t="shared" si="2"/>
        <v>1</v>
      </c>
      <c r="P17" s="67">
        <f t="shared" si="2"/>
        <v>0</v>
      </c>
      <c r="Q17" s="70">
        <f t="shared" si="2"/>
        <v>151.7</v>
      </c>
      <c r="R17" s="71">
        <f t="shared" si="2"/>
        <v>0</v>
      </c>
      <c r="S17" s="72">
        <f t="shared" si="2"/>
        <v>68</v>
      </c>
      <c r="T17" s="73">
        <f t="shared" si="2"/>
        <v>1524.92</v>
      </c>
      <c r="U17" s="65">
        <f t="shared" si="2"/>
        <v>6046</v>
      </c>
      <c r="V17" s="67">
        <f t="shared" si="2"/>
        <v>545</v>
      </c>
      <c r="W17" s="68">
        <f t="shared" ref="W17:AJ17" si="3">SUM(W12:W16)</f>
        <v>14</v>
      </c>
      <c r="X17" s="74">
        <f t="shared" si="3"/>
        <v>5</v>
      </c>
      <c r="Y17" s="74">
        <f t="shared" si="3"/>
        <v>7</v>
      </c>
      <c r="Z17" s="74">
        <f t="shared" si="3"/>
        <v>2</v>
      </c>
      <c r="AA17" s="74">
        <f t="shared" si="3"/>
        <v>14</v>
      </c>
      <c r="AB17" s="74">
        <f t="shared" si="3"/>
        <v>13</v>
      </c>
      <c r="AC17" s="74">
        <f t="shared" si="3"/>
        <v>55</v>
      </c>
      <c r="AD17" s="70">
        <f t="shared" si="3"/>
        <v>54.5</v>
      </c>
      <c r="AE17" s="75">
        <f t="shared" si="3"/>
        <v>21</v>
      </c>
      <c r="AF17" s="75">
        <f t="shared" si="3"/>
        <v>29</v>
      </c>
      <c r="AG17" s="75">
        <f t="shared" si="3"/>
        <v>5</v>
      </c>
      <c r="AH17" s="75">
        <f t="shared" si="3"/>
        <v>42</v>
      </c>
      <c r="AI17" s="75">
        <f t="shared" si="3"/>
        <v>49.5</v>
      </c>
      <c r="AJ17" s="71">
        <f t="shared" si="3"/>
        <v>201</v>
      </c>
    </row>
    <row r="18" spans="1:36">
      <c r="A18" s="29" t="s">
        <v>186</v>
      </c>
      <c r="B18" s="48">
        <v>46216</v>
      </c>
      <c r="C18" s="49">
        <v>4</v>
      </c>
      <c r="D18" s="50">
        <v>3</v>
      </c>
      <c r="E18" s="50">
        <v>1</v>
      </c>
      <c r="F18" s="50">
        <v>2</v>
      </c>
      <c r="G18" s="51">
        <v>0</v>
      </c>
      <c r="H18" s="55">
        <v>1</v>
      </c>
      <c r="I18" s="55">
        <v>0</v>
      </c>
      <c r="J18" s="50">
        <v>0</v>
      </c>
      <c r="K18" s="50">
        <v>0</v>
      </c>
      <c r="L18" s="57">
        <v>0</v>
      </c>
      <c r="M18" s="49">
        <v>1</v>
      </c>
      <c r="N18" s="50">
        <v>0</v>
      </c>
      <c r="O18" s="50">
        <v>1</v>
      </c>
      <c r="P18" s="51">
        <v>0</v>
      </c>
      <c r="Q18" s="53">
        <v>51</v>
      </c>
      <c r="R18" s="54">
        <v>0</v>
      </c>
      <c r="S18" s="55">
        <v>16</v>
      </c>
      <c r="T18" s="56">
        <v>414.16</v>
      </c>
      <c r="U18" s="49">
        <v>639</v>
      </c>
      <c r="V18" s="51">
        <v>81</v>
      </c>
      <c r="W18" s="55">
        <v>4</v>
      </c>
      <c r="X18" s="50">
        <v>0</v>
      </c>
      <c r="Y18" s="50">
        <v>2</v>
      </c>
      <c r="Z18" s="50">
        <v>0</v>
      </c>
      <c r="AA18" s="57">
        <v>4</v>
      </c>
      <c r="AB18" s="57">
        <v>1</v>
      </c>
      <c r="AC18" s="57">
        <f>SUM(W18:AB18)</f>
        <v>11</v>
      </c>
      <c r="AD18" s="58">
        <v>19.5</v>
      </c>
      <c r="AE18" s="59">
        <v>0</v>
      </c>
      <c r="AF18" s="59">
        <v>4.5</v>
      </c>
      <c r="AG18" s="59">
        <v>0</v>
      </c>
      <c r="AH18" s="60">
        <v>18</v>
      </c>
      <c r="AI18" s="60">
        <v>2.5</v>
      </c>
      <c r="AJ18" s="54">
        <f>SUM(AD18:AI18)</f>
        <v>44.5</v>
      </c>
    </row>
    <row r="19" spans="1:36">
      <c r="A19" s="29"/>
      <c r="B19" s="48">
        <v>46217</v>
      </c>
      <c r="C19" s="49">
        <v>1</v>
      </c>
      <c r="D19" s="50">
        <v>1</v>
      </c>
      <c r="E19" s="50">
        <v>0</v>
      </c>
      <c r="F19" s="50">
        <v>1</v>
      </c>
      <c r="G19" s="51">
        <v>0</v>
      </c>
      <c r="H19" s="55">
        <v>1</v>
      </c>
      <c r="I19" s="55">
        <v>1</v>
      </c>
      <c r="J19" s="50">
        <v>1</v>
      </c>
      <c r="K19" s="50">
        <v>0</v>
      </c>
      <c r="L19" s="57">
        <v>0</v>
      </c>
      <c r="M19" s="49">
        <v>0</v>
      </c>
      <c r="N19" s="50">
        <v>0</v>
      </c>
      <c r="O19" s="50">
        <v>0</v>
      </c>
      <c r="P19" s="51">
        <v>0</v>
      </c>
      <c r="Q19" s="53">
        <v>56.3</v>
      </c>
      <c r="R19" s="54">
        <v>0</v>
      </c>
      <c r="S19" s="55">
        <v>7</v>
      </c>
      <c r="T19" s="56">
        <v>136.54</v>
      </c>
      <c r="U19" s="49">
        <v>418</v>
      </c>
      <c r="V19" s="51">
        <v>60</v>
      </c>
      <c r="W19" s="55">
        <v>1</v>
      </c>
      <c r="X19" s="50">
        <v>1</v>
      </c>
      <c r="Y19" s="50">
        <v>2</v>
      </c>
      <c r="Z19" s="50">
        <v>1</v>
      </c>
      <c r="AA19" s="57">
        <v>5</v>
      </c>
      <c r="AB19" s="57">
        <v>1</v>
      </c>
      <c r="AC19" s="57">
        <f>SUM(W19:AB19)</f>
        <v>11</v>
      </c>
      <c r="AD19" s="58">
        <v>5</v>
      </c>
      <c r="AE19" s="59">
        <v>5</v>
      </c>
      <c r="AF19" s="59">
        <v>9</v>
      </c>
      <c r="AG19" s="59">
        <v>2</v>
      </c>
      <c r="AH19" s="60">
        <v>17.5</v>
      </c>
      <c r="AI19" s="60">
        <v>3</v>
      </c>
      <c r="AJ19" s="54">
        <f>SUM(AD19:AI19)</f>
        <v>41.5</v>
      </c>
    </row>
    <row r="20" spans="1:36">
      <c r="A20" s="29"/>
      <c r="B20" s="48">
        <v>46218</v>
      </c>
      <c r="C20" s="49">
        <v>0</v>
      </c>
      <c r="D20" s="50">
        <v>0</v>
      </c>
      <c r="E20" s="50">
        <v>0</v>
      </c>
      <c r="F20" s="50">
        <v>0</v>
      </c>
      <c r="G20" s="51">
        <v>0</v>
      </c>
      <c r="H20" s="55">
        <v>2</v>
      </c>
      <c r="I20" s="55">
        <v>2</v>
      </c>
      <c r="J20" s="50">
        <v>0</v>
      </c>
      <c r="K20" s="50">
        <v>2</v>
      </c>
      <c r="L20" s="57">
        <v>0</v>
      </c>
      <c r="M20" s="49">
        <v>1</v>
      </c>
      <c r="N20" s="50">
        <v>0</v>
      </c>
      <c r="O20" s="50">
        <v>0</v>
      </c>
      <c r="P20" s="51">
        <v>0</v>
      </c>
      <c r="Q20" s="53">
        <v>56.4</v>
      </c>
      <c r="R20" s="54">
        <v>7.4</v>
      </c>
      <c r="S20" s="55">
        <v>8</v>
      </c>
      <c r="T20" s="56">
        <v>225.57</v>
      </c>
      <c r="U20" s="82">
        <v>626</v>
      </c>
      <c r="V20" s="51">
        <v>73</v>
      </c>
      <c r="W20" s="55">
        <v>4</v>
      </c>
      <c r="X20" s="50">
        <v>0</v>
      </c>
      <c r="Y20" s="50">
        <v>2</v>
      </c>
      <c r="Z20" s="50">
        <v>0</v>
      </c>
      <c r="AA20" s="57">
        <v>1</v>
      </c>
      <c r="AB20" s="57">
        <v>1</v>
      </c>
      <c r="AC20" s="57">
        <f>SUM(W20:AB20)</f>
        <v>8</v>
      </c>
      <c r="AD20" s="58">
        <v>14</v>
      </c>
      <c r="AE20" s="59">
        <v>0</v>
      </c>
      <c r="AF20" s="59">
        <v>8</v>
      </c>
      <c r="AG20" s="59">
        <v>0</v>
      </c>
      <c r="AH20" s="60">
        <v>4.5</v>
      </c>
      <c r="AI20" s="60">
        <v>5.5</v>
      </c>
      <c r="AJ20" s="54">
        <f>SUM(AD20:AI20)</f>
        <v>32</v>
      </c>
    </row>
    <row r="21" spans="1:36">
      <c r="A21" s="29"/>
      <c r="B21" s="48">
        <v>46219</v>
      </c>
      <c r="C21" s="49">
        <v>3</v>
      </c>
      <c r="D21" s="50">
        <v>3</v>
      </c>
      <c r="E21" s="50">
        <v>1</v>
      </c>
      <c r="F21" s="50">
        <v>2</v>
      </c>
      <c r="G21" s="51">
        <v>0</v>
      </c>
      <c r="H21" s="55">
        <v>1</v>
      </c>
      <c r="I21" s="55">
        <v>1</v>
      </c>
      <c r="J21" s="50">
        <v>1</v>
      </c>
      <c r="K21" s="50">
        <v>0</v>
      </c>
      <c r="L21" s="57">
        <v>0</v>
      </c>
      <c r="M21" s="49">
        <v>1</v>
      </c>
      <c r="N21" s="50">
        <v>1</v>
      </c>
      <c r="O21" s="50">
        <v>0</v>
      </c>
      <c r="P21" s="51">
        <v>0</v>
      </c>
      <c r="Q21" s="53">
        <v>56.7</v>
      </c>
      <c r="R21" s="54">
        <v>17.5</v>
      </c>
      <c r="S21" s="55">
        <v>4</v>
      </c>
      <c r="T21" s="56">
        <v>89.24</v>
      </c>
      <c r="U21" s="49">
        <v>923</v>
      </c>
      <c r="V21" s="51">
        <v>103</v>
      </c>
      <c r="W21" s="55">
        <v>1</v>
      </c>
      <c r="X21" s="50">
        <v>0</v>
      </c>
      <c r="Y21" s="50">
        <v>1</v>
      </c>
      <c r="Z21" s="50">
        <v>2</v>
      </c>
      <c r="AA21" s="57">
        <v>3</v>
      </c>
      <c r="AB21" s="57">
        <v>2</v>
      </c>
      <c r="AC21" s="57">
        <f>SUM(W21:AB21)</f>
        <v>9</v>
      </c>
      <c r="AD21" s="58">
        <v>3</v>
      </c>
      <c r="AE21" s="59">
        <v>0</v>
      </c>
      <c r="AF21" s="59">
        <v>2.5</v>
      </c>
      <c r="AG21" s="59">
        <v>5.5</v>
      </c>
      <c r="AH21" s="60">
        <v>9</v>
      </c>
      <c r="AI21" s="60">
        <v>8</v>
      </c>
      <c r="AJ21" s="54">
        <f>SUM(AD21:AI21)</f>
        <v>28</v>
      </c>
    </row>
    <row r="22" spans="1:36">
      <c r="A22" s="29"/>
      <c r="B22" s="48">
        <v>46220</v>
      </c>
      <c r="C22" s="49">
        <v>4</v>
      </c>
      <c r="D22" s="50">
        <v>4</v>
      </c>
      <c r="E22" s="50">
        <v>0</v>
      </c>
      <c r="F22" s="50">
        <v>3</v>
      </c>
      <c r="G22" s="51">
        <v>1</v>
      </c>
      <c r="H22" s="55">
        <v>0</v>
      </c>
      <c r="I22" s="55">
        <v>0</v>
      </c>
      <c r="J22" s="50">
        <v>0</v>
      </c>
      <c r="K22" s="50">
        <v>0</v>
      </c>
      <c r="L22" s="57">
        <v>0</v>
      </c>
      <c r="M22" s="49">
        <v>2</v>
      </c>
      <c r="N22" s="50">
        <v>0</v>
      </c>
      <c r="O22" s="50">
        <v>0</v>
      </c>
      <c r="P22" s="51">
        <v>0</v>
      </c>
      <c r="Q22" s="77">
        <v>64.8</v>
      </c>
      <c r="R22" s="54">
        <v>0</v>
      </c>
      <c r="S22" s="78">
        <v>14</v>
      </c>
      <c r="T22" s="79">
        <v>308.29</v>
      </c>
      <c r="U22" s="80">
        <v>295</v>
      </c>
      <c r="V22" s="81">
        <v>11</v>
      </c>
      <c r="W22" s="55">
        <v>1</v>
      </c>
      <c r="X22" s="50">
        <v>0</v>
      </c>
      <c r="Y22" s="50">
        <v>1</v>
      </c>
      <c r="Z22" s="50">
        <v>1</v>
      </c>
      <c r="AA22" s="57">
        <v>4</v>
      </c>
      <c r="AB22" s="57">
        <v>3</v>
      </c>
      <c r="AC22" s="57">
        <f>SUM(W22:AB22)</f>
        <v>10</v>
      </c>
      <c r="AD22" s="58">
        <v>5.5</v>
      </c>
      <c r="AE22" s="59">
        <v>0</v>
      </c>
      <c r="AF22" s="59">
        <v>5.5</v>
      </c>
      <c r="AG22" s="59">
        <v>5.5</v>
      </c>
      <c r="AH22" s="60">
        <v>15.5</v>
      </c>
      <c r="AI22" s="60">
        <v>8</v>
      </c>
      <c r="AJ22" s="54">
        <f>SUM(AD22:AI22)</f>
        <v>40</v>
      </c>
    </row>
    <row r="23" spans="1:36">
      <c r="A23" s="63" t="s">
        <v>126</v>
      </c>
      <c r="B23" s="64"/>
      <c r="C23" s="65">
        <f>SUM(C18:C22)</f>
        <v>12</v>
      </c>
      <c r="D23" s="66">
        <f>SUM(D18:D22)</f>
        <v>11</v>
      </c>
      <c r="E23" s="66">
        <f>SUM(E18:E22)</f>
        <v>2</v>
      </c>
      <c r="F23" s="66">
        <f>SUM(F18:F22)</f>
        <v>8</v>
      </c>
      <c r="G23" s="67">
        <f>SUM(G18:G22)</f>
        <v>1</v>
      </c>
      <c r="H23" s="72">
        <f t="shared" ref="H23:V23" si="4">SUM(H18:H22)</f>
        <v>5</v>
      </c>
      <c r="I23" s="66">
        <f t="shared" si="4"/>
        <v>4</v>
      </c>
      <c r="J23" s="66">
        <f t="shared" si="4"/>
        <v>2</v>
      </c>
      <c r="K23" s="66">
        <f t="shared" si="4"/>
        <v>2</v>
      </c>
      <c r="L23" s="74">
        <f t="shared" si="4"/>
        <v>0</v>
      </c>
      <c r="M23" s="65">
        <f t="shared" si="4"/>
        <v>5</v>
      </c>
      <c r="N23" s="66">
        <f t="shared" si="4"/>
        <v>1</v>
      </c>
      <c r="O23" s="66">
        <f t="shared" si="4"/>
        <v>1</v>
      </c>
      <c r="P23" s="67">
        <f t="shared" si="4"/>
        <v>0</v>
      </c>
      <c r="Q23" s="70">
        <f t="shared" si="4"/>
        <v>285.2</v>
      </c>
      <c r="R23" s="71">
        <f t="shared" si="4"/>
        <v>24.9</v>
      </c>
      <c r="S23" s="72">
        <f t="shared" si="4"/>
        <v>49</v>
      </c>
      <c r="T23" s="73">
        <f t="shared" si="4"/>
        <v>1173.8</v>
      </c>
      <c r="U23" s="65">
        <f t="shared" si="4"/>
        <v>2901</v>
      </c>
      <c r="V23" s="67">
        <f t="shared" si="4"/>
        <v>328</v>
      </c>
      <c r="W23" s="68">
        <f t="shared" ref="W23:AJ23" si="5">SUM(W18:W22)</f>
        <v>11</v>
      </c>
      <c r="X23" s="74">
        <f t="shared" si="5"/>
        <v>1</v>
      </c>
      <c r="Y23" s="74">
        <f t="shared" si="5"/>
        <v>8</v>
      </c>
      <c r="Z23" s="74">
        <f t="shared" si="5"/>
        <v>4</v>
      </c>
      <c r="AA23" s="74">
        <f t="shared" si="5"/>
        <v>17</v>
      </c>
      <c r="AB23" s="74">
        <f t="shared" si="5"/>
        <v>8</v>
      </c>
      <c r="AC23" s="74">
        <f t="shared" si="5"/>
        <v>49</v>
      </c>
      <c r="AD23" s="70">
        <f t="shared" si="5"/>
        <v>47</v>
      </c>
      <c r="AE23" s="75">
        <f t="shared" si="5"/>
        <v>5</v>
      </c>
      <c r="AF23" s="75">
        <f t="shared" si="5"/>
        <v>29.5</v>
      </c>
      <c r="AG23" s="75">
        <f t="shared" si="5"/>
        <v>13</v>
      </c>
      <c r="AH23" s="75">
        <f t="shared" si="5"/>
        <v>64.5</v>
      </c>
      <c r="AI23" s="75">
        <f t="shared" si="5"/>
        <v>27</v>
      </c>
      <c r="AJ23" s="71">
        <f t="shared" si="5"/>
        <v>186</v>
      </c>
    </row>
    <row r="24" spans="1:36">
      <c r="A24" s="29" t="s">
        <v>187</v>
      </c>
      <c r="B24" s="48">
        <v>46223</v>
      </c>
      <c r="C24" s="49">
        <v>4</v>
      </c>
      <c r="D24" s="50">
        <v>4</v>
      </c>
      <c r="E24" s="50">
        <v>0</v>
      </c>
      <c r="F24" s="50">
        <v>4</v>
      </c>
      <c r="G24" s="51">
        <v>0</v>
      </c>
      <c r="H24" s="55">
        <v>1</v>
      </c>
      <c r="I24" s="55">
        <v>0</v>
      </c>
      <c r="J24" s="50">
        <v>0</v>
      </c>
      <c r="K24" s="50">
        <v>0</v>
      </c>
      <c r="L24" s="57">
        <v>0</v>
      </c>
      <c r="M24" s="49">
        <v>0</v>
      </c>
      <c r="N24" s="50">
        <v>0</v>
      </c>
      <c r="O24" s="50">
        <v>0</v>
      </c>
      <c r="P24" s="51">
        <v>0</v>
      </c>
      <c r="Q24" s="53">
        <v>30.7</v>
      </c>
      <c r="R24" s="54">
        <v>19.9</v>
      </c>
      <c r="S24" s="55">
        <v>16</v>
      </c>
      <c r="T24" s="56">
        <v>286.25</v>
      </c>
      <c r="U24" s="49">
        <v>2014</v>
      </c>
      <c r="V24" s="51">
        <v>55</v>
      </c>
      <c r="W24" s="55">
        <v>4</v>
      </c>
      <c r="X24" s="50">
        <v>2</v>
      </c>
      <c r="Y24" s="50">
        <v>2</v>
      </c>
      <c r="Z24" s="50">
        <v>0</v>
      </c>
      <c r="AA24" s="57">
        <v>4</v>
      </c>
      <c r="AB24" s="57">
        <v>3</v>
      </c>
      <c r="AC24" s="57">
        <f>SUM(W24:AB24)</f>
        <v>15</v>
      </c>
      <c r="AD24" s="58">
        <v>8.5</v>
      </c>
      <c r="AE24" s="59">
        <v>9.5</v>
      </c>
      <c r="AF24" s="59">
        <v>10</v>
      </c>
      <c r="AG24" s="59">
        <v>0</v>
      </c>
      <c r="AH24" s="60">
        <v>9</v>
      </c>
      <c r="AI24" s="60">
        <v>7</v>
      </c>
      <c r="AJ24" s="54">
        <f>SUM(AD24:AI24)</f>
        <v>44</v>
      </c>
    </row>
    <row r="25" spans="1:36">
      <c r="A25" s="29"/>
      <c r="B25" s="48">
        <v>46224</v>
      </c>
      <c r="C25" s="49">
        <v>2</v>
      </c>
      <c r="D25" s="50">
        <v>2</v>
      </c>
      <c r="E25" s="50">
        <v>0</v>
      </c>
      <c r="F25" s="50">
        <v>2</v>
      </c>
      <c r="G25" s="51">
        <v>0</v>
      </c>
      <c r="H25" s="55">
        <v>3</v>
      </c>
      <c r="I25" s="55">
        <v>3</v>
      </c>
      <c r="J25" s="50">
        <v>1</v>
      </c>
      <c r="K25" s="50">
        <v>2</v>
      </c>
      <c r="L25" s="57">
        <v>0</v>
      </c>
      <c r="M25" s="49">
        <v>0</v>
      </c>
      <c r="N25" s="50">
        <v>1</v>
      </c>
      <c r="O25" s="50">
        <v>0</v>
      </c>
      <c r="P25" s="51">
        <v>1</v>
      </c>
      <c r="Q25" s="53">
        <v>23.5</v>
      </c>
      <c r="R25" s="54">
        <v>0</v>
      </c>
      <c r="S25" s="55">
        <v>4</v>
      </c>
      <c r="T25" s="56">
        <v>96.97</v>
      </c>
      <c r="U25" s="49">
        <v>1760</v>
      </c>
      <c r="V25" s="51">
        <v>232</v>
      </c>
      <c r="W25" s="55">
        <v>3</v>
      </c>
      <c r="X25" s="50">
        <v>0</v>
      </c>
      <c r="Y25" s="50">
        <v>2</v>
      </c>
      <c r="Z25" s="50">
        <v>0</v>
      </c>
      <c r="AA25" s="57">
        <v>2</v>
      </c>
      <c r="AB25" s="57">
        <v>1</v>
      </c>
      <c r="AC25" s="57">
        <f>SUM(W25:AB25)</f>
        <v>8</v>
      </c>
      <c r="AD25" s="58">
        <v>12.5</v>
      </c>
      <c r="AE25" s="59">
        <v>0</v>
      </c>
      <c r="AF25" s="59">
        <v>10.5</v>
      </c>
      <c r="AG25" s="59">
        <v>0</v>
      </c>
      <c r="AH25" s="60">
        <v>8</v>
      </c>
      <c r="AI25" s="60">
        <v>3.5</v>
      </c>
      <c r="AJ25" s="54">
        <f>SUM(AD25:AI25)</f>
        <v>34.5</v>
      </c>
    </row>
    <row r="26" spans="1:36">
      <c r="A26" s="29"/>
      <c r="B26" s="48">
        <v>46225</v>
      </c>
      <c r="C26" s="49">
        <v>1</v>
      </c>
      <c r="D26" s="50">
        <v>1</v>
      </c>
      <c r="E26" s="50">
        <v>0</v>
      </c>
      <c r="F26" s="50">
        <v>1</v>
      </c>
      <c r="G26" s="51">
        <v>0</v>
      </c>
      <c r="H26" s="55">
        <v>0</v>
      </c>
      <c r="I26" s="55">
        <v>0</v>
      </c>
      <c r="J26" s="50">
        <v>0</v>
      </c>
      <c r="K26" s="50">
        <v>0</v>
      </c>
      <c r="L26" s="57">
        <v>0</v>
      </c>
      <c r="M26" s="49">
        <v>0</v>
      </c>
      <c r="N26" s="50">
        <v>0</v>
      </c>
      <c r="O26" s="50">
        <v>0</v>
      </c>
      <c r="P26" s="51">
        <v>0</v>
      </c>
      <c r="Q26" s="53">
        <v>38.8</v>
      </c>
      <c r="R26" s="54">
        <v>0</v>
      </c>
      <c r="S26" s="55">
        <v>3</v>
      </c>
      <c r="T26" s="56">
        <v>95.26</v>
      </c>
      <c r="U26" s="49">
        <v>1734</v>
      </c>
      <c r="V26" s="51">
        <v>202</v>
      </c>
      <c r="W26" s="55">
        <v>3</v>
      </c>
      <c r="X26" s="50">
        <v>2</v>
      </c>
      <c r="Y26" s="50">
        <v>2</v>
      </c>
      <c r="Z26" s="50">
        <v>0</v>
      </c>
      <c r="AA26" s="57">
        <v>2</v>
      </c>
      <c r="AB26" s="57">
        <v>2</v>
      </c>
      <c r="AC26" s="57">
        <f>SUM(W26:AB26)</f>
        <v>11</v>
      </c>
      <c r="AD26" s="58">
        <v>8</v>
      </c>
      <c r="AE26" s="59">
        <v>7</v>
      </c>
      <c r="AF26" s="59">
        <v>8</v>
      </c>
      <c r="AG26" s="59">
        <v>0</v>
      </c>
      <c r="AH26" s="60">
        <v>11</v>
      </c>
      <c r="AI26" s="60">
        <v>5.5</v>
      </c>
      <c r="AJ26" s="54">
        <f>SUM(AD26:AI26)</f>
        <v>39.5</v>
      </c>
    </row>
    <row r="27" spans="1:36">
      <c r="A27" s="29"/>
      <c r="B27" s="48">
        <v>46226</v>
      </c>
      <c r="C27" s="49">
        <v>1</v>
      </c>
      <c r="D27" s="50">
        <v>1</v>
      </c>
      <c r="E27" s="50">
        <v>0</v>
      </c>
      <c r="F27" s="50">
        <v>1</v>
      </c>
      <c r="G27" s="51">
        <v>0</v>
      </c>
      <c r="H27" s="55">
        <v>0</v>
      </c>
      <c r="I27" s="55">
        <v>0</v>
      </c>
      <c r="J27" s="50">
        <v>0</v>
      </c>
      <c r="K27" s="50">
        <v>0</v>
      </c>
      <c r="L27" s="57">
        <v>0</v>
      </c>
      <c r="M27" s="49">
        <v>1</v>
      </c>
      <c r="N27" s="50">
        <v>0</v>
      </c>
      <c r="O27" s="50">
        <v>0</v>
      </c>
      <c r="P27" s="51">
        <v>0</v>
      </c>
      <c r="Q27" s="53">
        <v>31.5</v>
      </c>
      <c r="R27" s="54">
        <v>0</v>
      </c>
      <c r="S27" s="55">
        <v>13</v>
      </c>
      <c r="T27" s="56">
        <v>218.38</v>
      </c>
      <c r="U27" s="49">
        <v>1980</v>
      </c>
      <c r="V27" s="51">
        <v>87</v>
      </c>
      <c r="W27" s="55">
        <v>4</v>
      </c>
      <c r="X27" s="50">
        <v>0</v>
      </c>
      <c r="Y27" s="50">
        <v>2</v>
      </c>
      <c r="Z27" s="50">
        <v>0</v>
      </c>
      <c r="AA27" s="57">
        <v>5</v>
      </c>
      <c r="AB27" s="57">
        <v>2</v>
      </c>
      <c r="AC27" s="57">
        <f>SUM(W27:AB27)</f>
        <v>13</v>
      </c>
      <c r="AD27" s="58">
        <v>17.5</v>
      </c>
      <c r="AE27" s="59">
        <v>0</v>
      </c>
      <c r="AF27" s="59">
        <v>10.5</v>
      </c>
      <c r="AG27" s="59">
        <v>0</v>
      </c>
      <c r="AH27" s="60">
        <v>11</v>
      </c>
      <c r="AI27" s="60">
        <v>10</v>
      </c>
      <c r="AJ27" s="54">
        <f>SUM(AD27:AI27)</f>
        <v>49</v>
      </c>
    </row>
    <row r="28" spans="1:36">
      <c r="A28" s="29"/>
      <c r="B28" s="48">
        <v>46227</v>
      </c>
      <c r="C28" s="49">
        <v>3</v>
      </c>
      <c r="D28" s="50">
        <v>3</v>
      </c>
      <c r="E28" s="50">
        <v>1</v>
      </c>
      <c r="F28" s="50">
        <v>2</v>
      </c>
      <c r="G28" s="51">
        <v>0</v>
      </c>
      <c r="H28" s="55">
        <v>2</v>
      </c>
      <c r="I28" s="55">
        <v>2</v>
      </c>
      <c r="J28" s="50">
        <v>0</v>
      </c>
      <c r="K28" s="50">
        <v>2</v>
      </c>
      <c r="L28" s="57">
        <v>0</v>
      </c>
      <c r="M28" s="49">
        <v>0</v>
      </c>
      <c r="N28" s="50">
        <v>1</v>
      </c>
      <c r="O28" s="50">
        <v>1</v>
      </c>
      <c r="P28" s="51">
        <v>0</v>
      </c>
      <c r="Q28" s="77">
        <v>34.1</v>
      </c>
      <c r="R28" s="54">
        <v>0</v>
      </c>
      <c r="S28" s="78">
        <v>3</v>
      </c>
      <c r="T28" s="79">
        <v>35.16</v>
      </c>
      <c r="U28" s="80">
        <v>877</v>
      </c>
      <c r="V28" s="81">
        <v>82</v>
      </c>
      <c r="W28" s="55">
        <v>2</v>
      </c>
      <c r="X28" s="50">
        <v>2</v>
      </c>
      <c r="Y28" s="50">
        <v>0</v>
      </c>
      <c r="Z28" s="50">
        <v>0</v>
      </c>
      <c r="AA28" s="57">
        <v>2</v>
      </c>
      <c r="AB28" s="57">
        <v>3</v>
      </c>
      <c r="AC28" s="57">
        <f>SUM(W28:AB28)</f>
        <v>9</v>
      </c>
      <c r="AD28" s="58">
        <v>9.5</v>
      </c>
      <c r="AE28" s="59">
        <v>8</v>
      </c>
      <c r="AF28" s="59">
        <v>0</v>
      </c>
      <c r="AG28" s="59">
        <v>0</v>
      </c>
      <c r="AH28" s="60">
        <v>4.5</v>
      </c>
      <c r="AI28" s="60">
        <v>15</v>
      </c>
      <c r="AJ28" s="54">
        <f>SUM(AD28:AI28)</f>
        <v>37</v>
      </c>
    </row>
    <row r="29" spans="1:36">
      <c r="A29" s="63" t="s">
        <v>126</v>
      </c>
      <c r="B29" s="64"/>
      <c r="C29" s="65">
        <f>SUM(C24:C28)</f>
        <v>11</v>
      </c>
      <c r="D29" s="66">
        <f>SUM(D24:D28)</f>
        <v>11</v>
      </c>
      <c r="E29" s="66">
        <f>SUM(E24:E28)</f>
        <v>1</v>
      </c>
      <c r="F29" s="66">
        <f>SUM(F24:F28)</f>
        <v>10</v>
      </c>
      <c r="G29" s="67">
        <f>SUM(G24:G28)</f>
        <v>0</v>
      </c>
      <c r="H29" s="72">
        <f t="shared" ref="H29:V29" si="6">SUM(H24:H28)</f>
        <v>6</v>
      </c>
      <c r="I29" s="66">
        <f t="shared" si="6"/>
        <v>5</v>
      </c>
      <c r="J29" s="66">
        <f t="shared" si="6"/>
        <v>1</v>
      </c>
      <c r="K29" s="66">
        <f t="shared" si="6"/>
        <v>4</v>
      </c>
      <c r="L29" s="74">
        <f t="shared" si="6"/>
        <v>0</v>
      </c>
      <c r="M29" s="65">
        <f t="shared" si="6"/>
        <v>1</v>
      </c>
      <c r="N29" s="66">
        <f t="shared" si="6"/>
        <v>2</v>
      </c>
      <c r="O29" s="66">
        <f t="shared" si="6"/>
        <v>1</v>
      </c>
      <c r="P29" s="67">
        <f t="shared" si="6"/>
        <v>1</v>
      </c>
      <c r="Q29" s="70">
        <f t="shared" si="6"/>
        <v>158.6</v>
      </c>
      <c r="R29" s="71">
        <f t="shared" si="6"/>
        <v>19.9</v>
      </c>
      <c r="S29" s="72">
        <f t="shared" si="6"/>
        <v>39</v>
      </c>
      <c r="T29" s="73">
        <f t="shared" si="6"/>
        <v>732.02</v>
      </c>
      <c r="U29" s="65">
        <f t="shared" si="6"/>
        <v>8365</v>
      </c>
      <c r="V29" s="67">
        <f t="shared" si="6"/>
        <v>658</v>
      </c>
      <c r="W29" s="68">
        <f t="shared" ref="W29:AJ29" si="7">SUM(W24:W28)</f>
        <v>16</v>
      </c>
      <c r="X29" s="74">
        <f t="shared" si="7"/>
        <v>6</v>
      </c>
      <c r="Y29" s="74">
        <f t="shared" si="7"/>
        <v>8</v>
      </c>
      <c r="Z29" s="74">
        <f t="shared" si="7"/>
        <v>0</v>
      </c>
      <c r="AA29" s="74">
        <f t="shared" si="7"/>
        <v>15</v>
      </c>
      <c r="AB29" s="74">
        <f t="shared" si="7"/>
        <v>11</v>
      </c>
      <c r="AC29" s="74">
        <f t="shared" si="7"/>
        <v>56</v>
      </c>
      <c r="AD29" s="70">
        <f t="shared" si="7"/>
        <v>56</v>
      </c>
      <c r="AE29" s="75">
        <f t="shared" si="7"/>
        <v>24.5</v>
      </c>
      <c r="AF29" s="75">
        <f t="shared" si="7"/>
        <v>39</v>
      </c>
      <c r="AG29" s="75">
        <f t="shared" si="7"/>
        <v>0</v>
      </c>
      <c r="AH29" s="75">
        <f t="shared" si="7"/>
        <v>43.5</v>
      </c>
      <c r="AI29" s="75">
        <f t="shared" si="7"/>
        <v>41</v>
      </c>
      <c r="AJ29" s="71">
        <f t="shared" si="7"/>
        <v>204</v>
      </c>
    </row>
    <row r="30" spans="1:36">
      <c r="A30" s="29" t="s">
        <v>188</v>
      </c>
      <c r="B30" s="48">
        <v>46230</v>
      </c>
      <c r="C30" s="49">
        <v>0</v>
      </c>
      <c r="D30" s="50">
        <v>0</v>
      </c>
      <c r="E30" s="50">
        <v>0</v>
      </c>
      <c r="F30" s="50">
        <v>0</v>
      </c>
      <c r="G30" s="51">
        <v>0</v>
      </c>
      <c r="H30" s="55">
        <v>3</v>
      </c>
      <c r="I30" s="55">
        <v>3</v>
      </c>
      <c r="J30" s="50">
        <v>1</v>
      </c>
      <c r="K30" s="50">
        <v>2</v>
      </c>
      <c r="L30" s="57">
        <v>0</v>
      </c>
      <c r="M30" s="49">
        <v>1</v>
      </c>
      <c r="N30" s="50">
        <v>0</v>
      </c>
      <c r="O30" s="50">
        <v>0</v>
      </c>
      <c r="P30" s="51">
        <v>0</v>
      </c>
      <c r="Q30" s="53">
        <v>0</v>
      </c>
      <c r="R30" s="54">
        <v>0</v>
      </c>
      <c r="S30" s="55">
        <v>13</v>
      </c>
      <c r="T30" s="56">
        <v>318.05</v>
      </c>
      <c r="U30" s="49">
        <v>1416</v>
      </c>
      <c r="V30" s="51">
        <v>194</v>
      </c>
      <c r="W30" s="55">
        <v>3</v>
      </c>
      <c r="X30" s="50">
        <v>1</v>
      </c>
      <c r="Y30" s="50">
        <v>1</v>
      </c>
      <c r="Z30" s="50">
        <v>0</v>
      </c>
      <c r="AA30" s="57">
        <v>3</v>
      </c>
      <c r="AB30" s="57">
        <v>3</v>
      </c>
      <c r="AC30" s="57">
        <f>SUM(W30:AB30)</f>
        <v>11</v>
      </c>
      <c r="AD30" s="58">
        <v>15.5</v>
      </c>
      <c r="AE30" s="59">
        <v>4</v>
      </c>
      <c r="AF30" s="59">
        <v>3</v>
      </c>
      <c r="AG30" s="59">
        <v>0</v>
      </c>
      <c r="AH30" s="60">
        <v>15</v>
      </c>
      <c r="AI30" s="60">
        <v>12</v>
      </c>
      <c r="AJ30" s="54">
        <f>SUM(AD30:AI30)</f>
        <v>49.5</v>
      </c>
    </row>
    <row r="31" spans="1:36">
      <c r="A31" s="29"/>
      <c r="B31" s="48">
        <v>46231</v>
      </c>
      <c r="C31" s="49">
        <v>0</v>
      </c>
      <c r="D31" s="50">
        <v>0</v>
      </c>
      <c r="E31" s="50">
        <v>0</v>
      </c>
      <c r="F31" s="50">
        <v>0</v>
      </c>
      <c r="G31" s="51">
        <v>0</v>
      </c>
      <c r="H31" s="55">
        <v>2</v>
      </c>
      <c r="I31" s="55">
        <v>2</v>
      </c>
      <c r="J31" s="50">
        <v>0</v>
      </c>
      <c r="K31" s="50">
        <v>2</v>
      </c>
      <c r="L31" s="57">
        <v>0</v>
      </c>
      <c r="M31" s="49">
        <v>0</v>
      </c>
      <c r="N31" s="50">
        <v>0</v>
      </c>
      <c r="O31" s="50">
        <v>1</v>
      </c>
      <c r="P31" s="51">
        <v>0</v>
      </c>
      <c r="Q31" s="53">
        <v>38.5</v>
      </c>
      <c r="R31" s="54">
        <v>15.6</v>
      </c>
      <c r="S31" s="55">
        <v>21</v>
      </c>
      <c r="T31" s="56">
        <v>563.51</v>
      </c>
      <c r="U31" s="49">
        <v>385</v>
      </c>
      <c r="V31" s="51">
        <v>10</v>
      </c>
      <c r="W31" s="55">
        <v>2</v>
      </c>
      <c r="X31" s="50">
        <v>0</v>
      </c>
      <c r="Y31" s="50">
        <v>0</v>
      </c>
      <c r="Z31" s="50">
        <v>1</v>
      </c>
      <c r="AA31" s="57">
        <v>4</v>
      </c>
      <c r="AB31" s="57">
        <v>4</v>
      </c>
      <c r="AC31" s="57">
        <f>SUM(W31:AB31)</f>
        <v>11</v>
      </c>
      <c r="AD31" s="58">
        <v>6</v>
      </c>
      <c r="AE31" s="59">
        <v>0</v>
      </c>
      <c r="AF31" s="59">
        <v>0</v>
      </c>
      <c r="AG31" s="59">
        <v>4</v>
      </c>
      <c r="AH31" s="60">
        <v>14</v>
      </c>
      <c r="AI31" s="60">
        <v>17.5</v>
      </c>
      <c r="AJ31" s="54">
        <f>SUM(AD31:AI31)</f>
        <v>41.5</v>
      </c>
    </row>
    <row r="32" spans="1:36">
      <c r="A32" s="29"/>
      <c r="B32" s="48">
        <v>46232</v>
      </c>
      <c r="C32" s="49">
        <v>3</v>
      </c>
      <c r="D32" s="50">
        <v>2</v>
      </c>
      <c r="E32" s="50">
        <v>1</v>
      </c>
      <c r="F32" s="50">
        <v>1</v>
      </c>
      <c r="G32" s="51">
        <v>0</v>
      </c>
      <c r="H32" s="55">
        <v>1</v>
      </c>
      <c r="I32" s="55">
        <v>1</v>
      </c>
      <c r="J32" s="50">
        <v>1</v>
      </c>
      <c r="K32" s="50">
        <v>0</v>
      </c>
      <c r="L32" s="57">
        <v>0</v>
      </c>
      <c r="M32" s="49">
        <v>1</v>
      </c>
      <c r="N32" s="50">
        <v>0</v>
      </c>
      <c r="O32" s="50">
        <v>1</v>
      </c>
      <c r="P32" s="51">
        <v>0</v>
      </c>
      <c r="Q32" s="53">
        <v>53.4</v>
      </c>
      <c r="R32" s="54">
        <v>0</v>
      </c>
      <c r="S32" s="55">
        <v>12</v>
      </c>
      <c r="T32" s="56">
        <v>362.6</v>
      </c>
      <c r="U32" s="49">
        <v>764</v>
      </c>
      <c r="V32" s="51">
        <v>122</v>
      </c>
      <c r="W32" s="55">
        <v>3</v>
      </c>
      <c r="X32" s="50">
        <v>2</v>
      </c>
      <c r="Y32" s="50">
        <v>0</v>
      </c>
      <c r="Z32" s="50">
        <v>1</v>
      </c>
      <c r="AA32" s="57">
        <v>2</v>
      </c>
      <c r="AB32" s="57">
        <v>4</v>
      </c>
      <c r="AC32" s="57">
        <f>SUM(W32:AB32)</f>
        <v>12</v>
      </c>
      <c r="AD32" s="58">
        <v>7.5</v>
      </c>
      <c r="AE32" s="59">
        <v>11</v>
      </c>
      <c r="AF32" s="59">
        <v>0</v>
      </c>
      <c r="AG32" s="59">
        <v>4.5</v>
      </c>
      <c r="AH32" s="60">
        <v>6</v>
      </c>
      <c r="AI32" s="60">
        <v>8.5</v>
      </c>
      <c r="AJ32" s="54">
        <f>SUM(AD32:AI32)</f>
        <v>37.5</v>
      </c>
    </row>
    <row r="33" spans="1:36">
      <c r="A33" s="29"/>
      <c r="B33" s="48">
        <v>46233</v>
      </c>
      <c r="C33" s="49">
        <v>0</v>
      </c>
      <c r="D33" s="50">
        <v>0</v>
      </c>
      <c r="E33" s="50">
        <v>0</v>
      </c>
      <c r="F33" s="50">
        <v>0</v>
      </c>
      <c r="G33" s="51">
        <v>0</v>
      </c>
      <c r="H33" s="55">
        <v>0</v>
      </c>
      <c r="I33" s="55">
        <v>0</v>
      </c>
      <c r="J33" s="50">
        <v>0</v>
      </c>
      <c r="K33" s="50">
        <v>0</v>
      </c>
      <c r="L33" s="57">
        <v>0</v>
      </c>
      <c r="M33" s="49">
        <v>0</v>
      </c>
      <c r="N33" s="50">
        <v>0</v>
      </c>
      <c r="O33" s="50">
        <v>1</v>
      </c>
      <c r="P33" s="51">
        <v>0</v>
      </c>
      <c r="Q33" s="53">
        <v>58.2</v>
      </c>
      <c r="R33" s="54">
        <v>5.3</v>
      </c>
      <c r="S33" s="55">
        <v>18</v>
      </c>
      <c r="T33" s="56">
        <v>286.85</v>
      </c>
      <c r="U33" s="49">
        <v>303</v>
      </c>
      <c r="V33" s="51">
        <v>37</v>
      </c>
      <c r="W33" s="55">
        <v>3</v>
      </c>
      <c r="X33" s="50">
        <v>0</v>
      </c>
      <c r="Y33" s="50">
        <v>2</v>
      </c>
      <c r="Z33" s="50">
        <v>2</v>
      </c>
      <c r="AA33" s="57">
        <v>4</v>
      </c>
      <c r="AB33" s="57">
        <v>3</v>
      </c>
      <c r="AC33" s="57">
        <f>SUM(W33:AB33)</f>
        <v>14</v>
      </c>
      <c r="AD33" s="58">
        <v>12.5</v>
      </c>
      <c r="AE33" s="59">
        <v>0</v>
      </c>
      <c r="AF33" s="59">
        <v>4.5</v>
      </c>
      <c r="AG33" s="59">
        <v>9.5</v>
      </c>
      <c r="AH33" s="60">
        <v>22</v>
      </c>
      <c r="AI33" s="60">
        <v>13.5</v>
      </c>
      <c r="AJ33" s="54">
        <f>SUM(AD33:AI33)</f>
        <v>62</v>
      </c>
    </row>
    <row r="34" spans="1:36">
      <c r="A34" s="29"/>
      <c r="B34" s="48">
        <v>46234</v>
      </c>
      <c r="C34" s="49">
        <v>0</v>
      </c>
      <c r="D34" s="50">
        <v>0</v>
      </c>
      <c r="E34" s="50">
        <v>0</v>
      </c>
      <c r="F34" s="50">
        <v>0</v>
      </c>
      <c r="G34" s="51">
        <v>0</v>
      </c>
      <c r="H34" s="55">
        <v>3</v>
      </c>
      <c r="I34" s="55">
        <v>3</v>
      </c>
      <c r="J34" s="50">
        <v>0</v>
      </c>
      <c r="K34" s="50">
        <v>3</v>
      </c>
      <c r="L34" s="57">
        <v>0</v>
      </c>
      <c r="M34" s="49">
        <v>0</v>
      </c>
      <c r="N34" s="50">
        <v>1</v>
      </c>
      <c r="O34" s="50">
        <v>0</v>
      </c>
      <c r="P34" s="51">
        <v>1</v>
      </c>
      <c r="Q34" s="77">
        <v>30</v>
      </c>
      <c r="R34" s="54">
        <v>0</v>
      </c>
      <c r="S34" s="78">
        <v>10</v>
      </c>
      <c r="T34" s="79">
        <v>278.09</v>
      </c>
      <c r="U34" s="80">
        <v>803</v>
      </c>
      <c r="V34" s="81">
        <v>121</v>
      </c>
      <c r="W34" s="55">
        <v>1</v>
      </c>
      <c r="X34" s="50">
        <v>1</v>
      </c>
      <c r="Y34" s="50">
        <v>1</v>
      </c>
      <c r="Z34" s="50">
        <v>2</v>
      </c>
      <c r="AA34" s="57">
        <v>2</v>
      </c>
      <c r="AB34" s="57">
        <v>3</v>
      </c>
      <c r="AC34" s="57">
        <f>SUM(W34:AB34)</f>
        <v>10</v>
      </c>
      <c r="AD34" s="58">
        <v>5</v>
      </c>
      <c r="AE34" s="59">
        <v>5.5</v>
      </c>
      <c r="AF34" s="59">
        <v>3.5</v>
      </c>
      <c r="AG34" s="59">
        <v>10.5</v>
      </c>
      <c r="AH34" s="60">
        <v>6.5</v>
      </c>
      <c r="AI34" s="60">
        <v>14.5</v>
      </c>
      <c r="AJ34" s="54">
        <f>SUM(AD34:AI34)</f>
        <v>45.5</v>
      </c>
    </row>
    <row r="35" ht="17.55" spans="1:36">
      <c r="A35" s="83" t="s">
        <v>126</v>
      </c>
      <c r="B35" s="84"/>
      <c r="C35" s="85">
        <f>SUM(C30:C34)</f>
        <v>3</v>
      </c>
      <c r="D35" s="86">
        <f>SUM(D30:D34)</f>
        <v>2</v>
      </c>
      <c r="E35" s="86">
        <f>SUM(E30:E34)</f>
        <v>1</v>
      </c>
      <c r="F35" s="86">
        <f>SUM(F30:F34)</f>
        <v>1</v>
      </c>
      <c r="G35" s="87">
        <f>SUM(G30:G34)</f>
        <v>0</v>
      </c>
      <c r="H35" s="88">
        <f t="shared" ref="H35:V35" si="8">SUM(H30:H34)</f>
        <v>9</v>
      </c>
      <c r="I35" s="86">
        <f t="shared" si="8"/>
        <v>9</v>
      </c>
      <c r="J35" s="86">
        <f t="shared" si="8"/>
        <v>2</v>
      </c>
      <c r="K35" s="86">
        <f t="shared" si="8"/>
        <v>7</v>
      </c>
      <c r="L35" s="89">
        <f t="shared" si="8"/>
        <v>0</v>
      </c>
      <c r="M35" s="90">
        <f t="shared" si="8"/>
        <v>2</v>
      </c>
      <c r="N35" s="91">
        <f t="shared" si="8"/>
        <v>1</v>
      </c>
      <c r="O35" s="91">
        <f t="shared" si="8"/>
        <v>3</v>
      </c>
      <c r="P35" s="92">
        <f t="shared" si="8"/>
        <v>1</v>
      </c>
      <c r="Q35" s="93">
        <f t="shared" si="8"/>
        <v>180.1</v>
      </c>
      <c r="R35" s="94">
        <f t="shared" si="8"/>
        <v>20.9</v>
      </c>
      <c r="S35" s="95">
        <f t="shared" si="8"/>
        <v>74</v>
      </c>
      <c r="T35" s="96">
        <f t="shared" si="8"/>
        <v>1809.1</v>
      </c>
      <c r="U35" s="85">
        <f t="shared" si="8"/>
        <v>3671</v>
      </c>
      <c r="V35" s="87">
        <f t="shared" si="8"/>
        <v>484</v>
      </c>
      <c r="W35" s="97">
        <f t="shared" ref="W35:AJ35" si="9">SUM(W30:W34)</f>
        <v>12</v>
      </c>
      <c r="X35" s="98">
        <f t="shared" si="9"/>
        <v>4</v>
      </c>
      <c r="Y35" s="98">
        <f t="shared" si="9"/>
        <v>4</v>
      </c>
      <c r="Z35" s="98">
        <f t="shared" si="9"/>
        <v>6</v>
      </c>
      <c r="AA35" s="98">
        <f t="shared" si="9"/>
        <v>15</v>
      </c>
      <c r="AB35" s="98">
        <f t="shared" si="9"/>
        <v>17</v>
      </c>
      <c r="AC35" s="98">
        <f t="shared" si="9"/>
        <v>58</v>
      </c>
      <c r="AD35" s="99">
        <f t="shared" si="9"/>
        <v>46.5</v>
      </c>
      <c r="AE35" s="100">
        <f t="shared" si="9"/>
        <v>20.5</v>
      </c>
      <c r="AF35" s="100">
        <f t="shared" si="9"/>
        <v>11</v>
      </c>
      <c r="AG35" s="100">
        <f t="shared" si="9"/>
        <v>28.5</v>
      </c>
      <c r="AH35" s="100">
        <f t="shared" si="9"/>
        <v>63.5</v>
      </c>
      <c r="AI35" s="100">
        <f t="shared" si="9"/>
        <v>66</v>
      </c>
      <c r="AJ35" s="101">
        <f t="shared" si="9"/>
        <v>236</v>
      </c>
    </row>
    <row r="36" s="4" customFormat="1" ht="37.2" customHeight="1" spans="1:36">
      <c r="A36" s="102" t="s">
        <v>203</v>
      </c>
      <c r="B36" s="103"/>
      <c r="C36" s="104">
        <f>C11+C17+C23+C29+C35</f>
        <v>41</v>
      </c>
      <c r="D36" s="105">
        <f>D11+D17+D23+D29+D35</f>
        <v>39</v>
      </c>
      <c r="E36" s="105">
        <f>E11+E17+E23+E29+E35</f>
        <v>8</v>
      </c>
      <c r="F36" s="105">
        <f>F11+F17+F23+F29+F35</f>
        <v>29</v>
      </c>
      <c r="G36" s="106">
        <f>G11+G17+G23+G29+G35</f>
        <v>2</v>
      </c>
      <c r="H36" s="107">
        <f t="shared" ref="H36:V36" si="10">H11+H17+H23+H29+H35</f>
        <v>29</v>
      </c>
      <c r="I36" s="105">
        <f t="shared" si="10"/>
        <v>26</v>
      </c>
      <c r="J36" s="105">
        <f t="shared" si="10"/>
        <v>8</v>
      </c>
      <c r="K36" s="105">
        <f t="shared" si="10"/>
        <v>18</v>
      </c>
      <c r="L36" s="108">
        <f t="shared" si="10"/>
        <v>0</v>
      </c>
      <c r="M36" s="109">
        <f t="shared" si="10"/>
        <v>13</v>
      </c>
      <c r="N36" s="110">
        <f t="shared" si="10"/>
        <v>7</v>
      </c>
      <c r="O36" s="110">
        <f t="shared" si="10"/>
        <v>6</v>
      </c>
      <c r="P36" s="111">
        <f t="shared" si="10"/>
        <v>2</v>
      </c>
      <c r="Q36" s="112">
        <f t="shared" si="10"/>
        <v>880.9</v>
      </c>
      <c r="R36" s="113">
        <f t="shared" si="10"/>
        <v>79.8</v>
      </c>
      <c r="S36" s="114">
        <f t="shared" si="10"/>
        <v>253</v>
      </c>
      <c r="T36" s="115">
        <f t="shared" si="10"/>
        <v>5647.43</v>
      </c>
      <c r="U36" s="105">
        <f t="shared" si="10"/>
        <v>24105</v>
      </c>
      <c r="V36" s="105">
        <f t="shared" si="10"/>
        <v>2248</v>
      </c>
      <c r="W36" s="116">
        <f t="shared" ref="W36:AJ36" si="11">W11+W17+W23+W29+W35</f>
        <v>61</v>
      </c>
      <c r="X36" s="116">
        <f t="shared" si="11"/>
        <v>19</v>
      </c>
      <c r="Y36" s="116">
        <f t="shared" si="11"/>
        <v>31</v>
      </c>
      <c r="Z36" s="116">
        <f t="shared" si="11"/>
        <v>13</v>
      </c>
      <c r="AA36" s="116">
        <f t="shared" si="11"/>
        <v>72</v>
      </c>
      <c r="AB36" s="116">
        <f t="shared" si="11"/>
        <v>59</v>
      </c>
      <c r="AC36" s="116">
        <f t="shared" si="11"/>
        <v>255</v>
      </c>
      <c r="AD36" s="117">
        <f t="shared" si="11"/>
        <v>231.5</v>
      </c>
      <c r="AE36" s="118">
        <f t="shared" si="11"/>
        <v>81</v>
      </c>
      <c r="AF36" s="118">
        <f t="shared" si="11"/>
        <v>118</v>
      </c>
      <c r="AG36" s="118">
        <f t="shared" si="11"/>
        <v>49.5</v>
      </c>
      <c r="AH36" s="118">
        <f t="shared" si="11"/>
        <v>250</v>
      </c>
      <c r="AI36" s="118">
        <f t="shared" si="11"/>
        <v>216</v>
      </c>
      <c r="AJ36" s="113">
        <f t="shared" si="11"/>
        <v>946</v>
      </c>
    </row>
    <row r="41" spans="1:36">
      <c r="T41" s="5"/>
      <c r="W41" s="2"/>
    </row>
    <row r="42" spans="1:36">
      <c r="T42" s="5"/>
      <c r="W42" s="2"/>
    </row>
    <row r="43" spans="1:36">
      <c r="T43" s="5"/>
      <c r="W43" s="2"/>
    </row>
    <row r="44" spans="1:36">
      <c r="T44" s="5"/>
      <c r="W44" s="2"/>
    </row>
    <row r="45" spans="1:36">
      <c r="T45" s="5"/>
      <c r="W45" s="2"/>
    </row>
    <row r="46" spans="1:36">
      <c r="T46" s="5"/>
      <c r="W46" s="2"/>
    </row>
    <row r="47" spans="1:36">
      <c r="T47" s="5"/>
      <c r="W47" s="2"/>
    </row>
    <row r="48" spans="1:36">
      <c r="T48" s="5"/>
      <c r="W48" s="2"/>
    </row>
    <row r="49" spans="20:23">
      <c r="T49" s="5"/>
      <c r="W49" s="2"/>
    </row>
    <row r="50" spans="20:23">
      <c r="T50" s="5"/>
      <c r="W50" s="2"/>
    </row>
    <row r="51" spans="20:23">
      <c r="T51" s="5"/>
      <c r="W51" s="2"/>
    </row>
    <row r="52" spans="20:23">
      <c r="T52" s="5"/>
      <c r="W52" s="2"/>
    </row>
    <row r="53" spans="20:23">
      <c r="T53" s="5"/>
      <c r="W53" s="2"/>
    </row>
    <row r="54" spans="20:23">
      <c r="T54" s="5"/>
      <c r="W54" s="2"/>
    </row>
    <row r="55" spans="20:23">
      <c r="T55" s="5"/>
      <c r="W55" s="2"/>
    </row>
    <row r="56" spans="20:23">
      <c r="T56" s="5"/>
      <c r="W56" s="2"/>
    </row>
    <row r="57" spans="20:23">
      <c r="T57" s="5"/>
      <c r="W57" s="2"/>
    </row>
    <row r="58" spans="20:23">
      <c r="T58" s="5"/>
      <c r="W58" s="2"/>
    </row>
    <row r="59" spans="20:23">
      <c r="T59" s="5"/>
      <c r="W59" s="2"/>
    </row>
    <row r="60" spans="20:23">
      <c r="T60" s="5"/>
      <c r="W60" s="2"/>
    </row>
    <row r="61" spans="20:23">
      <c r="T61" s="5"/>
      <c r="W61" s="2"/>
    </row>
    <row r="62" spans="20:23">
      <c r="T62" s="5"/>
      <c r="W62" s="2"/>
    </row>
    <row r="63" spans="20:23">
      <c r="T63" s="5"/>
      <c r="W63" s="2"/>
    </row>
    <row r="64" spans="20:23">
      <c r="T64" s="5"/>
      <c r="W64" s="2"/>
    </row>
    <row r="65" spans="20:23">
      <c r="T65" s="5"/>
      <c r="W65" s="2"/>
    </row>
    <row r="66" spans="20:23">
      <c r="T66" s="5"/>
      <c r="W66" s="2"/>
    </row>
    <row r="67" spans="20:23">
      <c r="T67" s="5"/>
      <c r="W67" s="2"/>
    </row>
    <row r="68" spans="20:23">
      <c r="T68" s="5"/>
      <c r="W68" s="2"/>
    </row>
    <row r="69" spans="20:23">
      <c r="T69" s="5"/>
      <c r="W69" s="2"/>
    </row>
    <row r="70" spans="20:23">
      <c r="T70" s="5"/>
      <c r="W70" s="2"/>
    </row>
    <row r="71" spans="20:23">
      <c r="T71" s="5"/>
      <c r="W71" s="2"/>
    </row>
    <row r="72" spans="20:23">
      <c r="T72" s="5"/>
      <c r="W72" s="2"/>
    </row>
    <row r="73" spans="20:23">
      <c r="T73" s="5"/>
      <c r="W73" s="2"/>
    </row>
    <row r="74" spans="20:23">
      <c r="T74" s="5"/>
      <c r="W74" s="2"/>
    </row>
  </sheetData>
  <mergeCells count="20">
    <mergeCell ref="C4:G4"/>
    <mergeCell ref="H4:L4"/>
    <mergeCell ref="M4:P4"/>
    <mergeCell ref="Q4:R4"/>
    <mergeCell ref="S4:T4"/>
    <mergeCell ref="U4:V4"/>
    <mergeCell ref="W4:AC4"/>
    <mergeCell ref="AD4:AJ4"/>
    <mergeCell ref="A11:B11"/>
    <mergeCell ref="A17:B17"/>
    <mergeCell ref="A23:B23"/>
    <mergeCell ref="A29:B29"/>
    <mergeCell ref="A35:B35"/>
    <mergeCell ref="A36:B36"/>
    <mergeCell ref="A6:A10"/>
    <mergeCell ref="A12:A16"/>
    <mergeCell ref="A18:A22"/>
    <mergeCell ref="A24:A28"/>
    <mergeCell ref="A30:A34"/>
    <mergeCell ref="E1:AA2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74"/>
  <sheetViews>
    <sheetView workbookViewId="0">
      <selection activeCell="A1" sqref="A1"/>
    </sheetView>
  </sheetViews>
  <sheetFormatPr defaultColWidth="13.6923076923077" defaultRowHeight="16.8"/>
  <cols>
    <col min="1" max="1" width="3.68269230769231" style="2" customWidth="1"/>
    <col min="2" max="22" width="13.6923076923077" style="2" customWidth="1"/>
    <col min="23" max="23" width="13.6923076923077" style="5" customWidth="1"/>
    <col min="24" max="16384" width="13.6923076923077" style="2" customWidth="1"/>
  </cols>
  <sheetData>
    <row r="1" spans="1:36">
      <c r="E1" s="6" t="s">
        <v>104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36"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17.55"/>
    <row r="4" s="1" customFormat="1" ht="17.55" spans="1:36">
      <c r="C4" s="8" t="s">
        <v>105</v>
      </c>
      <c r="D4" s="9"/>
      <c r="E4" s="9"/>
      <c r="F4" s="9"/>
      <c r="G4" s="10"/>
      <c r="H4" s="9" t="s">
        <v>106</v>
      </c>
      <c r="I4" s="9"/>
      <c r="J4" s="9"/>
      <c r="K4" s="9"/>
      <c r="L4" s="9"/>
      <c r="M4" s="8" t="s">
        <v>107</v>
      </c>
      <c r="N4" s="9"/>
      <c r="O4" s="9"/>
      <c r="P4" s="11"/>
      <c r="Q4" s="12" t="s">
        <v>124</v>
      </c>
      <c r="R4" s="10"/>
      <c r="S4" s="9" t="s">
        <v>109</v>
      </c>
      <c r="T4" s="11"/>
      <c r="U4" s="13" t="s">
        <v>110</v>
      </c>
      <c r="V4" s="14"/>
      <c r="W4" s="12" t="s">
        <v>111</v>
      </c>
      <c r="X4" s="15"/>
      <c r="Y4" s="15"/>
      <c r="Z4" s="15"/>
      <c r="AA4" s="15"/>
      <c r="AB4" s="15"/>
      <c r="AC4" s="15"/>
      <c r="AD4" s="12" t="s">
        <v>112</v>
      </c>
      <c r="AE4" s="15"/>
      <c r="AF4" s="15"/>
      <c r="AG4" s="15"/>
      <c r="AH4" s="15"/>
      <c r="AI4" s="15"/>
      <c r="AJ4" s="10"/>
    </row>
    <row r="5" s="2" customFormat="1" ht="17.55" spans="1:36">
      <c r="A5" s="16" t="s">
        <v>204</v>
      </c>
      <c r="B5" s="17" t="s">
        <v>55</v>
      </c>
      <c r="C5" s="18" t="s">
        <v>47</v>
      </c>
      <c r="D5" s="19" t="s">
        <v>114</v>
      </c>
      <c r="E5" s="20" t="s">
        <v>40</v>
      </c>
      <c r="F5" s="19" t="s">
        <v>41</v>
      </c>
      <c r="G5" s="21" t="s">
        <v>42</v>
      </c>
      <c r="H5" s="22" t="s">
        <v>47</v>
      </c>
      <c r="I5" s="22" t="s">
        <v>114</v>
      </c>
      <c r="J5" s="23" t="s">
        <v>40</v>
      </c>
      <c r="K5" s="23" t="s">
        <v>41</v>
      </c>
      <c r="L5" s="24" t="s">
        <v>42</v>
      </c>
      <c r="M5" s="25" t="s">
        <v>47</v>
      </c>
      <c r="N5" s="23" t="s">
        <v>48</v>
      </c>
      <c r="O5" s="23" t="s">
        <v>49</v>
      </c>
      <c r="P5" s="26" t="s">
        <v>50</v>
      </c>
      <c r="Q5" s="25" t="s">
        <v>115</v>
      </c>
      <c r="R5" s="26" t="s">
        <v>116</v>
      </c>
      <c r="S5" s="22" t="s">
        <v>72</v>
      </c>
      <c r="T5" s="27" t="s">
        <v>73</v>
      </c>
      <c r="U5" s="19" t="s">
        <v>74</v>
      </c>
      <c r="V5" s="28" t="s">
        <v>75</v>
      </c>
      <c r="W5" s="25" t="s">
        <v>117</v>
      </c>
      <c r="X5" s="23" t="s">
        <v>118</v>
      </c>
      <c r="Y5" s="23" t="s">
        <v>119</v>
      </c>
      <c r="Z5" s="23" t="s">
        <v>110</v>
      </c>
      <c r="AA5" s="24" t="s">
        <v>120</v>
      </c>
      <c r="AB5" s="24" t="s">
        <v>121</v>
      </c>
      <c r="AC5" s="24" t="s">
        <v>39</v>
      </c>
      <c r="AD5" s="25" t="s">
        <v>117</v>
      </c>
      <c r="AE5" s="23" t="s">
        <v>118</v>
      </c>
      <c r="AF5" s="23" t="s">
        <v>122</v>
      </c>
      <c r="AG5" s="23" t="s">
        <v>110</v>
      </c>
      <c r="AH5" s="24" t="s">
        <v>120</v>
      </c>
      <c r="AI5" s="24" t="s">
        <v>121</v>
      </c>
      <c r="AJ5" s="26" t="s">
        <v>39</v>
      </c>
    </row>
    <row r="6" spans="1:36">
      <c r="A6" s="29" t="s">
        <v>184</v>
      </c>
      <c r="B6" s="48">
        <v>46237</v>
      </c>
      <c r="C6" s="31">
        <v>3</v>
      </c>
      <c r="D6" s="32">
        <v>3</v>
      </c>
      <c r="E6" s="32">
        <v>0</v>
      </c>
      <c r="F6" s="32">
        <v>3</v>
      </c>
      <c r="G6" s="33">
        <v>0</v>
      </c>
      <c r="H6" s="34">
        <v>2</v>
      </c>
      <c r="I6" s="34">
        <v>2</v>
      </c>
      <c r="J6" s="32">
        <v>1</v>
      </c>
      <c r="K6" s="32">
        <v>1</v>
      </c>
      <c r="L6" s="35">
        <v>0</v>
      </c>
      <c r="M6" s="36">
        <v>2</v>
      </c>
      <c r="N6" s="37">
        <v>0</v>
      </c>
      <c r="O6" s="37">
        <v>0</v>
      </c>
      <c r="P6" s="38">
        <v>0</v>
      </c>
      <c r="Q6" s="39">
        <v>18.8</v>
      </c>
      <c r="R6" s="40">
        <v>0</v>
      </c>
      <c r="S6" s="41">
        <v>12</v>
      </c>
      <c r="T6" s="42">
        <v>209.11</v>
      </c>
      <c r="U6" s="31">
        <v>1037</v>
      </c>
      <c r="V6" s="33">
        <v>79</v>
      </c>
      <c r="W6" s="41">
        <v>1</v>
      </c>
      <c r="X6" s="37">
        <v>2</v>
      </c>
      <c r="Y6" s="37">
        <v>1</v>
      </c>
      <c r="Z6" s="37">
        <v>2</v>
      </c>
      <c r="AA6" s="43">
        <v>4</v>
      </c>
      <c r="AB6" s="43">
        <v>3</v>
      </c>
      <c r="AC6" s="43">
        <f>SUM(W6:AB6)</f>
        <v>13</v>
      </c>
      <c r="AD6" s="44">
        <v>2</v>
      </c>
      <c r="AE6" s="45">
        <v>10.5</v>
      </c>
      <c r="AF6" s="45">
        <v>5</v>
      </c>
      <c r="AG6" s="45">
        <v>8</v>
      </c>
      <c r="AH6" s="46">
        <v>12</v>
      </c>
      <c r="AI6" s="46">
        <v>8.5</v>
      </c>
      <c r="AJ6" s="47">
        <f>SUM(AD6:AI6)</f>
        <v>46</v>
      </c>
    </row>
    <row r="7" spans="1:36">
      <c r="A7" s="29"/>
      <c r="B7" s="48">
        <v>46238</v>
      </c>
      <c r="C7" s="49">
        <v>2</v>
      </c>
      <c r="D7" s="50">
        <v>2</v>
      </c>
      <c r="E7" s="50">
        <v>1</v>
      </c>
      <c r="F7" s="50">
        <v>1</v>
      </c>
      <c r="G7" s="51">
        <v>0</v>
      </c>
      <c r="H7" s="52">
        <v>0</v>
      </c>
      <c r="I7" s="50">
        <v>0</v>
      </c>
      <c r="J7" s="50">
        <v>0</v>
      </c>
      <c r="K7" s="50">
        <v>0</v>
      </c>
      <c r="L7" s="52">
        <v>0</v>
      </c>
      <c r="M7" s="49">
        <v>0</v>
      </c>
      <c r="N7" s="50">
        <v>0</v>
      </c>
      <c r="O7" s="50">
        <v>0</v>
      </c>
      <c r="P7" s="51">
        <v>0</v>
      </c>
      <c r="Q7" s="53">
        <v>61.5</v>
      </c>
      <c r="R7" s="54">
        <v>0</v>
      </c>
      <c r="S7" s="55">
        <v>15</v>
      </c>
      <c r="T7" s="56">
        <v>238.13</v>
      </c>
      <c r="U7" s="49">
        <v>434</v>
      </c>
      <c r="V7" s="51">
        <v>38</v>
      </c>
      <c r="W7" s="55">
        <v>2</v>
      </c>
      <c r="X7" s="50">
        <v>1</v>
      </c>
      <c r="Y7" s="50">
        <v>2</v>
      </c>
      <c r="Z7" s="50">
        <v>0</v>
      </c>
      <c r="AA7" s="57">
        <v>5</v>
      </c>
      <c r="AB7" s="57">
        <v>4</v>
      </c>
      <c r="AC7" s="57">
        <f>SUM(W7:AB7)</f>
        <v>14</v>
      </c>
      <c r="AD7" s="58">
        <v>8</v>
      </c>
      <c r="AE7" s="59">
        <v>5.5</v>
      </c>
      <c r="AF7" s="59">
        <v>7.5</v>
      </c>
      <c r="AG7" s="59">
        <v>0</v>
      </c>
      <c r="AH7" s="60">
        <v>14.5</v>
      </c>
      <c r="AI7" s="60">
        <v>8</v>
      </c>
      <c r="AJ7" s="54">
        <f>SUM(AD7:AI7)</f>
        <v>43.5</v>
      </c>
    </row>
    <row r="8" spans="1:36">
      <c r="A8" s="29"/>
      <c r="B8" s="48">
        <v>46239</v>
      </c>
      <c r="C8" s="49">
        <v>1</v>
      </c>
      <c r="D8" s="50">
        <v>0</v>
      </c>
      <c r="E8" s="50">
        <v>0</v>
      </c>
      <c r="F8" s="50">
        <v>0</v>
      </c>
      <c r="G8" s="51">
        <v>0</v>
      </c>
      <c r="H8" s="52">
        <v>2</v>
      </c>
      <c r="I8" s="50">
        <v>1</v>
      </c>
      <c r="J8" s="50">
        <v>1</v>
      </c>
      <c r="K8" s="50">
        <v>0</v>
      </c>
      <c r="L8" s="52">
        <v>0</v>
      </c>
      <c r="M8" s="61">
        <v>0</v>
      </c>
      <c r="N8" s="50">
        <v>0</v>
      </c>
      <c r="O8" s="50">
        <v>0</v>
      </c>
      <c r="P8" s="51">
        <v>1</v>
      </c>
      <c r="Q8" s="53">
        <v>0</v>
      </c>
      <c r="R8" s="54">
        <v>0</v>
      </c>
      <c r="S8" s="55">
        <v>12</v>
      </c>
      <c r="T8" s="56">
        <v>372.47</v>
      </c>
      <c r="U8" s="49">
        <v>856</v>
      </c>
      <c r="V8" s="51">
        <v>130</v>
      </c>
      <c r="W8" s="55">
        <v>3</v>
      </c>
      <c r="X8" s="50">
        <v>2</v>
      </c>
      <c r="Y8" s="50">
        <v>1</v>
      </c>
      <c r="Z8" s="50">
        <v>1</v>
      </c>
      <c r="AA8" s="57">
        <v>3</v>
      </c>
      <c r="AB8" s="57">
        <v>2</v>
      </c>
      <c r="AC8" s="57">
        <f>SUM(W8:AB8)</f>
        <v>12</v>
      </c>
      <c r="AD8" s="58">
        <v>15</v>
      </c>
      <c r="AE8" s="59">
        <v>10.5</v>
      </c>
      <c r="AF8" s="59">
        <v>2.5</v>
      </c>
      <c r="AG8" s="59">
        <v>5.5</v>
      </c>
      <c r="AH8" s="60">
        <v>10.5</v>
      </c>
      <c r="AI8" s="60">
        <v>6</v>
      </c>
      <c r="AJ8" s="54">
        <f>SUM(AD8:AI8)</f>
        <v>50</v>
      </c>
    </row>
    <row r="9" spans="1:36">
      <c r="A9" s="29"/>
      <c r="B9" s="48">
        <v>46240</v>
      </c>
      <c r="C9" s="49">
        <v>3</v>
      </c>
      <c r="D9" s="50">
        <v>3</v>
      </c>
      <c r="E9" s="50">
        <v>0</v>
      </c>
      <c r="F9" s="50">
        <v>3</v>
      </c>
      <c r="G9" s="51">
        <v>0</v>
      </c>
      <c r="H9" s="52">
        <v>2</v>
      </c>
      <c r="I9" s="50">
        <v>2</v>
      </c>
      <c r="J9" s="50">
        <v>1</v>
      </c>
      <c r="K9" s="50">
        <v>1</v>
      </c>
      <c r="L9" s="52">
        <v>0</v>
      </c>
      <c r="M9" s="61">
        <v>1</v>
      </c>
      <c r="N9" s="50">
        <v>0</v>
      </c>
      <c r="O9" s="50">
        <v>0</v>
      </c>
      <c r="P9" s="51">
        <v>0</v>
      </c>
      <c r="Q9" s="53">
        <v>30.8</v>
      </c>
      <c r="R9" s="54">
        <v>18.7</v>
      </c>
      <c r="S9" s="55">
        <v>22</v>
      </c>
      <c r="T9" s="56">
        <v>344.19</v>
      </c>
      <c r="U9" s="49">
        <v>1058</v>
      </c>
      <c r="V9" s="51">
        <v>76</v>
      </c>
      <c r="W9" s="55">
        <v>2</v>
      </c>
      <c r="X9" s="50">
        <v>0</v>
      </c>
      <c r="Y9" s="50">
        <v>2</v>
      </c>
      <c r="Z9" s="50">
        <v>1</v>
      </c>
      <c r="AA9" s="57">
        <v>2</v>
      </c>
      <c r="AB9" s="57">
        <v>3</v>
      </c>
      <c r="AC9" s="57">
        <f>SUM(W9:AB9)</f>
        <v>10</v>
      </c>
      <c r="AD9" s="58">
        <v>10.5</v>
      </c>
      <c r="AE9" s="59">
        <v>0</v>
      </c>
      <c r="AF9" s="59">
        <v>4.5</v>
      </c>
      <c r="AG9" s="59">
        <v>3</v>
      </c>
      <c r="AH9" s="60">
        <v>6</v>
      </c>
      <c r="AI9" s="60">
        <v>6.5</v>
      </c>
      <c r="AJ9" s="54">
        <f>SUM(AD9:AI9)</f>
        <v>30.5</v>
      </c>
    </row>
    <row r="10" spans="1:36">
      <c r="A10" s="62"/>
      <c r="B10" s="48">
        <v>46241</v>
      </c>
      <c r="C10" s="49">
        <v>0</v>
      </c>
      <c r="D10" s="50">
        <v>0</v>
      </c>
      <c r="E10" s="50">
        <v>0</v>
      </c>
      <c r="F10" s="50">
        <v>0</v>
      </c>
      <c r="G10" s="51">
        <v>0</v>
      </c>
      <c r="H10" s="52">
        <v>3</v>
      </c>
      <c r="I10" s="50">
        <v>2</v>
      </c>
      <c r="J10" s="50">
        <v>1</v>
      </c>
      <c r="K10" s="50">
        <v>1</v>
      </c>
      <c r="L10" s="52">
        <v>0</v>
      </c>
      <c r="M10" s="61">
        <v>0</v>
      </c>
      <c r="N10" s="50">
        <v>0</v>
      </c>
      <c r="O10" s="50">
        <v>0</v>
      </c>
      <c r="P10" s="51">
        <v>0</v>
      </c>
      <c r="Q10" s="53">
        <v>33.6</v>
      </c>
      <c r="R10" s="54">
        <v>19.4</v>
      </c>
      <c r="S10" s="55">
        <v>19</v>
      </c>
      <c r="T10" s="56">
        <v>351.66</v>
      </c>
      <c r="U10" s="49">
        <v>203</v>
      </c>
      <c r="V10" s="51">
        <v>23</v>
      </c>
      <c r="W10" s="55">
        <v>3</v>
      </c>
      <c r="X10" s="50">
        <v>0</v>
      </c>
      <c r="Y10" s="50">
        <v>0</v>
      </c>
      <c r="Z10" s="50">
        <v>0</v>
      </c>
      <c r="AA10" s="57">
        <v>2</v>
      </c>
      <c r="AB10" s="57">
        <v>1</v>
      </c>
      <c r="AC10" s="57">
        <f>SUM(W10:AB10)</f>
        <v>6</v>
      </c>
      <c r="AD10" s="58">
        <v>11</v>
      </c>
      <c r="AE10" s="59">
        <v>0</v>
      </c>
      <c r="AF10" s="59">
        <v>0</v>
      </c>
      <c r="AG10" s="59">
        <v>0</v>
      </c>
      <c r="AH10" s="60">
        <v>6.5</v>
      </c>
      <c r="AI10" s="60">
        <v>2.5</v>
      </c>
      <c r="AJ10" s="54">
        <f>SUM(AD10:AI10)</f>
        <v>20</v>
      </c>
    </row>
    <row r="11" s="3" customFormat="1" spans="1:36">
      <c r="A11" s="63" t="s">
        <v>126</v>
      </c>
      <c r="B11" s="64"/>
      <c r="C11" s="65">
        <f>SUM(C6:C10)</f>
        <v>9</v>
      </c>
      <c r="D11" s="66">
        <f>SUM(D6:D10)</f>
        <v>8</v>
      </c>
      <c r="E11" s="66">
        <f>SUM(E6:E10)</f>
        <v>1</v>
      </c>
      <c r="F11" s="66">
        <f>SUM(F6:F10)</f>
        <v>7</v>
      </c>
      <c r="G11" s="67">
        <f>SUM(G6:G10)</f>
        <v>0</v>
      </c>
      <c r="H11" s="68">
        <f t="shared" ref="H11:V11" si="0">SUM(H6:H10)</f>
        <v>9</v>
      </c>
      <c r="I11" s="66">
        <f t="shared" si="0"/>
        <v>7</v>
      </c>
      <c r="J11" s="66">
        <f t="shared" si="0"/>
        <v>4</v>
      </c>
      <c r="K11" s="66">
        <f t="shared" si="0"/>
        <v>3</v>
      </c>
      <c r="L11" s="68">
        <f t="shared" si="0"/>
        <v>0</v>
      </c>
      <c r="M11" s="69">
        <f t="shared" si="0"/>
        <v>3</v>
      </c>
      <c r="N11" s="66">
        <f t="shared" si="0"/>
        <v>0</v>
      </c>
      <c r="O11" s="66">
        <f t="shared" si="0"/>
        <v>0</v>
      </c>
      <c r="P11" s="67">
        <f t="shared" si="0"/>
        <v>1</v>
      </c>
      <c r="Q11" s="70">
        <f t="shared" si="0"/>
        <v>144.7</v>
      </c>
      <c r="R11" s="71">
        <f t="shared" si="0"/>
        <v>38.1</v>
      </c>
      <c r="S11" s="72">
        <f t="shared" si="0"/>
        <v>80</v>
      </c>
      <c r="T11" s="73">
        <f t="shared" si="0"/>
        <v>1515.56</v>
      </c>
      <c r="U11" s="65">
        <f t="shared" si="0"/>
        <v>3588</v>
      </c>
      <c r="V11" s="67">
        <f t="shared" si="0"/>
        <v>346</v>
      </c>
      <c r="W11" s="68">
        <f t="shared" ref="W11:AJ11" si="1">SUM(W6:W10)</f>
        <v>11</v>
      </c>
      <c r="X11" s="74">
        <f t="shared" si="1"/>
        <v>5</v>
      </c>
      <c r="Y11" s="74">
        <f t="shared" si="1"/>
        <v>6</v>
      </c>
      <c r="Z11" s="74">
        <f t="shared" si="1"/>
        <v>4</v>
      </c>
      <c r="AA11" s="74">
        <f t="shared" si="1"/>
        <v>16</v>
      </c>
      <c r="AB11" s="74">
        <f t="shared" si="1"/>
        <v>13</v>
      </c>
      <c r="AC11" s="74">
        <f t="shared" si="1"/>
        <v>55</v>
      </c>
      <c r="AD11" s="70">
        <f t="shared" si="1"/>
        <v>46.5</v>
      </c>
      <c r="AE11" s="75">
        <f t="shared" si="1"/>
        <v>26.5</v>
      </c>
      <c r="AF11" s="75">
        <f t="shared" si="1"/>
        <v>19.5</v>
      </c>
      <c r="AG11" s="75">
        <f t="shared" si="1"/>
        <v>16.5</v>
      </c>
      <c r="AH11" s="75">
        <f t="shared" si="1"/>
        <v>49.5</v>
      </c>
      <c r="AI11" s="75">
        <f t="shared" si="1"/>
        <v>31.5</v>
      </c>
      <c r="AJ11" s="71">
        <f t="shared" si="1"/>
        <v>190</v>
      </c>
    </row>
    <row r="12" spans="1:36">
      <c r="A12" s="29" t="s">
        <v>185</v>
      </c>
      <c r="B12" s="48">
        <v>46244</v>
      </c>
      <c r="C12" s="49">
        <v>4</v>
      </c>
      <c r="D12" s="50">
        <v>4</v>
      </c>
      <c r="E12" s="50">
        <v>1</v>
      </c>
      <c r="F12" s="50">
        <v>3</v>
      </c>
      <c r="G12" s="51">
        <v>0</v>
      </c>
      <c r="H12" s="52">
        <v>2</v>
      </c>
      <c r="I12" s="50">
        <v>2</v>
      </c>
      <c r="J12" s="50">
        <v>1</v>
      </c>
      <c r="K12" s="50">
        <v>1</v>
      </c>
      <c r="L12" s="52">
        <v>0</v>
      </c>
      <c r="M12" s="61">
        <v>1</v>
      </c>
      <c r="N12" s="50">
        <v>0</v>
      </c>
      <c r="O12" s="50">
        <v>1</v>
      </c>
      <c r="P12" s="51">
        <v>0</v>
      </c>
      <c r="Q12" s="53">
        <v>27.7</v>
      </c>
      <c r="R12" s="54">
        <v>9.6</v>
      </c>
      <c r="S12" s="55">
        <v>11</v>
      </c>
      <c r="T12" s="56">
        <v>199.54</v>
      </c>
      <c r="U12" s="49">
        <v>1671</v>
      </c>
      <c r="V12" s="51">
        <v>226</v>
      </c>
      <c r="W12" s="55">
        <v>3</v>
      </c>
      <c r="X12" s="50">
        <v>0</v>
      </c>
      <c r="Y12" s="50">
        <v>1</v>
      </c>
      <c r="Z12" s="50">
        <v>2</v>
      </c>
      <c r="AA12" s="57">
        <v>2</v>
      </c>
      <c r="AB12" s="57">
        <v>2</v>
      </c>
      <c r="AC12" s="57">
        <f>SUM(W12:AB12)</f>
        <v>10</v>
      </c>
      <c r="AD12" s="58">
        <v>14</v>
      </c>
      <c r="AE12" s="59">
        <v>0</v>
      </c>
      <c r="AF12" s="59">
        <v>5</v>
      </c>
      <c r="AG12" s="59">
        <v>6.5</v>
      </c>
      <c r="AH12" s="60">
        <v>4.5</v>
      </c>
      <c r="AI12" s="60">
        <v>10</v>
      </c>
      <c r="AJ12" s="54">
        <f>SUM(AD12:AI12)</f>
        <v>40</v>
      </c>
    </row>
    <row r="13" spans="1:36">
      <c r="A13" s="29"/>
      <c r="B13" s="48">
        <v>46245</v>
      </c>
      <c r="C13" s="49">
        <v>4</v>
      </c>
      <c r="D13" s="50">
        <v>4</v>
      </c>
      <c r="E13" s="50">
        <v>1</v>
      </c>
      <c r="F13" s="50">
        <v>3</v>
      </c>
      <c r="G13" s="51">
        <v>0</v>
      </c>
      <c r="H13" s="52">
        <v>1</v>
      </c>
      <c r="I13" s="50">
        <v>1</v>
      </c>
      <c r="J13" s="50">
        <v>1</v>
      </c>
      <c r="K13" s="50">
        <v>0</v>
      </c>
      <c r="L13" s="52">
        <v>0</v>
      </c>
      <c r="M13" s="61">
        <v>1</v>
      </c>
      <c r="N13" s="50">
        <v>0</v>
      </c>
      <c r="O13" s="50">
        <v>0</v>
      </c>
      <c r="P13" s="51">
        <v>0</v>
      </c>
      <c r="Q13" s="53">
        <v>27.7</v>
      </c>
      <c r="R13" s="54">
        <v>0</v>
      </c>
      <c r="S13" s="55">
        <v>3</v>
      </c>
      <c r="T13" s="56">
        <v>93.08</v>
      </c>
      <c r="U13" s="49">
        <v>1485</v>
      </c>
      <c r="V13" s="51">
        <v>39</v>
      </c>
      <c r="W13" s="55">
        <v>4</v>
      </c>
      <c r="X13" s="50">
        <v>2</v>
      </c>
      <c r="Y13" s="50">
        <v>2</v>
      </c>
      <c r="Z13" s="50">
        <v>1</v>
      </c>
      <c r="AA13" s="57">
        <v>5</v>
      </c>
      <c r="AB13" s="57">
        <v>4</v>
      </c>
      <c r="AC13" s="57">
        <f>SUM(W13:AB13)</f>
        <v>18</v>
      </c>
      <c r="AD13" s="58">
        <v>19.5</v>
      </c>
      <c r="AE13" s="59">
        <v>7</v>
      </c>
      <c r="AF13" s="59">
        <v>9.5</v>
      </c>
      <c r="AG13" s="59">
        <v>5</v>
      </c>
      <c r="AH13" s="60">
        <v>13</v>
      </c>
      <c r="AI13" s="60">
        <v>10</v>
      </c>
      <c r="AJ13" s="54">
        <f>SUM(AD13:AI13)</f>
        <v>64</v>
      </c>
    </row>
    <row r="14" spans="1:36">
      <c r="A14" s="29"/>
      <c r="B14" s="48">
        <v>46246</v>
      </c>
      <c r="C14" s="49">
        <v>3</v>
      </c>
      <c r="D14" s="50">
        <v>3</v>
      </c>
      <c r="E14" s="50">
        <v>1</v>
      </c>
      <c r="F14" s="50">
        <v>2</v>
      </c>
      <c r="G14" s="51">
        <v>0</v>
      </c>
      <c r="H14" s="52">
        <v>3</v>
      </c>
      <c r="I14" s="50">
        <v>3</v>
      </c>
      <c r="J14" s="50">
        <v>0</v>
      </c>
      <c r="K14" s="50">
        <v>3</v>
      </c>
      <c r="L14" s="52">
        <v>0</v>
      </c>
      <c r="M14" s="61">
        <v>2</v>
      </c>
      <c r="N14" s="50">
        <v>0</v>
      </c>
      <c r="O14" s="50">
        <v>1</v>
      </c>
      <c r="P14" s="51">
        <v>0</v>
      </c>
      <c r="Q14" s="53">
        <v>19.6</v>
      </c>
      <c r="R14" s="54">
        <v>0</v>
      </c>
      <c r="S14" s="55">
        <v>16</v>
      </c>
      <c r="T14" s="56">
        <v>256.05</v>
      </c>
      <c r="U14" s="49">
        <v>698</v>
      </c>
      <c r="V14" s="51">
        <v>74</v>
      </c>
      <c r="W14" s="55">
        <v>4</v>
      </c>
      <c r="X14" s="50">
        <v>0</v>
      </c>
      <c r="Y14" s="50">
        <v>1</v>
      </c>
      <c r="Z14" s="50">
        <v>2</v>
      </c>
      <c r="AA14" s="57">
        <v>5</v>
      </c>
      <c r="AB14" s="57">
        <v>1</v>
      </c>
      <c r="AC14" s="57">
        <f>SUM(W14:AB14)</f>
        <v>13</v>
      </c>
      <c r="AD14" s="58">
        <v>18.5</v>
      </c>
      <c r="AE14" s="59">
        <v>0</v>
      </c>
      <c r="AF14" s="59">
        <v>3</v>
      </c>
      <c r="AG14" s="59">
        <v>8</v>
      </c>
      <c r="AH14" s="60">
        <v>22</v>
      </c>
      <c r="AI14" s="60">
        <v>2.5</v>
      </c>
      <c r="AJ14" s="54">
        <f>SUM(AD14:AI14)</f>
        <v>54</v>
      </c>
    </row>
    <row r="15" spans="1:36">
      <c r="A15" s="29"/>
      <c r="B15" s="48">
        <v>46247</v>
      </c>
      <c r="C15" s="49">
        <v>4</v>
      </c>
      <c r="D15" s="50">
        <v>4</v>
      </c>
      <c r="E15" s="50">
        <v>1</v>
      </c>
      <c r="F15" s="50">
        <v>3</v>
      </c>
      <c r="G15" s="51">
        <v>0</v>
      </c>
      <c r="H15" s="55">
        <v>3</v>
      </c>
      <c r="I15" s="55">
        <v>3</v>
      </c>
      <c r="J15" s="50">
        <v>0</v>
      </c>
      <c r="K15" s="50">
        <v>3</v>
      </c>
      <c r="L15" s="57">
        <v>0</v>
      </c>
      <c r="M15" s="49">
        <v>0</v>
      </c>
      <c r="N15" s="50">
        <v>0</v>
      </c>
      <c r="O15" s="50">
        <v>1</v>
      </c>
      <c r="P15" s="51">
        <v>0</v>
      </c>
      <c r="Q15" s="53">
        <v>0</v>
      </c>
      <c r="R15" s="54">
        <v>0</v>
      </c>
      <c r="S15" s="55">
        <v>9</v>
      </c>
      <c r="T15" s="56">
        <v>243.37</v>
      </c>
      <c r="U15" s="49">
        <v>387</v>
      </c>
      <c r="V15" s="51">
        <v>28</v>
      </c>
      <c r="W15" s="55">
        <v>3</v>
      </c>
      <c r="X15" s="50">
        <v>1</v>
      </c>
      <c r="Y15" s="50">
        <v>2</v>
      </c>
      <c r="Z15" s="50">
        <v>1</v>
      </c>
      <c r="AA15" s="57">
        <v>5</v>
      </c>
      <c r="AB15" s="57">
        <v>4</v>
      </c>
      <c r="AC15" s="57">
        <f>SUM(W15:AB15)</f>
        <v>16</v>
      </c>
      <c r="AD15" s="58">
        <v>8</v>
      </c>
      <c r="AE15" s="59">
        <v>3</v>
      </c>
      <c r="AF15" s="59">
        <v>7</v>
      </c>
      <c r="AG15" s="59">
        <v>5</v>
      </c>
      <c r="AH15" s="60">
        <v>26</v>
      </c>
      <c r="AI15" s="60">
        <v>18.5</v>
      </c>
      <c r="AJ15" s="54">
        <f>SUM(AD15:AI15)</f>
        <v>67.5</v>
      </c>
    </row>
    <row r="16" spans="1:36">
      <c r="A16" s="29"/>
      <c r="B16" s="48">
        <v>46248</v>
      </c>
      <c r="C16" s="49">
        <v>3</v>
      </c>
      <c r="D16" s="50">
        <v>3</v>
      </c>
      <c r="E16" s="50">
        <v>1</v>
      </c>
      <c r="F16" s="50">
        <v>2</v>
      </c>
      <c r="G16" s="51">
        <v>0</v>
      </c>
      <c r="H16" s="55">
        <v>3</v>
      </c>
      <c r="I16" s="55">
        <v>3</v>
      </c>
      <c r="J16" s="50">
        <v>0</v>
      </c>
      <c r="K16" s="50">
        <v>3</v>
      </c>
      <c r="L16" s="57">
        <v>0</v>
      </c>
      <c r="M16" s="49">
        <v>0</v>
      </c>
      <c r="N16" s="50">
        <v>0</v>
      </c>
      <c r="O16" s="50">
        <v>0</v>
      </c>
      <c r="P16" s="51">
        <v>1</v>
      </c>
      <c r="Q16" s="77">
        <v>0</v>
      </c>
      <c r="R16" s="54">
        <v>0</v>
      </c>
      <c r="S16" s="78">
        <v>20</v>
      </c>
      <c r="T16" s="79">
        <v>426.1</v>
      </c>
      <c r="U16" s="80">
        <v>1891</v>
      </c>
      <c r="V16" s="81">
        <v>99</v>
      </c>
      <c r="W16" s="55">
        <v>2</v>
      </c>
      <c r="X16" s="50">
        <v>0</v>
      </c>
      <c r="Y16" s="50">
        <v>1</v>
      </c>
      <c r="Z16" s="50">
        <v>2</v>
      </c>
      <c r="AA16" s="57">
        <v>2</v>
      </c>
      <c r="AB16" s="57">
        <v>4</v>
      </c>
      <c r="AC16" s="57">
        <f>SUM(W16:AB16)</f>
        <v>11</v>
      </c>
      <c r="AD16" s="58">
        <v>9</v>
      </c>
      <c r="AE16" s="59">
        <v>0</v>
      </c>
      <c r="AF16" s="59">
        <v>5.5</v>
      </c>
      <c r="AG16" s="59">
        <v>7.5</v>
      </c>
      <c r="AH16" s="60">
        <v>10</v>
      </c>
      <c r="AI16" s="60">
        <v>20</v>
      </c>
      <c r="AJ16" s="54">
        <f>SUM(AD16:AI16)</f>
        <v>52</v>
      </c>
    </row>
    <row r="17" spans="1:36">
      <c r="A17" s="63" t="s">
        <v>126</v>
      </c>
      <c r="B17" s="64"/>
      <c r="C17" s="65">
        <f>SUM(C12:C16)</f>
        <v>18</v>
      </c>
      <c r="D17" s="66">
        <f>SUM(D12:D16)</f>
        <v>18</v>
      </c>
      <c r="E17" s="66">
        <f>SUM(E12:E16)</f>
        <v>5</v>
      </c>
      <c r="F17" s="66">
        <f>SUM(F12:F16)</f>
        <v>13</v>
      </c>
      <c r="G17" s="67">
        <f>SUM(G12:G16)</f>
        <v>0</v>
      </c>
      <c r="H17" s="72">
        <f t="shared" ref="H17:V17" si="2">SUM(H12:H16)</f>
        <v>12</v>
      </c>
      <c r="I17" s="66">
        <f t="shared" si="2"/>
        <v>12</v>
      </c>
      <c r="J17" s="66">
        <f t="shared" si="2"/>
        <v>2</v>
      </c>
      <c r="K17" s="66">
        <f t="shared" si="2"/>
        <v>10</v>
      </c>
      <c r="L17" s="74">
        <f t="shared" si="2"/>
        <v>0</v>
      </c>
      <c r="M17" s="65">
        <f t="shared" si="2"/>
        <v>4</v>
      </c>
      <c r="N17" s="66">
        <f t="shared" si="2"/>
        <v>0</v>
      </c>
      <c r="O17" s="66">
        <f t="shared" si="2"/>
        <v>3</v>
      </c>
      <c r="P17" s="67">
        <f t="shared" si="2"/>
        <v>1</v>
      </c>
      <c r="Q17" s="70">
        <f t="shared" si="2"/>
        <v>75</v>
      </c>
      <c r="R17" s="71">
        <f t="shared" si="2"/>
        <v>9.6</v>
      </c>
      <c r="S17" s="72">
        <f t="shared" si="2"/>
        <v>59</v>
      </c>
      <c r="T17" s="73">
        <f t="shared" si="2"/>
        <v>1218.14</v>
      </c>
      <c r="U17" s="65">
        <f t="shared" si="2"/>
        <v>6132</v>
      </c>
      <c r="V17" s="67">
        <f t="shared" si="2"/>
        <v>466</v>
      </c>
      <c r="W17" s="68">
        <f t="shared" ref="W17:AJ17" si="3">SUM(W12:W16)</f>
        <v>16</v>
      </c>
      <c r="X17" s="74">
        <f t="shared" si="3"/>
        <v>3</v>
      </c>
      <c r="Y17" s="74">
        <f t="shared" si="3"/>
        <v>7</v>
      </c>
      <c r="Z17" s="74">
        <f t="shared" si="3"/>
        <v>8</v>
      </c>
      <c r="AA17" s="74">
        <f t="shared" si="3"/>
        <v>19</v>
      </c>
      <c r="AB17" s="74">
        <f t="shared" si="3"/>
        <v>15</v>
      </c>
      <c r="AC17" s="74">
        <f t="shared" si="3"/>
        <v>68</v>
      </c>
      <c r="AD17" s="70">
        <f t="shared" si="3"/>
        <v>69</v>
      </c>
      <c r="AE17" s="75">
        <f t="shared" si="3"/>
        <v>10</v>
      </c>
      <c r="AF17" s="75">
        <f t="shared" si="3"/>
        <v>30</v>
      </c>
      <c r="AG17" s="75">
        <f t="shared" si="3"/>
        <v>32</v>
      </c>
      <c r="AH17" s="75">
        <f t="shared" si="3"/>
        <v>75.5</v>
      </c>
      <c r="AI17" s="75">
        <f t="shared" si="3"/>
        <v>61</v>
      </c>
      <c r="AJ17" s="71">
        <f t="shared" si="3"/>
        <v>277.5</v>
      </c>
    </row>
    <row r="18" spans="1:36">
      <c r="A18" s="29" t="s">
        <v>186</v>
      </c>
      <c r="B18" s="48">
        <v>46251</v>
      </c>
      <c r="C18" s="49">
        <v>3</v>
      </c>
      <c r="D18" s="50">
        <v>3</v>
      </c>
      <c r="E18" s="50">
        <v>1</v>
      </c>
      <c r="F18" s="50">
        <v>2</v>
      </c>
      <c r="G18" s="51">
        <v>0</v>
      </c>
      <c r="H18" s="55">
        <v>1</v>
      </c>
      <c r="I18" s="55">
        <v>1</v>
      </c>
      <c r="J18" s="50">
        <v>1</v>
      </c>
      <c r="K18" s="50">
        <v>0</v>
      </c>
      <c r="L18" s="57">
        <v>0</v>
      </c>
      <c r="M18" s="49">
        <v>1</v>
      </c>
      <c r="N18" s="50">
        <v>0</v>
      </c>
      <c r="O18" s="50">
        <v>0</v>
      </c>
      <c r="P18" s="51">
        <v>1</v>
      </c>
      <c r="Q18" s="53">
        <v>61.6</v>
      </c>
      <c r="R18" s="54">
        <v>13.5</v>
      </c>
      <c r="S18" s="55">
        <v>17</v>
      </c>
      <c r="T18" s="56">
        <v>265.74</v>
      </c>
      <c r="U18" s="49">
        <v>422</v>
      </c>
      <c r="V18" s="51">
        <v>67</v>
      </c>
      <c r="W18" s="55">
        <v>1</v>
      </c>
      <c r="X18" s="50">
        <v>1</v>
      </c>
      <c r="Y18" s="50">
        <v>1</v>
      </c>
      <c r="Z18" s="50">
        <v>0</v>
      </c>
      <c r="AA18" s="57">
        <v>1</v>
      </c>
      <c r="AB18" s="57">
        <v>2</v>
      </c>
      <c r="AC18" s="57">
        <f>SUM(W18:AB18)</f>
        <v>6</v>
      </c>
      <c r="AD18" s="58">
        <v>2.5</v>
      </c>
      <c r="AE18" s="59">
        <v>2</v>
      </c>
      <c r="AF18" s="59">
        <v>5</v>
      </c>
      <c r="AG18" s="59">
        <v>0</v>
      </c>
      <c r="AH18" s="60">
        <v>5</v>
      </c>
      <c r="AI18" s="60">
        <v>9.5</v>
      </c>
      <c r="AJ18" s="54">
        <f>SUM(AD18:AI18)</f>
        <v>24</v>
      </c>
    </row>
    <row r="19" spans="1:36">
      <c r="A19" s="29"/>
      <c r="B19" s="48">
        <v>46252</v>
      </c>
      <c r="C19" s="49">
        <v>3</v>
      </c>
      <c r="D19" s="50">
        <v>3</v>
      </c>
      <c r="E19" s="50">
        <v>1</v>
      </c>
      <c r="F19" s="50">
        <v>2</v>
      </c>
      <c r="G19" s="51">
        <v>0</v>
      </c>
      <c r="H19" s="55">
        <v>0</v>
      </c>
      <c r="I19" s="55">
        <v>0</v>
      </c>
      <c r="J19" s="50">
        <v>0</v>
      </c>
      <c r="K19" s="50">
        <v>0</v>
      </c>
      <c r="L19" s="57">
        <v>0</v>
      </c>
      <c r="M19" s="49">
        <v>1</v>
      </c>
      <c r="N19" s="50">
        <v>0</v>
      </c>
      <c r="O19" s="50">
        <v>0</v>
      </c>
      <c r="P19" s="51">
        <v>0</v>
      </c>
      <c r="Q19" s="53">
        <v>0</v>
      </c>
      <c r="R19" s="54">
        <v>0</v>
      </c>
      <c r="S19" s="55">
        <v>12</v>
      </c>
      <c r="T19" s="56">
        <v>177.09</v>
      </c>
      <c r="U19" s="49">
        <v>1704</v>
      </c>
      <c r="V19" s="51">
        <v>154</v>
      </c>
      <c r="W19" s="55">
        <v>2</v>
      </c>
      <c r="X19" s="50">
        <v>0</v>
      </c>
      <c r="Y19" s="50">
        <v>1</v>
      </c>
      <c r="Z19" s="50">
        <v>1</v>
      </c>
      <c r="AA19" s="57">
        <v>1</v>
      </c>
      <c r="AB19" s="57">
        <v>2</v>
      </c>
      <c r="AC19" s="57">
        <f>SUM(W19:AB19)</f>
        <v>7</v>
      </c>
      <c r="AD19" s="58">
        <v>7</v>
      </c>
      <c r="AE19" s="59">
        <v>0</v>
      </c>
      <c r="AF19" s="59">
        <v>5.5</v>
      </c>
      <c r="AG19" s="59">
        <v>4</v>
      </c>
      <c r="AH19" s="60">
        <v>5.5</v>
      </c>
      <c r="AI19" s="60">
        <v>9.5</v>
      </c>
      <c r="AJ19" s="54">
        <f>SUM(AD19:AI19)</f>
        <v>31.5</v>
      </c>
    </row>
    <row r="20" spans="1:36">
      <c r="A20" s="29"/>
      <c r="B20" s="48">
        <v>46253</v>
      </c>
      <c r="C20" s="49">
        <v>2</v>
      </c>
      <c r="D20" s="50">
        <v>2</v>
      </c>
      <c r="E20" s="50">
        <v>0</v>
      </c>
      <c r="F20" s="50">
        <v>2</v>
      </c>
      <c r="G20" s="51">
        <v>0</v>
      </c>
      <c r="H20" s="55">
        <v>3</v>
      </c>
      <c r="I20" s="55">
        <v>2</v>
      </c>
      <c r="J20" s="50">
        <v>0</v>
      </c>
      <c r="K20" s="50">
        <v>2</v>
      </c>
      <c r="L20" s="57">
        <v>0</v>
      </c>
      <c r="M20" s="49">
        <v>2</v>
      </c>
      <c r="N20" s="50">
        <v>0</v>
      </c>
      <c r="O20" s="50">
        <v>0</v>
      </c>
      <c r="P20" s="51">
        <v>0</v>
      </c>
      <c r="Q20" s="53">
        <v>0</v>
      </c>
      <c r="R20" s="54">
        <v>0</v>
      </c>
      <c r="S20" s="55">
        <v>14</v>
      </c>
      <c r="T20" s="56">
        <v>352.35</v>
      </c>
      <c r="U20" s="82">
        <v>1876</v>
      </c>
      <c r="V20" s="51">
        <v>41</v>
      </c>
      <c r="W20" s="55">
        <v>4</v>
      </c>
      <c r="X20" s="50">
        <v>1</v>
      </c>
      <c r="Y20" s="50">
        <v>2</v>
      </c>
      <c r="Z20" s="50">
        <v>2</v>
      </c>
      <c r="AA20" s="57">
        <v>1</v>
      </c>
      <c r="AB20" s="57">
        <v>4</v>
      </c>
      <c r="AC20" s="57">
        <f>SUM(W20:AB20)</f>
        <v>14</v>
      </c>
      <c r="AD20" s="58">
        <v>18</v>
      </c>
      <c r="AE20" s="59">
        <v>4</v>
      </c>
      <c r="AF20" s="59">
        <v>5</v>
      </c>
      <c r="AG20" s="59">
        <v>5</v>
      </c>
      <c r="AH20" s="60">
        <v>4.5</v>
      </c>
      <c r="AI20" s="60">
        <v>17.5</v>
      </c>
      <c r="AJ20" s="54">
        <f>SUM(AD20:AI20)</f>
        <v>54</v>
      </c>
    </row>
    <row r="21" spans="1:36">
      <c r="A21" s="29"/>
      <c r="B21" s="48">
        <v>46254</v>
      </c>
      <c r="C21" s="49">
        <v>0</v>
      </c>
      <c r="D21" s="50">
        <v>0</v>
      </c>
      <c r="E21" s="50">
        <v>0</v>
      </c>
      <c r="F21" s="50">
        <v>0</v>
      </c>
      <c r="G21" s="51">
        <v>0</v>
      </c>
      <c r="H21" s="55">
        <v>2</v>
      </c>
      <c r="I21" s="55">
        <v>1</v>
      </c>
      <c r="J21" s="50">
        <v>0</v>
      </c>
      <c r="K21" s="50">
        <v>1</v>
      </c>
      <c r="L21" s="57">
        <v>0</v>
      </c>
      <c r="M21" s="49">
        <v>1</v>
      </c>
      <c r="N21" s="50">
        <v>0</v>
      </c>
      <c r="O21" s="50">
        <v>0</v>
      </c>
      <c r="P21" s="51">
        <v>0</v>
      </c>
      <c r="Q21" s="53">
        <v>40.1</v>
      </c>
      <c r="R21" s="54">
        <v>15.7</v>
      </c>
      <c r="S21" s="55">
        <v>15</v>
      </c>
      <c r="T21" s="56">
        <v>194.08</v>
      </c>
      <c r="U21" s="49">
        <v>698</v>
      </c>
      <c r="V21" s="51">
        <v>47</v>
      </c>
      <c r="W21" s="55">
        <v>4</v>
      </c>
      <c r="X21" s="50">
        <v>1</v>
      </c>
      <c r="Y21" s="50">
        <v>0</v>
      </c>
      <c r="Z21" s="50">
        <v>0</v>
      </c>
      <c r="AA21" s="57">
        <v>5</v>
      </c>
      <c r="AB21" s="57">
        <v>2</v>
      </c>
      <c r="AC21" s="57">
        <f>SUM(W21:AB21)</f>
        <v>12</v>
      </c>
      <c r="AD21" s="58">
        <v>15.5</v>
      </c>
      <c r="AE21" s="59">
        <v>2.5</v>
      </c>
      <c r="AF21" s="59">
        <v>0</v>
      </c>
      <c r="AG21" s="59">
        <v>0</v>
      </c>
      <c r="AH21" s="60">
        <v>17</v>
      </c>
      <c r="AI21" s="60">
        <v>6</v>
      </c>
      <c r="AJ21" s="54">
        <f>SUM(AD21:AI21)</f>
        <v>41</v>
      </c>
    </row>
    <row r="22" spans="1:36">
      <c r="A22" s="29"/>
      <c r="B22" s="48">
        <v>46255</v>
      </c>
      <c r="C22" s="49">
        <v>0</v>
      </c>
      <c r="D22" s="50">
        <v>0</v>
      </c>
      <c r="E22" s="50">
        <v>0</v>
      </c>
      <c r="F22" s="50">
        <v>0</v>
      </c>
      <c r="G22" s="51">
        <v>0</v>
      </c>
      <c r="H22" s="55">
        <v>0</v>
      </c>
      <c r="I22" s="55">
        <v>0</v>
      </c>
      <c r="J22" s="50">
        <v>0</v>
      </c>
      <c r="K22" s="50">
        <v>0</v>
      </c>
      <c r="L22" s="57">
        <v>0</v>
      </c>
      <c r="M22" s="49">
        <v>0</v>
      </c>
      <c r="N22" s="50">
        <v>1</v>
      </c>
      <c r="O22" s="50">
        <v>0</v>
      </c>
      <c r="P22" s="51">
        <v>0</v>
      </c>
      <c r="Q22" s="77">
        <v>26.3</v>
      </c>
      <c r="R22" s="54">
        <v>11.6</v>
      </c>
      <c r="S22" s="78">
        <v>5</v>
      </c>
      <c r="T22" s="79">
        <v>121.78</v>
      </c>
      <c r="U22" s="80">
        <v>542</v>
      </c>
      <c r="V22" s="81">
        <v>61</v>
      </c>
      <c r="W22" s="55">
        <v>1</v>
      </c>
      <c r="X22" s="50">
        <v>0</v>
      </c>
      <c r="Y22" s="50">
        <v>0</v>
      </c>
      <c r="Z22" s="50">
        <v>1</v>
      </c>
      <c r="AA22" s="57">
        <v>2</v>
      </c>
      <c r="AB22" s="57">
        <v>2</v>
      </c>
      <c r="AC22" s="57">
        <f>SUM(W22:AB22)</f>
        <v>6</v>
      </c>
      <c r="AD22" s="58">
        <v>2.5</v>
      </c>
      <c r="AE22" s="59">
        <v>0</v>
      </c>
      <c r="AF22" s="59">
        <v>0</v>
      </c>
      <c r="AG22" s="59">
        <v>3.5</v>
      </c>
      <c r="AH22" s="60">
        <v>7.5</v>
      </c>
      <c r="AI22" s="60">
        <v>6</v>
      </c>
      <c r="AJ22" s="54">
        <f>SUM(AD22:AI22)</f>
        <v>19.5</v>
      </c>
    </row>
    <row r="23" spans="1:36">
      <c r="A23" s="63" t="s">
        <v>126</v>
      </c>
      <c r="B23" s="64"/>
      <c r="C23" s="65">
        <f>SUM(C18:C22)</f>
        <v>8</v>
      </c>
      <c r="D23" s="66">
        <f>SUM(D18:D22)</f>
        <v>8</v>
      </c>
      <c r="E23" s="66">
        <f>SUM(E18:E22)</f>
        <v>2</v>
      </c>
      <c r="F23" s="66">
        <f>SUM(F18:F22)</f>
        <v>6</v>
      </c>
      <c r="G23" s="67">
        <f>SUM(G18:G22)</f>
        <v>0</v>
      </c>
      <c r="H23" s="72">
        <f t="shared" ref="H23:V23" si="4">SUM(H18:H22)</f>
        <v>6</v>
      </c>
      <c r="I23" s="66">
        <f t="shared" si="4"/>
        <v>4</v>
      </c>
      <c r="J23" s="66">
        <f t="shared" si="4"/>
        <v>1</v>
      </c>
      <c r="K23" s="66">
        <f t="shared" si="4"/>
        <v>3</v>
      </c>
      <c r="L23" s="74">
        <f t="shared" si="4"/>
        <v>0</v>
      </c>
      <c r="M23" s="65">
        <f t="shared" si="4"/>
        <v>5</v>
      </c>
      <c r="N23" s="66">
        <f t="shared" si="4"/>
        <v>1</v>
      </c>
      <c r="O23" s="66">
        <f t="shared" si="4"/>
        <v>0</v>
      </c>
      <c r="P23" s="67">
        <f t="shared" si="4"/>
        <v>1</v>
      </c>
      <c r="Q23" s="70">
        <f t="shared" si="4"/>
        <v>128</v>
      </c>
      <c r="R23" s="71">
        <f t="shared" si="4"/>
        <v>40.8</v>
      </c>
      <c r="S23" s="72">
        <f t="shared" si="4"/>
        <v>63</v>
      </c>
      <c r="T23" s="73">
        <f t="shared" si="4"/>
        <v>1111.04</v>
      </c>
      <c r="U23" s="65">
        <f t="shared" si="4"/>
        <v>5242</v>
      </c>
      <c r="V23" s="67">
        <f t="shared" si="4"/>
        <v>370</v>
      </c>
      <c r="W23" s="68">
        <f t="shared" ref="W23:AJ23" si="5">SUM(W18:W22)</f>
        <v>12</v>
      </c>
      <c r="X23" s="74">
        <f t="shared" si="5"/>
        <v>3</v>
      </c>
      <c r="Y23" s="74">
        <f t="shared" si="5"/>
        <v>4</v>
      </c>
      <c r="Z23" s="74">
        <f t="shared" si="5"/>
        <v>4</v>
      </c>
      <c r="AA23" s="74">
        <f t="shared" si="5"/>
        <v>10</v>
      </c>
      <c r="AB23" s="74">
        <f t="shared" si="5"/>
        <v>12</v>
      </c>
      <c r="AC23" s="74">
        <f t="shared" si="5"/>
        <v>45</v>
      </c>
      <c r="AD23" s="70">
        <f t="shared" si="5"/>
        <v>45.5</v>
      </c>
      <c r="AE23" s="75">
        <f t="shared" si="5"/>
        <v>8.5</v>
      </c>
      <c r="AF23" s="75">
        <f t="shared" si="5"/>
        <v>15.5</v>
      </c>
      <c r="AG23" s="75">
        <f t="shared" si="5"/>
        <v>12.5</v>
      </c>
      <c r="AH23" s="75">
        <f t="shared" si="5"/>
        <v>39.5</v>
      </c>
      <c r="AI23" s="75">
        <f t="shared" si="5"/>
        <v>48.5</v>
      </c>
      <c r="AJ23" s="71">
        <f t="shared" si="5"/>
        <v>170</v>
      </c>
    </row>
    <row r="24" spans="1:36">
      <c r="A24" s="29" t="s">
        <v>187</v>
      </c>
      <c r="B24" s="48">
        <v>46258</v>
      </c>
      <c r="C24" s="49">
        <v>2</v>
      </c>
      <c r="D24" s="50">
        <v>2</v>
      </c>
      <c r="E24" s="50">
        <v>0</v>
      </c>
      <c r="F24" s="50">
        <v>2</v>
      </c>
      <c r="G24" s="51">
        <v>0</v>
      </c>
      <c r="H24" s="55">
        <v>2</v>
      </c>
      <c r="I24" s="55">
        <v>1</v>
      </c>
      <c r="J24" s="50">
        <v>1</v>
      </c>
      <c r="K24" s="50">
        <v>0</v>
      </c>
      <c r="L24" s="57">
        <v>0</v>
      </c>
      <c r="M24" s="49">
        <v>2</v>
      </c>
      <c r="N24" s="50">
        <v>0</v>
      </c>
      <c r="O24" s="50">
        <v>0</v>
      </c>
      <c r="P24" s="51">
        <v>0</v>
      </c>
      <c r="Q24" s="53">
        <v>50</v>
      </c>
      <c r="R24" s="54">
        <v>0</v>
      </c>
      <c r="S24" s="55">
        <v>12</v>
      </c>
      <c r="T24" s="56">
        <v>239.35</v>
      </c>
      <c r="U24" s="49">
        <v>845</v>
      </c>
      <c r="V24" s="51">
        <v>76</v>
      </c>
      <c r="W24" s="55">
        <v>2</v>
      </c>
      <c r="X24" s="50">
        <v>0</v>
      </c>
      <c r="Y24" s="50">
        <v>2</v>
      </c>
      <c r="Z24" s="50">
        <v>1</v>
      </c>
      <c r="AA24" s="57">
        <v>2</v>
      </c>
      <c r="AB24" s="57">
        <v>2</v>
      </c>
      <c r="AC24" s="57">
        <f>SUM(W24:AB24)</f>
        <v>9</v>
      </c>
      <c r="AD24" s="58">
        <v>7</v>
      </c>
      <c r="AE24" s="59">
        <v>0</v>
      </c>
      <c r="AF24" s="59">
        <v>10.5</v>
      </c>
      <c r="AG24" s="59">
        <v>3</v>
      </c>
      <c r="AH24" s="60">
        <v>7</v>
      </c>
      <c r="AI24" s="60">
        <v>10</v>
      </c>
      <c r="AJ24" s="54">
        <f>SUM(AD24:AI24)</f>
        <v>37.5</v>
      </c>
    </row>
    <row r="25" spans="1:36">
      <c r="A25" s="29"/>
      <c r="B25" s="48">
        <v>46259</v>
      </c>
      <c r="C25" s="49">
        <v>0</v>
      </c>
      <c r="D25" s="50">
        <v>0</v>
      </c>
      <c r="E25" s="50">
        <v>0</v>
      </c>
      <c r="F25" s="50">
        <v>0</v>
      </c>
      <c r="G25" s="51">
        <v>0</v>
      </c>
      <c r="H25" s="55">
        <v>3</v>
      </c>
      <c r="I25" s="55">
        <v>3</v>
      </c>
      <c r="J25" s="50">
        <v>1</v>
      </c>
      <c r="K25" s="50">
        <v>2</v>
      </c>
      <c r="L25" s="57">
        <v>0</v>
      </c>
      <c r="M25" s="49">
        <v>1</v>
      </c>
      <c r="N25" s="50">
        <v>0</v>
      </c>
      <c r="O25" s="50">
        <v>1</v>
      </c>
      <c r="P25" s="51">
        <v>0</v>
      </c>
      <c r="Q25" s="53">
        <v>64</v>
      </c>
      <c r="R25" s="54">
        <v>11.2</v>
      </c>
      <c r="S25" s="55">
        <v>22</v>
      </c>
      <c r="T25" s="56">
        <v>276.37</v>
      </c>
      <c r="U25" s="49">
        <v>300</v>
      </c>
      <c r="V25" s="51">
        <v>30</v>
      </c>
      <c r="W25" s="55">
        <v>4</v>
      </c>
      <c r="X25" s="50">
        <v>1</v>
      </c>
      <c r="Y25" s="50">
        <v>0</v>
      </c>
      <c r="Z25" s="50">
        <v>1</v>
      </c>
      <c r="AA25" s="57">
        <v>2</v>
      </c>
      <c r="AB25" s="57">
        <v>3</v>
      </c>
      <c r="AC25" s="57">
        <f>SUM(W25:AB25)</f>
        <v>11</v>
      </c>
      <c r="AD25" s="58">
        <v>13.5</v>
      </c>
      <c r="AE25" s="59">
        <v>3.5</v>
      </c>
      <c r="AF25" s="59">
        <v>0</v>
      </c>
      <c r="AG25" s="59">
        <v>3</v>
      </c>
      <c r="AH25" s="60">
        <v>8.5</v>
      </c>
      <c r="AI25" s="60">
        <v>6.5</v>
      </c>
      <c r="AJ25" s="54">
        <f>SUM(AD25:AI25)</f>
        <v>35</v>
      </c>
    </row>
    <row r="26" spans="1:36">
      <c r="A26" s="29"/>
      <c r="B26" s="48">
        <v>46260</v>
      </c>
      <c r="C26" s="49">
        <v>3</v>
      </c>
      <c r="D26" s="50">
        <v>3</v>
      </c>
      <c r="E26" s="50">
        <v>0</v>
      </c>
      <c r="F26" s="50">
        <v>3</v>
      </c>
      <c r="G26" s="51">
        <v>0</v>
      </c>
      <c r="H26" s="55">
        <v>3</v>
      </c>
      <c r="I26" s="55">
        <v>3</v>
      </c>
      <c r="J26" s="50">
        <v>0</v>
      </c>
      <c r="K26" s="50">
        <v>3</v>
      </c>
      <c r="L26" s="57">
        <v>0</v>
      </c>
      <c r="M26" s="49">
        <v>0</v>
      </c>
      <c r="N26" s="50">
        <v>0</v>
      </c>
      <c r="O26" s="50">
        <v>0</v>
      </c>
      <c r="P26" s="51">
        <v>0</v>
      </c>
      <c r="Q26" s="53">
        <v>56.5</v>
      </c>
      <c r="R26" s="54">
        <v>0</v>
      </c>
      <c r="S26" s="55">
        <v>17</v>
      </c>
      <c r="T26" s="56">
        <v>283.27</v>
      </c>
      <c r="U26" s="49">
        <v>248</v>
      </c>
      <c r="V26" s="51">
        <v>24</v>
      </c>
      <c r="W26" s="55">
        <v>1</v>
      </c>
      <c r="X26" s="50">
        <v>1</v>
      </c>
      <c r="Y26" s="50">
        <v>2</v>
      </c>
      <c r="Z26" s="50">
        <v>2</v>
      </c>
      <c r="AA26" s="57">
        <v>1</v>
      </c>
      <c r="AB26" s="57">
        <v>4</v>
      </c>
      <c r="AC26" s="57">
        <f>SUM(W26:AB26)</f>
        <v>11</v>
      </c>
      <c r="AD26" s="58">
        <v>3.5</v>
      </c>
      <c r="AE26" s="59">
        <v>2.5</v>
      </c>
      <c r="AF26" s="59">
        <v>7</v>
      </c>
      <c r="AG26" s="59">
        <v>10.5</v>
      </c>
      <c r="AH26" s="60">
        <v>4</v>
      </c>
      <c r="AI26" s="60">
        <v>10.5</v>
      </c>
      <c r="AJ26" s="54">
        <f>SUM(AD26:AI26)</f>
        <v>38</v>
      </c>
    </row>
    <row r="27" spans="1:36">
      <c r="A27" s="29"/>
      <c r="B27" s="48">
        <v>46261</v>
      </c>
      <c r="C27" s="49">
        <v>4</v>
      </c>
      <c r="D27" s="50">
        <v>3</v>
      </c>
      <c r="E27" s="50">
        <v>0</v>
      </c>
      <c r="F27" s="50">
        <v>3</v>
      </c>
      <c r="G27" s="51">
        <v>0</v>
      </c>
      <c r="H27" s="55">
        <v>2</v>
      </c>
      <c r="I27" s="55">
        <v>1</v>
      </c>
      <c r="J27" s="50">
        <v>0</v>
      </c>
      <c r="K27" s="50">
        <v>1</v>
      </c>
      <c r="L27" s="57">
        <v>0</v>
      </c>
      <c r="M27" s="49">
        <v>0</v>
      </c>
      <c r="N27" s="50">
        <v>0</v>
      </c>
      <c r="O27" s="50">
        <v>1</v>
      </c>
      <c r="P27" s="51">
        <v>0</v>
      </c>
      <c r="Q27" s="53">
        <v>32.8</v>
      </c>
      <c r="R27" s="54">
        <v>0</v>
      </c>
      <c r="S27" s="55">
        <v>4</v>
      </c>
      <c r="T27" s="56">
        <v>94.61</v>
      </c>
      <c r="U27" s="49">
        <v>2078</v>
      </c>
      <c r="V27" s="51">
        <v>295</v>
      </c>
      <c r="W27" s="55">
        <v>1</v>
      </c>
      <c r="X27" s="50">
        <v>0</v>
      </c>
      <c r="Y27" s="50">
        <v>2</v>
      </c>
      <c r="Z27" s="50">
        <v>2</v>
      </c>
      <c r="AA27" s="57">
        <v>5</v>
      </c>
      <c r="AB27" s="57">
        <v>4</v>
      </c>
      <c r="AC27" s="57">
        <f>SUM(W27:AB27)</f>
        <v>14</v>
      </c>
      <c r="AD27" s="58">
        <v>5</v>
      </c>
      <c r="AE27" s="59">
        <v>0</v>
      </c>
      <c r="AF27" s="59">
        <v>7.5</v>
      </c>
      <c r="AG27" s="59">
        <v>10.5</v>
      </c>
      <c r="AH27" s="60">
        <v>25.5</v>
      </c>
      <c r="AI27" s="60">
        <v>17.5</v>
      </c>
      <c r="AJ27" s="54">
        <f>SUM(AD27:AI27)</f>
        <v>66</v>
      </c>
    </row>
    <row r="28" spans="1:36">
      <c r="A28" s="29"/>
      <c r="B28" s="48">
        <v>46262</v>
      </c>
      <c r="C28" s="49">
        <v>0</v>
      </c>
      <c r="D28" s="50">
        <v>0</v>
      </c>
      <c r="E28" s="50">
        <v>0</v>
      </c>
      <c r="F28" s="50">
        <v>0</v>
      </c>
      <c r="G28" s="51">
        <v>0</v>
      </c>
      <c r="H28" s="55">
        <v>1</v>
      </c>
      <c r="I28" s="55">
        <v>1</v>
      </c>
      <c r="J28" s="50">
        <v>0</v>
      </c>
      <c r="K28" s="50">
        <v>1</v>
      </c>
      <c r="L28" s="57">
        <v>0</v>
      </c>
      <c r="M28" s="49">
        <v>0</v>
      </c>
      <c r="N28" s="50">
        <v>0</v>
      </c>
      <c r="O28" s="50">
        <v>1</v>
      </c>
      <c r="P28" s="51">
        <v>1</v>
      </c>
      <c r="Q28" s="77">
        <v>9.9</v>
      </c>
      <c r="R28" s="54">
        <v>0</v>
      </c>
      <c r="S28" s="78">
        <v>18</v>
      </c>
      <c r="T28" s="79">
        <v>226.35</v>
      </c>
      <c r="U28" s="80">
        <v>417</v>
      </c>
      <c r="V28" s="81">
        <v>25</v>
      </c>
      <c r="W28" s="55">
        <v>4</v>
      </c>
      <c r="X28" s="50">
        <v>2</v>
      </c>
      <c r="Y28" s="50">
        <v>2</v>
      </c>
      <c r="Z28" s="50">
        <v>0</v>
      </c>
      <c r="AA28" s="57">
        <v>5</v>
      </c>
      <c r="AB28" s="57">
        <v>4</v>
      </c>
      <c r="AC28" s="57">
        <f>SUM(W28:AB28)</f>
        <v>17</v>
      </c>
      <c r="AD28" s="58">
        <v>13.5</v>
      </c>
      <c r="AE28" s="59">
        <v>4</v>
      </c>
      <c r="AF28" s="59">
        <v>10</v>
      </c>
      <c r="AG28" s="59">
        <v>0</v>
      </c>
      <c r="AH28" s="60">
        <v>24.5</v>
      </c>
      <c r="AI28" s="60">
        <v>20</v>
      </c>
      <c r="AJ28" s="54">
        <f>SUM(AD28:AI28)</f>
        <v>72</v>
      </c>
    </row>
    <row r="29" spans="1:36">
      <c r="A29" s="63" t="s">
        <v>126</v>
      </c>
      <c r="B29" s="64"/>
      <c r="C29" s="65">
        <f>SUM(C24:C28)</f>
        <v>9</v>
      </c>
      <c r="D29" s="66">
        <f>SUM(D24:D28)</f>
        <v>8</v>
      </c>
      <c r="E29" s="66">
        <f>SUM(E24:E28)</f>
        <v>0</v>
      </c>
      <c r="F29" s="66">
        <f>SUM(F24:F28)</f>
        <v>8</v>
      </c>
      <c r="G29" s="67">
        <f>SUM(G24:G28)</f>
        <v>0</v>
      </c>
      <c r="H29" s="72">
        <f t="shared" ref="H29:V29" si="6">SUM(H24:H28)</f>
        <v>11</v>
      </c>
      <c r="I29" s="66">
        <f t="shared" si="6"/>
        <v>9</v>
      </c>
      <c r="J29" s="66">
        <f t="shared" si="6"/>
        <v>2</v>
      </c>
      <c r="K29" s="66">
        <f t="shared" si="6"/>
        <v>7</v>
      </c>
      <c r="L29" s="74">
        <f t="shared" si="6"/>
        <v>0</v>
      </c>
      <c r="M29" s="65">
        <f t="shared" si="6"/>
        <v>3</v>
      </c>
      <c r="N29" s="66">
        <f t="shared" si="6"/>
        <v>0</v>
      </c>
      <c r="O29" s="66">
        <f t="shared" si="6"/>
        <v>3</v>
      </c>
      <c r="P29" s="67">
        <f t="shared" si="6"/>
        <v>1</v>
      </c>
      <c r="Q29" s="70">
        <f t="shared" si="6"/>
        <v>213.2</v>
      </c>
      <c r="R29" s="71">
        <f t="shared" si="6"/>
        <v>11.2</v>
      </c>
      <c r="S29" s="72">
        <f t="shared" si="6"/>
        <v>73</v>
      </c>
      <c r="T29" s="73">
        <f t="shared" si="6"/>
        <v>1119.95</v>
      </c>
      <c r="U29" s="65">
        <f t="shared" si="6"/>
        <v>3888</v>
      </c>
      <c r="V29" s="67">
        <f t="shared" si="6"/>
        <v>450</v>
      </c>
      <c r="W29" s="68">
        <f t="shared" ref="W29:AJ29" si="7">SUM(W24:W28)</f>
        <v>12</v>
      </c>
      <c r="X29" s="74">
        <f t="shared" si="7"/>
        <v>4</v>
      </c>
      <c r="Y29" s="74">
        <f t="shared" si="7"/>
        <v>8</v>
      </c>
      <c r="Z29" s="74">
        <f t="shared" si="7"/>
        <v>6</v>
      </c>
      <c r="AA29" s="74">
        <f t="shared" si="7"/>
        <v>15</v>
      </c>
      <c r="AB29" s="74">
        <f t="shared" si="7"/>
        <v>17</v>
      </c>
      <c r="AC29" s="74">
        <f t="shared" si="7"/>
        <v>62</v>
      </c>
      <c r="AD29" s="70">
        <f t="shared" si="7"/>
        <v>42.5</v>
      </c>
      <c r="AE29" s="75">
        <f t="shared" si="7"/>
        <v>10</v>
      </c>
      <c r="AF29" s="75">
        <f t="shared" si="7"/>
        <v>35</v>
      </c>
      <c r="AG29" s="75">
        <f t="shared" si="7"/>
        <v>27</v>
      </c>
      <c r="AH29" s="75">
        <f t="shared" si="7"/>
        <v>69.5</v>
      </c>
      <c r="AI29" s="75">
        <f t="shared" si="7"/>
        <v>64.5</v>
      </c>
      <c r="AJ29" s="71">
        <f t="shared" si="7"/>
        <v>248.5</v>
      </c>
    </row>
    <row r="30" spans="1:36">
      <c r="A30" s="29" t="s">
        <v>188</v>
      </c>
      <c r="B30" s="48">
        <v>46265</v>
      </c>
      <c r="C30" s="49">
        <v>2</v>
      </c>
      <c r="D30" s="50">
        <v>2</v>
      </c>
      <c r="E30" s="50">
        <v>1</v>
      </c>
      <c r="F30" s="50">
        <v>1</v>
      </c>
      <c r="G30" s="51">
        <v>0</v>
      </c>
      <c r="H30" s="55">
        <v>2</v>
      </c>
      <c r="I30" s="55">
        <v>1</v>
      </c>
      <c r="J30" s="50">
        <v>0</v>
      </c>
      <c r="K30" s="50">
        <v>1</v>
      </c>
      <c r="L30" s="57">
        <v>0</v>
      </c>
      <c r="M30" s="49">
        <v>1</v>
      </c>
      <c r="N30" s="50">
        <v>1</v>
      </c>
      <c r="O30" s="50">
        <v>0</v>
      </c>
      <c r="P30" s="51">
        <v>0</v>
      </c>
      <c r="Q30" s="53">
        <v>18.2</v>
      </c>
      <c r="R30" s="54">
        <v>0</v>
      </c>
      <c r="S30" s="55">
        <v>11</v>
      </c>
      <c r="T30" s="56">
        <v>208.35</v>
      </c>
      <c r="U30" s="49">
        <v>1509</v>
      </c>
      <c r="V30" s="51">
        <v>39</v>
      </c>
      <c r="W30" s="55">
        <v>3</v>
      </c>
      <c r="X30" s="50">
        <v>2</v>
      </c>
      <c r="Y30" s="50">
        <v>1</v>
      </c>
      <c r="Z30" s="50">
        <v>1</v>
      </c>
      <c r="AA30" s="57">
        <v>4</v>
      </c>
      <c r="AB30" s="57">
        <v>4</v>
      </c>
      <c r="AC30" s="57">
        <f>SUM(W30:AB30)</f>
        <v>15</v>
      </c>
      <c r="AD30" s="58">
        <v>10</v>
      </c>
      <c r="AE30" s="59">
        <v>6.5</v>
      </c>
      <c r="AF30" s="59">
        <v>4</v>
      </c>
      <c r="AG30" s="59">
        <v>5.5</v>
      </c>
      <c r="AH30" s="60">
        <v>11.5</v>
      </c>
      <c r="AI30" s="60">
        <v>18</v>
      </c>
      <c r="AJ30" s="54">
        <f>SUM(AD30:AI30)</f>
        <v>55.5</v>
      </c>
    </row>
    <row r="31" spans="1:36">
      <c r="A31" s="29"/>
      <c r="B31" s="61"/>
      <c r="C31" s="49"/>
      <c r="D31" s="50"/>
      <c r="E31" s="50"/>
      <c r="F31" s="50"/>
      <c r="G31" s="51"/>
      <c r="H31" s="55"/>
      <c r="I31" s="55"/>
      <c r="J31" s="50"/>
      <c r="K31" s="50"/>
      <c r="L31" s="57"/>
      <c r="M31" s="49"/>
      <c r="N31" s="50"/>
      <c r="O31" s="50"/>
      <c r="P31" s="51"/>
      <c r="Q31" s="53"/>
      <c r="R31" s="54"/>
      <c r="S31" s="55"/>
      <c r="T31" s="56"/>
      <c r="U31" s="49"/>
      <c r="V31" s="51"/>
      <c r="W31" s="55"/>
      <c r="X31" s="50"/>
      <c r="Y31" s="50"/>
      <c r="Z31" s="50"/>
      <c r="AA31" s="57"/>
      <c r="AB31" s="57"/>
      <c r="AC31" s="57">
        <f>SUM(W31:AB31)</f>
        <v>0</v>
      </c>
      <c r="AD31" s="58"/>
      <c r="AE31" s="59"/>
      <c r="AF31" s="59"/>
      <c r="AG31" s="59"/>
      <c r="AH31" s="60"/>
      <c r="AI31" s="60"/>
      <c r="AJ31" s="54">
        <f>SUM(AD31:AI31)</f>
        <v>0</v>
      </c>
    </row>
    <row r="32" spans="1:36">
      <c r="A32" s="29"/>
      <c r="B32" s="61"/>
      <c r="C32" s="49"/>
      <c r="D32" s="50"/>
      <c r="E32" s="50"/>
      <c r="F32" s="50"/>
      <c r="G32" s="51"/>
      <c r="H32" s="55"/>
      <c r="I32" s="55"/>
      <c r="J32" s="50"/>
      <c r="K32" s="50"/>
      <c r="L32" s="57"/>
      <c r="M32" s="49"/>
      <c r="N32" s="50"/>
      <c r="O32" s="50"/>
      <c r="P32" s="51"/>
      <c r="Q32" s="53"/>
      <c r="R32" s="54"/>
      <c r="S32" s="55"/>
      <c r="T32" s="56"/>
      <c r="U32" s="49"/>
      <c r="V32" s="51"/>
      <c r="W32" s="55"/>
      <c r="X32" s="50"/>
      <c r="Y32" s="50"/>
      <c r="Z32" s="50"/>
      <c r="AA32" s="57"/>
      <c r="AB32" s="57"/>
      <c r="AC32" s="57">
        <f>SUM(W32:AB32)</f>
        <v>0</v>
      </c>
      <c r="AD32" s="58"/>
      <c r="AE32" s="59"/>
      <c r="AF32" s="59"/>
      <c r="AG32" s="59"/>
      <c r="AH32" s="60"/>
      <c r="AI32" s="60"/>
      <c r="AJ32" s="54">
        <f>SUM(AD32:AI32)</f>
        <v>0</v>
      </c>
    </row>
    <row r="33" spans="1:36">
      <c r="A33" s="29"/>
      <c r="B33" s="61"/>
      <c r="C33" s="49"/>
      <c r="D33" s="50"/>
      <c r="E33" s="50"/>
      <c r="F33" s="50"/>
      <c r="G33" s="51"/>
      <c r="H33" s="55"/>
      <c r="I33" s="55"/>
      <c r="J33" s="50"/>
      <c r="K33" s="50"/>
      <c r="L33" s="57"/>
      <c r="M33" s="49"/>
      <c r="N33" s="50"/>
      <c r="O33" s="50"/>
      <c r="P33" s="51"/>
      <c r="Q33" s="53"/>
      <c r="R33" s="54"/>
      <c r="S33" s="55"/>
      <c r="T33" s="56"/>
      <c r="U33" s="49"/>
      <c r="V33" s="51"/>
      <c r="W33" s="55"/>
      <c r="X33" s="50"/>
      <c r="Y33" s="50"/>
      <c r="Z33" s="50"/>
      <c r="AA33" s="57"/>
      <c r="AB33" s="57"/>
      <c r="AC33" s="57">
        <f>SUM(W33:AB33)</f>
        <v>0</v>
      </c>
      <c r="AD33" s="58"/>
      <c r="AE33" s="59"/>
      <c r="AF33" s="59"/>
      <c r="AG33" s="59"/>
      <c r="AH33" s="60"/>
      <c r="AI33" s="60"/>
      <c r="AJ33" s="54">
        <f>SUM(AD33:AI33)</f>
        <v>0</v>
      </c>
    </row>
    <row r="34" spans="1:36">
      <c r="A34" s="29"/>
      <c r="B34" s="61"/>
      <c r="C34" s="49"/>
      <c r="D34" s="50"/>
      <c r="E34" s="50"/>
      <c r="F34" s="50"/>
      <c r="G34" s="51"/>
      <c r="H34" s="55"/>
      <c r="I34" s="55"/>
      <c r="J34" s="50"/>
      <c r="K34" s="50"/>
      <c r="L34" s="57"/>
      <c r="M34" s="49"/>
      <c r="N34" s="50"/>
      <c r="O34" s="50"/>
      <c r="P34" s="51"/>
      <c r="Q34" s="77"/>
      <c r="R34" s="54"/>
      <c r="S34" s="78"/>
      <c r="T34" s="79"/>
      <c r="U34" s="80"/>
      <c r="V34" s="81"/>
      <c r="W34" s="55"/>
      <c r="X34" s="50"/>
      <c r="Y34" s="50"/>
      <c r="Z34" s="50"/>
      <c r="AA34" s="57"/>
      <c r="AB34" s="57"/>
      <c r="AC34" s="57">
        <f>SUM(W34:AB34)</f>
        <v>0</v>
      </c>
      <c r="AD34" s="58"/>
      <c r="AE34" s="59"/>
      <c r="AF34" s="59"/>
      <c r="AG34" s="59"/>
      <c r="AH34" s="60"/>
      <c r="AI34" s="60"/>
      <c r="AJ34" s="54">
        <f>SUM(AD34:AI34)</f>
        <v>0</v>
      </c>
    </row>
    <row r="35" ht="17.55" spans="1:36">
      <c r="A35" s="83" t="s">
        <v>126</v>
      </c>
      <c r="B35" s="84"/>
      <c r="C35" s="85">
        <f>SUM(C30:C30)</f>
        <v>2</v>
      </c>
      <c r="D35" s="86">
        <f>SUM(D30:D30)</f>
        <v>2</v>
      </c>
      <c r="E35" s="86">
        <f>SUM(E30:E30)</f>
        <v>1</v>
      </c>
      <c r="F35" s="86">
        <f>SUM(F30:F30)</f>
        <v>1</v>
      </c>
      <c r="G35" s="87">
        <f>SUM(G30:G30)</f>
        <v>0</v>
      </c>
      <c r="H35" s="88">
        <f t="shared" ref="H35:V35" si="8">SUM(H30:H30)</f>
        <v>2</v>
      </c>
      <c r="I35" s="86">
        <f t="shared" si="8"/>
        <v>1</v>
      </c>
      <c r="J35" s="86">
        <f t="shared" si="8"/>
        <v>0</v>
      </c>
      <c r="K35" s="86">
        <f t="shared" si="8"/>
        <v>1</v>
      </c>
      <c r="L35" s="89">
        <f t="shared" si="8"/>
        <v>0</v>
      </c>
      <c r="M35" s="90">
        <f t="shared" si="8"/>
        <v>1</v>
      </c>
      <c r="N35" s="91">
        <f t="shared" si="8"/>
        <v>1</v>
      </c>
      <c r="O35" s="91">
        <f t="shared" si="8"/>
        <v>0</v>
      </c>
      <c r="P35" s="92">
        <f t="shared" si="8"/>
        <v>0</v>
      </c>
      <c r="Q35" s="93">
        <f t="shared" si="8"/>
        <v>18.2</v>
      </c>
      <c r="R35" s="94">
        <f t="shared" si="8"/>
        <v>0</v>
      </c>
      <c r="S35" s="95">
        <f t="shared" si="8"/>
        <v>11</v>
      </c>
      <c r="T35" s="96">
        <f t="shared" si="8"/>
        <v>208.35</v>
      </c>
      <c r="U35" s="85">
        <f t="shared" si="8"/>
        <v>1509</v>
      </c>
      <c r="V35" s="87">
        <f t="shared" si="8"/>
        <v>39</v>
      </c>
      <c r="W35" s="97">
        <f t="shared" ref="W35:AJ35" si="9">SUM(W30:W30)</f>
        <v>3</v>
      </c>
      <c r="X35" s="98">
        <f t="shared" si="9"/>
        <v>2</v>
      </c>
      <c r="Y35" s="98">
        <f t="shared" si="9"/>
        <v>1</v>
      </c>
      <c r="Z35" s="98">
        <f t="shared" si="9"/>
        <v>1</v>
      </c>
      <c r="AA35" s="98">
        <f t="shared" si="9"/>
        <v>4</v>
      </c>
      <c r="AB35" s="98">
        <f t="shared" si="9"/>
        <v>4</v>
      </c>
      <c r="AC35" s="98">
        <f t="shared" si="9"/>
        <v>15</v>
      </c>
      <c r="AD35" s="99">
        <f t="shared" si="9"/>
        <v>10</v>
      </c>
      <c r="AE35" s="100">
        <f t="shared" si="9"/>
        <v>6.5</v>
      </c>
      <c r="AF35" s="100">
        <f t="shared" si="9"/>
        <v>4</v>
      </c>
      <c r="AG35" s="100">
        <f t="shared" si="9"/>
        <v>5.5</v>
      </c>
      <c r="AH35" s="100">
        <f t="shared" si="9"/>
        <v>11.5</v>
      </c>
      <c r="AI35" s="100">
        <f t="shared" si="9"/>
        <v>18</v>
      </c>
      <c r="AJ35" s="101">
        <f t="shared" si="9"/>
        <v>55.5</v>
      </c>
    </row>
    <row r="36" s="4" customFormat="1" ht="37.2" customHeight="1" spans="1:36">
      <c r="A36" s="102" t="s">
        <v>205</v>
      </c>
      <c r="B36" s="103"/>
      <c r="C36" s="104">
        <f>C11+C17+C23+C29+C35</f>
        <v>46</v>
      </c>
      <c r="D36" s="105">
        <f>D11+D17+D23+D29+D35</f>
        <v>44</v>
      </c>
      <c r="E36" s="105">
        <f>E11+E17+E23+E29+E35</f>
        <v>9</v>
      </c>
      <c r="F36" s="105">
        <f>F11+F17+F23+F29+F35</f>
        <v>35</v>
      </c>
      <c r="G36" s="106">
        <f>G11+G17+G23+G29+G35</f>
        <v>0</v>
      </c>
      <c r="H36" s="107">
        <f t="shared" ref="H36:V36" si="10">H11+H17+H23+H29+H35</f>
        <v>40</v>
      </c>
      <c r="I36" s="105">
        <f t="shared" si="10"/>
        <v>33</v>
      </c>
      <c r="J36" s="105">
        <f t="shared" si="10"/>
        <v>9</v>
      </c>
      <c r="K36" s="105">
        <f t="shared" si="10"/>
        <v>24</v>
      </c>
      <c r="L36" s="108">
        <f t="shared" si="10"/>
        <v>0</v>
      </c>
      <c r="M36" s="109">
        <f t="shared" si="10"/>
        <v>16</v>
      </c>
      <c r="N36" s="110">
        <f t="shared" si="10"/>
        <v>2</v>
      </c>
      <c r="O36" s="110">
        <f t="shared" si="10"/>
        <v>6</v>
      </c>
      <c r="P36" s="111">
        <f t="shared" si="10"/>
        <v>4</v>
      </c>
      <c r="Q36" s="112">
        <f t="shared" si="10"/>
        <v>579.1</v>
      </c>
      <c r="R36" s="113">
        <f t="shared" si="10"/>
        <v>99.7</v>
      </c>
      <c r="S36" s="114">
        <f t="shared" si="10"/>
        <v>286</v>
      </c>
      <c r="T36" s="115">
        <f t="shared" si="10"/>
        <v>5173.04</v>
      </c>
      <c r="U36" s="105">
        <f t="shared" si="10"/>
        <v>20359</v>
      </c>
      <c r="V36" s="105">
        <f t="shared" si="10"/>
        <v>1671</v>
      </c>
      <c r="W36" s="116">
        <f t="shared" ref="W36:AJ36" si="11">W11+W17+W23+W29+W35</f>
        <v>54</v>
      </c>
      <c r="X36" s="116">
        <f t="shared" si="11"/>
        <v>17</v>
      </c>
      <c r="Y36" s="116">
        <f t="shared" si="11"/>
        <v>26</v>
      </c>
      <c r="Z36" s="116">
        <f t="shared" si="11"/>
        <v>23</v>
      </c>
      <c r="AA36" s="116">
        <f t="shared" si="11"/>
        <v>64</v>
      </c>
      <c r="AB36" s="116">
        <f t="shared" si="11"/>
        <v>61</v>
      </c>
      <c r="AC36" s="116">
        <f t="shared" si="11"/>
        <v>245</v>
      </c>
      <c r="AD36" s="117">
        <f t="shared" si="11"/>
        <v>213.5</v>
      </c>
      <c r="AE36" s="118">
        <f t="shared" si="11"/>
        <v>61.5</v>
      </c>
      <c r="AF36" s="118">
        <f t="shared" si="11"/>
        <v>104</v>
      </c>
      <c r="AG36" s="118">
        <f t="shared" si="11"/>
        <v>93.5</v>
      </c>
      <c r="AH36" s="118">
        <f t="shared" si="11"/>
        <v>245.5</v>
      </c>
      <c r="AI36" s="118">
        <f t="shared" si="11"/>
        <v>223.5</v>
      </c>
      <c r="AJ36" s="113">
        <f t="shared" si="11"/>
        <v>941.5</v>
      </c>
    </row>
    <row r="41" spans="1:36">
      <c r="T41" s="5"/>
      <c r="W41" s="2"/>
    </row>
    <row r="42" spans="1:36">
      <c r="T42" s="5"/>
      <c r="W42" s="2"/>
    </row>
    <row r="43" spans="1:36">
      <c r="T43" s="5"/>
      <c r="W43" s="2"/>
    </row>
    <row r="44" spans="1:36">
      <c r="T44" s="5"/>
      <c r="W44" s="2"/>
    </row>
    <row r="45" spans="1:36">
      <c r="T45" s="5"/>
      <c r="W45" s="2"/>
    </row>
    <row r="46" spans="1:36">
      <c r="T46" s="5"/>
      <c r="W46" s="2"/>
    </row>
    <row r="47" spans="1:36">
      <c r="T47" s="5"/>
      <c r="W47" s="2"/>
    </row>
    <row r="48" spans="1:36">
      <c r="T48" s="5"/>
      <c r="W48" s="2"/>
    </row>
    <row r="49" spans="20:23">
      <c r="T49" s="5"/>
      <c r="W49" s="2"/>
    </row>
    <row r="50" spans="20:23">
      <c r="T50" s="5"/>
      <c r="W50" s="2"/>
    </row>
    <row r="51" spans="20:23">
      <c r="T51" s="5"/>
      <c r="W51" s="2"/>
    </row>
    <row r="52" spans="20:23">
      <c r="T52" s="5"/>
      <c r="W52" s="2"/>
    </row>
    <row r="53" spans="20:23">
      <c r="T53" s="5"/>
      <c r="W53" s="2"/>
    </row>
    <row r="54" spans="20:23">
      <c r="T54" s="5"/>
      <c r="W54" s="2"/>
    </row>
    <row r="55" spans="20:23">
      <c r="T55" s="5"/>
      <c r="W55" s="2"/>
    </row>
    <row r="56" spans="20:23">
      <c r="T56" s="5"/>
      <c r="W56" s="2"/>
    </row>
    <row r="57" spans="20:23">
      <c r="T57" s="5"/>
      <c r="W57" s="2"/>
    </row>
    <row r="58" spans="20:23">
      <c r="T58" s="5"/>
      <c r="W58" s="2"/>
    </row>
    <row r="59" spans="20:23">
      <c r="T59" s="5"/>
      <c r="W59" s="2"/>
    </row>
    <row r="60" spans="20:23">
      <c r="T60" s="5"/>
      <c r="W60" s="2"/>
    </row>
    <row r="61" spans="20:23">
      <c r="T61" s="5"/>
      <c r="W61" s="2"/>
    </row>
    <row r="62" spans="20:23">
      <c r="T62" s="5"/>
      <c r="W62" s="2"/>
    </row>
    <row r="63" spans="20:23">
      <c r="T63" s="5"/>
      <c r="W63" s="2"/>
    </row>
    <row r="64" spans="20:23">
      <c r="T64" s="5"/>
      <c r="W64" s="2"/>
    </row>
    <row r="65" spans="20:23">
      <c r="T65" s="5"/>
      <c r="W65" s="2"/>
    </row>
    <row r="66" spans="20:23">
      <c r="T66" s="5"/>
      <c r="W66" s="2"/>
    </row>
    <row r="67" spans="20:23">
      <c r="T67" s="5"/>
      <c r="W67" s="2"/>
    </row>
    <row r="68" spans="20:23">
      <c r="T68" s="5"/>
      <c r="W68" s="2"/>
    </row>
    <row r="69" spans="20:23">
      <c r="T69" s="5"/>
      <c r="W69" s="2"/>
    </row>
    <row r="70" spans="20:23">
      <c r="T70" s="5"/>
      <c r="W70" s="2"/>
    </row>
    <row r="71" spans="20:23">
      <c r="T71" s="5"/>
      <c r="W71" s="2"/>
    </row>
    <row r="72" spans="20:23">
      <c r="T72" s="5"/>
      <c r="W72" s="2"/>
    </row>
    <row r="73" spans="20:23">
      <c r="T73" s="5"/>
      <c r="W73" s="2"/>
    </row>
    <row r="74" spans="20:23">
      <c r="T74" s="5"/>
      <c r="W74" s="2"/>
    </row>
  </sheetData>
  <mergeCells count="20">
    <mergeCell ref="C4:G4"/>
    <mergeCell ref="H4:L4"/>
    <mergeCell ref="M4:P4"/>
    <mergeCell ref="Q4:R4"/>
    <mergeCell ref="S4:T4"/>
    <mergeCell ref="U4:V4"/>
    <mergeCell ref="W4:AC4"/>
    <mergeCell ref="AD4:AJ4"/>
    <mergeCell ref="A11:B11"/>
    <mergeCell ref="A17:B17"/>
    <mergeCell ref="A23:B23"/>
    <mergeCell ref="A29:B29"/>
    <mergeCell ref="A35:B35"/>
    <mergeCell ref="A36:B36"/>
    <mergeCell ref="A6:A10"/>
    <mergeCell ref="A12:A16"/>
    <mergeCell ref="A18:A22"/>
    <mergeCell ref="A24:A28"/>
    <mergeCell ref="A30:A34"/>
    <mergeCell ref="E1:AA2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74"/>
  <sheetViews>
    <sheetView workbookViewId="0">
      <selection activeCell="A1" sqref="A1"/>
    </sheetView>
  </sheetViews>
  <sheetFormatPr defaultColWidth="13.6923076923077" defaultRowHeight="16.8"/>
  <cols>
    <col min="1" max="1" width="3.68269230769231" style="2" customWidth="1"/>
    <col min="2" max="22" width="13.6923076923077" style="2" customWidth="1"/>
    <col min="23" max="23" width="13.6923076923077" style="5" customWidth="1"/>
    <col min="24" max="16384" width="13.6923076923077" style="2" customWidth="1"/>
  </cols>
  <sheetData>
    <row r="1" spans="1:36">
      <c r="E1" s="6" t="s">
        <v>104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36"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17.55"/>
    <row r="4" s="1" customFormat="1" ht="17.55" spans="1:36">
      <c r="C4" s="8" t="s">
        <v>105</v>
      </c>
      <c r="D4" s="9"/>
      <c r="E4" s="9"/>
      <c r="F4" s="9"/>
      <c r="G4" s="10"/>
      <c r="H4" s="9" t="s">
        <v>106</v>
      </c>
      <c r="I4" s="9"/>
      <c r="J4" s="9"/>
      <c r="K4" s="9"/>
      <c r="L4" s="9"/>
      <c r="M4" s="8" t="s">
        <v>107</v>
      </c>
      <c r="N4" s="9"/>
      <c r="O4" s="9"/>
      <c r="P4" s="11"/>
      <c r="Q4" s="12" t="s">
        <v>124</v>
      </c>
      <c r="R4" s="10"/>
      <c r="S4" s="9" t="s">
        <v>109</v>
      </c>
      <c r="T4" s="11"/>
      <c r="U4" s="13" t="s">
        <v>110</v>
      </c>
      <c r="V4" s="14"/>
      <c r="W4" s="12" t="s">
        <v>111</v>
      </c>
      <c r="X4" s="15"/>
      <c r="Y4" s="15"/>
      <c r="Z4" s="15"/>
      <c r="AA4" s="15"/>
      <c r="AB4" s="15"/>
      <c r="AC4" s="15"/>
      <c r="AD4" s="12" t="s">
        <v>112</v>
      </c>
      <c r="AE4" s="15"/>
      <c r="AF4" s="15"/>
      <c r="AG4" s="15"/>
      <c r="AH4" s="15"/>
      <c r="AI4" s="15"/>
      <c r="AJ4" s="10"/>
    </row>
    <row r="5" s="2" customFormat="1" ht="17.55" spans="1:36">
      <c r="A5" s="16" t="s">
        <v>206</v>
      </c>
      <c r="B5" s="17" t="s">
        <v>55</v>
      </c>
      <c r="C5" s="18" t="s">
        <v>47</v>
      </c>
      <c r="D5" s="19" t="s">
        <v>114</v>
      </c>
      <c r="E5" s="20" t="s">
        <v>40</v>
      </c>
      <c r="F5" s="19" t="s">
        <v>41</v>
      </c>
      <c r="G5" s="21" t="s">
        <v>42</v>
      </c>
      <c r="H5" s="22" t="s">
        <v>47</v>
      </c>
      <c r="I5" s="22" t="s">
        <v>114</v>
      </c>
      <c r="J5" s="23" t="s">
        <v>40</v>
      </c>
      <c r="K5" s="23" t="s">
        <v>41</v>
      </c>
      <c r="L5" s="24" t="s">
        <v>42</v>
      </c>
      <c r="M5" s="25" t="s">
        <v>47</v>
      </c>
      <c r="N5" s="23" t="s">
        <v>48</v>
      </c>
      <c r="O5" s="23" t="s">
        <v>49</v>
      </c>
      <c r="P5" s="26" t="s">
        <v>50</v>
      </c>
      <c r="Q5" s="25" t="s">
        <v>115</v>
      </c>
      <c r="R5" s="26" t="s">
        <v>116</v>
      </c>
      <c r="S5" s="22" t="s">
        <v>72</v>
      </c>
      <c r="T5" s="27" t="s">
        <v>73</v>
      </c>
      <c r="U5" s="19" t="s">
        <v>74</v>
      </c>
      <c r="V5" s="28" t="s">
        <v>75</v>
      </c>
      <c r="W5" s="25" t="s">
        <v>117</v>
      </c>
      <c r="X5" s="23" t="s">
        <v>118</v>
      </c>
      <c r="Y5" s="23" t="s">
        <v>119</v>
      </c>
      <c r="Z5" s="23" t="s">
        <v>110</v>
      </c>
      <c r="AA5" s="24" t="s">
        <v>120</v>
      </c>
      <c r="AB5" s="24" t="s">
        <v>121</v>
      </c>
      <c r="AC5" s="24" t="s">
        <v>39</v>
      </c>
      <c r="AD5" s="25" t="s">
        <v>117</v>
      </c>
      <c r="AE5" s="23" t="s">
        <v>118</v>
      </c>
      <c r="AF5" s="23" t="s">
        <v>122</v>
      </c>
      <c r="AG5" s="23" t="s">
        <v>110</v>
      </c>
      <c r="AH5" s="24" t="s">
        <v>120</v>
      </c>
      <c r="AI5" s="24" t="s">
        <v>121</v>
      </c>
      <c r="AJ5" s="26" t="s">
        <v>39</v>
      </c>
    </row>
    <row r="6" spans="1:36">
      <c r="A6" s="29" t="s">
        <v>184</v>
      </c>
      <c r="B6" s="30"/>
      <c r="C6" s="31"/>
      <c r="D6" s="32"/>
      <c r="E6" s="32"/>
      <c r="F6" s="32"/>
      <c r="G6" s="33"/>
      <c r="H6" s="34"/>
      <c r="I6" s="34"/>
      <c r="J6" s="32"/>
      <c r="K6" s="32"/>
      <c r="L6" s="35"/>
      <c r="M6" s="36"/>
      <c r="N6" s="37"/>
      <c r="O6" s="37"/>
      <c r="P6" s="38"/>
      <c r="Q6" s="39"/>
      <c r="R6" s="40"/>
      <c r="S6" s="41"/>
      <c r="T6" s="42"/>
      <c r="U6" s="31"/>
      <c r="V6" s="33"/>
      <c r="W6" s="41"/>
      <c r="X6" s="37"/>
      <c r="Y6" s="37"/>
      <c r="Z6" s="37"/>
      <c r="AA6" s="43"/>
      <c r="AB6" s="43"/>
      <c r="AC6" s="43">
        <f>SUM(W6:AB6)</f>
        <v>0</v>
      </c>
      <c r="AD6" s="44"/>
      <c r="AE6" s="45"/>
      <c r="AF6" s="45"/>
      <c r="AG6" s="45"/>
      <c r="AH6" s="46"/>
      <c r="AI6" s="46"/>
      <c r="AJ6" s="47">
        <f>SUM(AD6:AI6)</f>
        <v>0</v>
      </c>
    </row>
    <row r="7" spans="1:36">
      <c r="A7" s="29"/>
      <c r="B7" s="48">
        <v>46266</v>
      </c>
      <c r="C7" s="49">
        <v>4</v>
      </c>
      <c r="D7" s="50">
        <v>4</v>
      </c>
      <c r="E7" s="50">
        <v>0</v>
      </c>
      <c r="F7" s="50">
        <v>4</v>
      </c>
      <c r="G7" s="51">
        <v>0</v>
      </c>
      <c r="H7" s="52">
        <v>1</v>
      </c>
      <c r="I7" s="50">
        <v>1</v>
      </c>
      <c r="J7" s="50">
        <v>1</v>
      </c>
      <c r="K7" s="50">
        <v>0</v>
      </c>
      <c r="L7" s="52">
        <v>0</v>
      </c>
      <c r="M7" s="49">
        <v>0</v>
      </c>
      <c r="N7" s="50">
        <v>1</v>
      </c>
      <c r="O7" s="50">
        <v>1</v>
      </c>
      <c r="P7" s="51">
        <v>0</v>
      </c>
      <c r="Q7" s="53">
        <v>23.6</v>
      </c>
      <c r="R7" s="54">
        <v>12.7</v>
      </c>
      <c r="S7" s="55">
        <v>5</v>
      </c>
      <c r="T7" s="56">
        <v>96.19</v>
      </c>
      <c r="U7" s="49">
        <v>1109</v>
      </c>
      <c r="V7" s="51">
        <v>137</v>
      </c>
      <c r="W7" s="55">
        <v>4</v>
      </c>
      <c r="X7" s="50">
        <v>0</v>
      </c>
      <c r="Y7" s="50">
        <v>0</v>
      </c>
      <c r="Z7" s="50">
        <v>0</v>
      </c>
      <c r="AA7" s="57">
        <v>2</v>
      </c>
      <c r="AB7" s="57">
        <v>3</v>
      </c>
      <c r="AC7" s="57">
        <f>SUM(W7:AB7)</f>
        <v>9</v>
      </c>
      <c r="AD7" s="58">
        <v>11</v>
      </c>
      <c r="AE7" s="59">
        <v>0</v>
      </c>
      <c r="AF7" s="59">
        <v>0</v>
      </c>
      <c r="AG7" s="59">
        <v>0</v>
      </c>
      <c r="AH7" s="60">
        <v>4.5</v>
      </c>
      <c r="AI7" s="60">
        <v>12.5</v>
      </c>
      <c r="AJ7" s="54">
        <f>SUM(AD7:AI7)</f>
        <v>28</v>
      </c>
    </row>
    <row r="8" spans="1:36">
      <c r="A8" s="29"/>
      <c r="B8" s="48">
        <v>46267</v>
      </c>
      <c r="C8" s="49">
        <v>0</v>
      </c>
      <c r="D8" s="50">
        <v>0</v>
      </c>
      <c r="E8" s="50">
        <v>0</v>
      </c>
      <c r="F8" s="50">
        <v>0</v>
      </c>
      <c r="G8" s="51">
        <v>0</v>
      </c>
      <c r="H8" s="52">
        <v>1</v>
      </c>
      <c r="I8" s="50">
        <v>0</v>
      </c>
      <c r="J8" s="50">
        <v>0</v>
      </c>
      <c r="K8" s="50">
        <v>0</v>
      </c>
      <c r="L8" s="52">
        <v>0</v>
      </c>
      <c r="M8" s="61">
        <v>0</v>
      </c>
      <c r="N8" s="50">
        <v>0</v>
      </c>
      <c r="O8" s="50">
        <v>0</v>
      </c>
      <c r="P8" s="51">
        <v>0</v>
      </c>
      <c r="Q8" s="53">
        <v>34.8</v>
      </c>
      <c r="R8" s="54">
        <v>0</v>
      </c>
      <c r="S8" s="55">
        <v>16</v>
      </c>
      <c r="T8" s="56">
        <v>460.92</v>
      </c>
      <c r="U8" s="49">
        <v>836</v>
      </c>
      <c r="V8" s="51">
        <v>70</v>
      </c>
      <c r="W8" s="55">
        <v>3</v>
      </c>
      <c r="X8" s="50">
        <v>1</v>
      </c>
      <c r="Y8" s="50">
        <v>2</v>
      </c>
      <c r="Z8" s="50">
        <v>1</v>
      </c>
      <c r="AA8" s="57">
        <v>1</v>
      </c>
      <c r="AB8" s="57">
        <v>2</v>
      </c>
      <c r="AC8" s="57">
        <f>SUM(W8:AB8)</f>
        <v>10</v>
      </c>
      <c r="AD8" s="58">
        <v>16</v>
      </c>
      <c r="AE8" s="59">
        <v>3.5</v>
      </c>
      <c r="AF8" s="59">
        <v>7</v>
      </c>
      <c r="AG8" s="59">
        <v>2.5</v>
      </c>
      <c r="AH8" s="60">
        <v>3</v>
      </c>
      <c r="AI8" s="60">
        <v>10</v>
      </c>
      <c r="AJ8" s="54">
        <f>SUM(AD8:AI8)</f>
        <v>42</v>
      </c>
    </row>
    <row r="9" spans="1:36">
      <c r="A9" s="29"/>
      <c r="B9" s="48">
        <v>46268</v>
      </c>
      <c r="C9" s="49">
        <v>3</v>
      </c>
      <c r="D9" s="50">
        <v>3</v>
      </c>
      <c r="E9" s="50">
        <v>1</v>
      </c>
      <c r="F9" s="50">
        <v>2</v>
      </c>
      <c r="G9" s="51">
        <v>0</v>
      </c>
      <c r="H9" s="52">
        <v>1</v>
      </c>
      <c r="I9" s="50">
        <v>1</v>
      </c>
      <c r="J9" s="50">
        <v>1</v>
      </c>
      <c r="K9" s="50">
        <v>0</v>
      </c>
      <c r="L9" s="52">
        <v>0</v>
      </c>
      <c r="M9" s="61">
        <v>0</v>
      </c>
      <c r="N9" s="50">
        <v>0</v>
      </c>
      <c r="O9" s="50">
        <v>1</v>
      </c>
      <c r="P9" s="51">
        <v>0</v>
      </c>
      <c r="Q9" s="53">
        <v>0</v>
      </c>
      <c r="R9" s="54">
        <v>14</v>
      </c>
      <c r="S9" s="55">
        <v>21</v>
      </c>
      <c r="T9" s="56">
        <v>585.06</v>
      </c>
      <c r="U9" s="49">
        <v>657</v>
      </c>
      <c r="V9" s="51">
        <v>19</v>
      </c>
      <c r="W9" s="55">
        <v>4</v>
      </c>
      <c r="X9" s="50">
        <v>0</v>
      </c>
      <c r="Y9" s="50">
        <v>2</v>
      </c>
      <c r="Z9" s="50">
        <v>1</v>
      </c>
      <c r="AA9" s="57">
        <v>5</v>
      </c>
      <c r="AB9" s="57">
        <v>2</v>
      </c>
      <c r="AC9" s="57">
        <f>SUM(W9:AB9)</f>
        <v>14</v>
      </c>
      <c r="AD9" s="58">
        <v>13</v>
      </c>
      <c r="AE9" s="59">
        <v>0</v>
      </c>
      <c r="AF9" s="59">
        <v>6</v>
      </c>
      <c r="AG9" s="59">
        <v>4</v>
      </c>
      <c r="AH9" s="60">
        <v>23</v>
      </c>
      <c r="AI9" s="60">
        <v>7</v>
      </c>
      <c r="AJ9" s="54">
        <f>SUM(AD9:AI9)</f>
        <v>53</v>
      </c>
    </row>
    <row r="10" spans="1:36">
      <c r="A10" s="62"/>
      <c r="B10" s="48">
        <v>46269</v>
      </c>
      <c r="C10" s="49">
        <v>2</v>
      </c>
      <c r="D10" s="50">
        <v>2</v>
      </c>
      <c r="E10" s="50">
        <v>0</v>
      </c>
      <c r="F10" s="50">
        <v>2</v>
      </c>
      <c r="G10" s="51">
        <v>0</v>
      </c>
      <c r="H10" s="52">
        <v>2</v>
      </c>
      <c r="I10" s="50">
        <v>2</v>
      </c>
      <c r="J10" s="50">
        <v>0</v>
      </c>
      <c r="K10" s="50">
        <v>2</v>
      </c>
      <c r="L10" s="52">
        <v>0</v>
      </c>
      <c r="M10" s="61">
        <v>2</v>
      </c>
      <c r="N10" s="50">
        <v>0</v>
      </c>
      <c r="O10" s="50">
        <v>1</v>
      </c>
      <c r="P10" s="51">
        <v>0</v>
      </c>
      <c r="Q10" s="53">
        <v>48.9</v>
      </c>
      <c r="R10" s="54">
        <v>0</v>
      </c>
      <c r="S10" s="55">
        <v>20</v>
      </c>
      <c r="T10" s="56">
        <v>423.3</v>
      </c>
      <c r="U10" s="49">
        <v>676</v>
      </c>
      <c r="V10" s="51">
        <v>101</v>
      </c>
      <c r="W10" s="55">
        <v>2</v>
      </c>
      <c r="X10" s="50">
        <v>1</v>
      </c>
      <c r="Y10" s="50">
        <v>2</v>
      </c>
      <c r="Z10" s="50">
        <v>0</v>
      </c>
      <c r="AA10" s="57">
        <v>1</v>
      </c>
      <c r="AB10" s="57">
        <v>1</v>
      </c>
      <c r="AC10" s="57">
        <f>SUM(W10:AB10)</f>
        <v>7</v>
      </c>
      <c r="AD10" s="58">
        <v>7</v>
      </c>
      <c r="AE10" s="59">
        <v>3</v>
      </c>
      <c r="AF10" s="59">
        <v>4</v>
      </c>
      <c r="AG10" s="59">
        <v>0</v>
      </c>
      <c r="AH10" s="60">
        <v>3.5</v>
      </c>
      <c r="AI10" s="60">
        <v>3</v>
      </c>
      <c r="AJ10" s="54">
        <f>SUM(AD10:AI10)</f>
        <v>20.5</v>
      </c>
    </row>
    <row r="11" s="3" customFormat="1" spans="1:36">
      <c r="A11" s="63" t="s">
        <v>126</v>
      </c>
      <c r="B11" s="64"/>
      <c r="C11" s="65">
        <f>SUM(C7:C10)</f>
        <v>9</v>
      </c>
      <c r="D11" s="66">
        <f>SUM(D7:D10)</f>
        <v>9</v>
      </c>
      <c r="E11" s="66">
        <f>SUM(E7:E10)</f>
        <v>1</v>
      </c>
      <c r="F11" s="66">
        <f>SUM(F7:F10)</f>
        <v>8</v>
      </c>
      <c r="G11" s="67">
        <f>SUM(G7:G10)</f>
        <v>0</v>
      </c>
      <c r="H11" s="68">
        <f t="shared" ref="H11:V11" si="0">SUM(H7:H10)</f>
        <v>5</v>
      </c>
      <c r="I11" s="66">
        <f t="shared" si="0"/>
        <v>4</v>
      </c>
      <c r="J11" s="66">
        <f t="shared" si="0"/>
        <v>2</v>
      </c>
      <c r="K11" s="66">
        <f t="shared" si="0"/>
        <v>2</v>
      </c>
      <c r="L11" s="68">
        <f t="shared" si="0"/>
        <v>0</v>
      </c>
      <c r="M11" s="69">
        <f t="shared" si="0"/>
        <v>2</v>
      </c>
      <c r="N11" s="66">
        <f t="shared" si="0"/>
        <v>1</v>
      </c>
      <c r="O11" s="66">
        <f t="shared" si="0"/>
        <v>3</v>
      </c>
      <c r="P11" s="67">
        <f t="shared" si="0"/>
        <v>0</v>
      </c>
      <c r="Q11" s="70">
        <f t="shared" si="0"/>
        <v>107.3</v>
      </c>
      <c r="R11" s="71">
        <f t="shared" si="0"/>
        <v>26.7</v>
      </c>
      <c r="S11" s="72">
        <f t="shared" si="0"/>
        <v>62</v>
      </c>
      <c r="T11" s="73">
        <f t="shared" si="0"/>
        <v>1565.47</v>
      </c>
      <c r="U11" s="65">
        <f t="shared" si="0"/>
        <v>3278</v>
      </c>
      <c r="V11" s="67">
        <f t="shared" si="0"/>
        <v>327</v>
      </c>
      <c r="W11" s="68">
        <f t="shared" ref="W11:AJ11" si="1">SUM(W7:W10)</f>
        <v>13</v>
      </c>
      <c r="X11" s="74">
        <f t="shared" si="1"/>
        <v>2</v>
      </c>
      <c r="Y11" s="74">
        <f t="shared" si="1"/>
        <v>6</v>
      </c>
      <c r="Z11" s="74">
        <f t="shared" si="1"/>
        <v>2</v>
      </c>
      <c r="AA11" s="74">
        <f t="shared" si="1"/>
        <v>9</v>
      </c>
      <c r="AB11" s="74">
        <f t="shared" si="1"/>
        <v>8</v>
      </c>
      <c r="AC11" s="74">
        <f t="shared" si="1"/>
        <v>40</v>
      </c>
      <c r="AD11" s="70">
        <f t="shared" si="1"/>
        <v>47</v>
      </c>
      <c r="AE11" s="75">
        <f t="shared" si="1"/>
        <v>6.5</v>
      </c>
      <c r="AF11" s="75">
        <f t="shared" si="1"/>
        <v>17</v>
      </c>
      <c r="AG11" s="75">
        <f t="shared" si="1"/>
        <v>6.5</v>
      </c>
      <c r="AH11" s="75">
        <f t="shared" si="1"/>
        <v>34</v>
      </c>
      <c r="AI11" s="75">
        <f t="shared" si="1"/>
        <v>32.5</v>
      </c>
      <c r="AJ11" s="71">
        <f t="shared" si="1"/>
        <v>143.5</v>
      </c>
    </row>
    <row r="12" spans="1:36">
      <c r="A12" s="29" t="s">
        <v>185</v>
      </c>
      <c r="B12" s="76">
        <v>46272</v>
      </c>
      <c r="C12" s="49">
        <v>4</v>
      </c>
      <c r="D12" s="50">
        <v>4</v>
      </c>
      <c r="E12" s="50">
        <v>0</v>
      </c>
      <c r="F12" s="50">
        <v>4</v>
      </c>
      <c r="G12" s="51">
        <v>0</v>
      </c>
      <c r="H12" s="52">
        <v>2</v>
      </c>
      <c r="I12" s="50">
        <v>1</v>
      </c>
      <c r="J12" s="50">
        <v>1</v>
      </c>
      <c r="K12" s="50">
        <v>0</v>
      </c>
      <c r="L12" s="52">
        <v>0</v>
      </c>
      <c r="M12" s="61">
        <v>0</v>
      </c>
      <c r="N12" s="50">
        <v>1</v>
      </c>
      <c r="O12" s="50">
        <v>1</v>
      </c>
      <c r="P12" s="51">
        <v>0</v>
      </c>
      <c r="Q12" s="53">
        <v>29.3</v>
      </c>
      <c r="R12" s="54">
        <v>16.6</v>
      </c>
      <c r="S12" s="55">
        <v>15</v>
      </c>
      <c r="T12" s="56">
        <v>299.93</v>
      </c>
      <c r="U12" s="49">
        <v>1819</v>
      </c>
      <c r="V12" s="51">
        <v>161</v>
      </c>
      <c r="W12" s="55">
        <v>2</v>
      </c>
      <c r="X12" s="50">
        <v>2</v>
      </c>
      <c r="Y12" s="50">
        <v>1</v>
      </c>
      <c r="Z12" s="50">
        <v>0</v>
      </c>
      <c r="AA12" s="57">
        <v>5</v>
      </c>
      <c r="AB12" s="57">
        <v>2</v>
      </c>
      <c r="AC12" s="57">
        <f>SUM(W12:AB12)</f>
        <v>12</v>
      </c>
      <c r="AD12" s="58">
        <v>10.5</v>
      </c>
      <c r="AE12" s="59">
        <v>10.5</v>
      </c>
      <c r="AF12" s="59">
        <v>5</v>
      </c>
      <c r="AG12" s="59">
        <v>0</v>
      </c>
      <c r="AH12" s="60">
        <v>18.5</v>
      </c>
      <c r="AI12" s="60">
        <v>5.5</v>
      </c>
      <c r="AJ12" s="54">
        <f>SUM(AD12:AI12)</f>
        <v>50</v>
      </c>
    </row>
    <row r="13" spans="1:36">
      <c r="A13" s="29"/>
      <c r="B13" s="76">
        <v>46273</v>
      </c>
      <c r="C13" s="49">
        <v>3</v>
      </c>
      <c r="D13" s="50">
        <v>2</v>
      </c>
      <c r="E13" s="50">
        <v>0</v>
      </c>
      <c r="F13" s="50">
        <v>2</v>
      </c>
      <c r="G13" s="51">
        <v>0</v>
      </c>
      <c r="H13" s="52">
        <v>0</v>
      </c>
      <c r="I13" s="50">
        <v>0</v>
      </c>
      <c r="J13" s="50">
        <v>0</v>
      </c>
      <c r="K13" s="50">
        <v>0</v>
      </c>
      <c r="L13" s="52">
        <v>0</v>
      </c>
      <c r="M13" s="61">
        <v>0</v>
      </c>
      <c r="N13" s="50">
        <v>0</v>
      </c>
      <c r="O13" s="50">
        <v>0</v>
      </c>
      <c r="P13" s="51">
        <v>0</v>
      </c>
      <c r="Q13" s="53">
        <v>32.8</v>
      </c>
      <c r="R13" s="54">
        <v>0</v>
      </c>
      <c r="S13" s="55">
        <v>13</v>
      </c>
      <c r="T13" s="56">
        <v>359.41</v>
      </c>
      <c r="U13" s="49">
        <v>2071</v>
      </c>
      <c r="V13" s="51">
        <v>268</v>
      </c>
      <c r="W13" s="55">
        <v>4</v>
      </c>
      <c r="X13" s="50">
        <v>1</v>
      </c>
      <c r="Y13" s="50">
        <v>2</v>
      </c>
      <c r="Z13" s="50">
        <v>2</v>
      </c>
      <c r="AA13" s="57">
        <v>2</v>
      </c>
      <c r="AB13" s="57">
        <v>4</v>
      </c>
      <c r="AC13" s="57">
        <f>SUM(W13:AB13)</f>
        <v>15</v>
      </c>
      <c r="AD13" s="58">
        <v>14.5</v>
      </c>
      <c r="AE13" s="59">
        <v>3</v>
      </c>
      <c r="AF13" s="59">
        <v>8.5</v>
      </c>
      <c r="AG13" s="59">
        <v>9</v>
      </c>
      <c r="AH13" s="60">
        <v>8.5</v>
      </c>
      <c r="AI13" s="60">
        <v>18.5</v>
      </c>
      <c r="AJ13" s="54">
        <f>SUM(AD13:AI13)</f>
        <v>62</v>
      </c>
    </row>
    <row r="14" spans="1:36">
      <c r="A14" s="29"/>
      <c r="B14" s="76">
        <v>46274</v>
      </c>
      <c r="C14" s="49">
        <v>3</v>
      </c>
      <c r="D14" s="50">
        <v>3</v>
      </c>
      <c r="E14" s="50">
        <v>1</v>
      </c>
      <c r="F14" s="50">
        <v>2</v>
      </c>
      <c r="G14" s="51">
        <v>0</v>
      </c>
      <c r="H14" s="52">
        <v>0</v>
      </c>
      <c r="I14" s="50">
        <v>0</v>
      </c>
      <c r="J14" s="50">
        <v>0</v>
      </c>
      <c r="K14" s="50">
        <v>0</v>
      </c>
      <c r="L14" s="52">
        <v>0</v>
      </c>
      <c r="M14" s="61">
        <v>0</v>
      </c>
      <c r="N14" s="50">
        <v>1</v>
      </c>
      <c r="O14" s="50">
        <v>1</v>
      </c>
      <c r="P14" s="51">
        <v>0</v>
      </c>
      <c r="Q14" s="53">
        <v>32.9</v>
      </c>
      <c r="R14" s="54">
        <v>0</v>
      </c>
      <c r="S14" s="55">
        <v>7</v>
      </c>
      <c r="T14" s="56">
        <v>163.13</v>
      </c>
      <c r="U14" s="49">
        <v>1195</v>
      </c>
      <c r="V14" s="51">
        <v>52</v>
      </c>
      <c r="W14" s="55">
        <v>2</v>
      </c>
      <c r="X14" s="50">
        <v>2</v>
      </c>
      <c r="Y14" s="50">
        <v>1</v>
      </c>
      <c r="Z14" s="50">
        <v>1</v>
      </c>
      <c r="AA14" s="57">
        <v>1</v>
      </c>
      <c r="AB14" s="57">
        <v>4</v>
      </c>
      <c r="AC14" s="57">
        <f>SUM(W14:AB14)</f>
        <v>11</v>
      </c>
      <c r="AD14" s="58">
        <v>11</v>
      </c>
      <c r="AE14" s="59">
        <v>7.5</v>
      </c>
      <c r="AF14" s="59">
        <v>2.5</v>
      </c>
      <c r="AG14" s="59">
        <v>5</v>
      </c>
      <c r="AH14" s="60">
        <v>3.5</v>
      </c>
      <c r="AI14" s="60">
        <v>9.5</v>
      </c>
      <c r="AJ14" s="54">
        <f>SUM(AD14:AI14)</f>
        <v>39</v>
      </c>
    </row>
    <row r="15" spans="1:36">
      <c r="A15" s="29"/>
      <c r="B15" s="76">
        <v>46275</v>
      </c>
      <c r="C15" s="49">
        <v>1</v>
      </c>
      <c r="D15" s="50">
        <v>1</v>
      </c>
      <c r="E15" s="50">
        <v>1</v>
      </c>
      <c r="F15" s="50">
        <v>0</v>
      </c>
      <c r="G15" s="51">
        <v>0</v>
      </c>
      <c r="H15" s="55">
        <v>2</v>
      </c>
      <c r="I15" s="55">
        <v>1</v>
      </c>
      <c r="J15" s="50">
        <v>0</v>
      </c>
      <c r="K15" s="50">
        <v>1</v>
      </c>
      <c r="L15" s="57">
        <v>0</v>
      </c>
      <c r="M15" s="49">
        <v>0</v>
      </c>
      <c r="N15" s="50">
        <v>0</v>
      </c>
      <c r="O15" s="50">
        <v>0</v>
      </c>
      <c r="P15" s="51">
        <v>0</v>
      </c>
      <c r="Q15" s="53">
        <v>41</v>
      </c>
      <c r="R15" s="54">
        <v>20</v>
      </c>
      <c r="S15" s="55">
        <v>13</v>
      </c>
      <c r="T15" s="56">
        <v>287.59</v>
      </c>
      <c r="U15" s="49">
        <v>878</v>
      </c>
      <c r="V15" s="51">
        <v>73</v>
      </c>
      <c r="W15" s="55">
        <v>4</v>
      </c>
      <c r="X15" s="50">
        <v>1</v>
      </c>
      <c r="Y15" s="50">
        <v>2</v>
      </c>
      <c r="Z15" s="50">
        <v>1</v>
      </c>
      <c r="AA15" s="57">
        <v>2</v>
      </c>
      <c r="AB15" s="57">
        <v>4</v>
      </c>
      <c r="AC15" s="57">
        <f>SUM(W15:AB15)</f>
        <v>14</v>
      </c>
      <c r="AD15" s="58">
        <v>12</v>
      </c>
      <c r="AE15" s="59">
        <v>5.5</v>
      </c>
      <c r="AF15" s="59">
        <v>6.5</v>
      </c>
      <c r="AG15" s="59">
        <v>4</v>
      </c>
      <c r="AH15" s="60">
        <v>9.5</v>
      </c>
      <c r="AI15" s="60">
        <v>12.5</v>
      </c>
      <c r="AJ15" s="54">
        <f>SUM(AD15:AI15)</f>
        <v>50</v>
      </c>
    </row>
    <row r="16" spans="1:36">
      <c r="A16" s="29"/>
      <c r="B16" s="76">
        <v>46276</v>
      </c>
      <c r="C16" s="49">
        <v>1</v>
      </c>
      <c r="D16" s="50">
        <v>1</v>
      </c>
      <c r="E16" s="50">
        <v>0</v>
      </c>
      <c r="F16" s="50">
        <v>1</v>
      </c>
      <c r="G16" s="51">
        <v>0</v>
      </c>
      <c r="H16" s="55">
        <v>0</v>
      </c>
      <c r="I16" s="55">
        <v>0</v>
      </c>
      <c r="J16" s="50">
        <v>0</v>
      </c>
      <c r="K16" s="50">
        <v>0</v>
      </c>
      <c r="L16" s="57">
        <v>0</v>
      </c>
      <c r="M16" s="49">
        <v>1</v>
      </c>
      <c r="N16" s="50">
        <v>1</v>
      </c>
      <c r="O16" s="50">
        <v>0</v>
      </c>
      <c r="P16" s="51">
        <v>1</v>
      </c>
      <c r="Q16" s="77">
        <v>0</v>
      </c>
      <c r="R16" s="54">
        <v>0</v>
      </c>
      <c r="S16" s="78">
        <v>4</v>
      </c>
      <c r="T16" s="79">
        <v>122.38</v>
      </c>
      <c r="U16" s="80">
        <v>1258</v>
      </c>
      <c r="V16" s="81">
        <v>68</v>
      </c>
      <c r="W16" s="55">
        <v>3</v>
      </c>
      <c r="X16" s="50">
        <v>1</v>
      </c>
      <c r="Y16" s="50">
        <v>2</v>
      </c>
      <c r="Z16" s="50">
        <v>2</v>
      </c>
      <c r="AA16" s="57">
        <v>2</v>
      </c>
      <c r="AB16" s="57">
        <v>4</v>
      </c>
      <c r="AC16" s="57">
        <f>SUM(W16:AB16)</f>
        <v>14</v>
      </c>
      <c r="AD16" s="58">
        <v>14</v>
      </c>
      <c r="AE16" s="59">
        <v>4.5</v>
      </c>
      <c r="AF16" s="59">
        <v>6.5</v>
      </c>
      <c r="AG16" s="59">
        <v>10.5</v>
      </c>
      <c r="AH16" s="60">
        <v>10.5</v>
      </c>
      <c r="AI16" s="60">
        <v>17</v>
      </c>
      <c r="AJ16" s="54">
        <f>SUM(AD16:AI16)</f>
        <v>63</v>
      </c>
    </row>
    <row r="17" spans="1:36">
      <c r="A17" s="63" t="s">
        <v>126</v>
      </c>
      <c r="B17" s="64"/>
      <c r="C17" s="65">
        <f>SUM(C12:C16)</f>
        <v>12</v>
      </c>
      <c r="D17" s="66">
        <f>SUM(D12:D16)</f>
        <v>11</v>
      </c>
      <c r="E17" s="66">
        <f>SUM(E12:E16)</f>
        <v>2</v>
      </c>
      <c r="F17" s="66">
        <f>SUM(F12:F16)</f>
        <v>9</v>
      </c>
      <c r="G17" s="67">
        <f>SUM(G12:G16)</f>
        <v>0</v>
      </c>
      <c r="H17" s="72">
        <f t="shared" ref="H17:V17" si="2">SUM(H12:H16)</f>
        <v>4</v>
      </c>
      <c r="I17" s="66">
        <f t="shared" si="2"/>
        <v>2</v>
      </c>
      <c r="J17" s="66">
        <f t="shared" si="2"/>
        <v>1</v>
      </c>
      <c r="K17" s="66">
        <f t="shared" si="2"/>
        <v>1</v>
      </c>
      <c r="L17" s="74">
        <f t="shared" si="2"/>
        <v>0</v>
      </c>
      <c r="M17" s="65">
        <f t="shared" si="2"/>
        <v>1</v>
      </c>
      <c r="N17" s="66">
        <f t="shared" si="2"/>
        <v>3</v>
      </c>
      <c r="O17" s="66">
        <f t="shared" si="2"/>
        <v>2</v>
      </c>
      <c r="P17" s="67">
        <f t="shared" si="2"/>
        <v>1</v>
      </c>
      <c r="Q17" s="70">
        <f t="shared" si="2"/>
        <v>136</v>
      </c>
      <c r="R17" s="71">
        <f t="shared" si="2"/>
        <v>36.6</v>
      </c>
      <c r="S17" s="72">
        <f t="shared" si="2"/>
        <v>52</v>
      </c>
      <c r="T17" s="73">
        <f t="shared" si="2"/>
        <v>1232.44</v>
      </c>
      <c r="U17" s="65">
        <f t="shared" si="2"/>
        <v>7221</v>
      </c>
      <c r="V17" s="67">
        <f t="shared" si="2"/>
        <v>622</v>
      </c>
      <c r="W17" s="68">
        <f t="shared" ref="W17:AJ17" si="3">SUM(W12:W16)</f>
        <v>15</v>
      </c>
      <c r="X17" s="74">
        <f t="shared" si="3"/>
        <v>7</v>
      </c>
      <c r="Y17" s="74">
        <f t="shared" si="3"/>
        <v>8</v>
      </c>
      <c r="Z17" s="74">
        <f t="shared" si="3"/>
        <v>6</v>
      </c>
      <c r="AA17" s="74">
        <f t="shared" si="3"/>
        <v>12</v>
      </c>
      <c r="AB17" s="74">
        <f t="shared" si="3"/>
        <v>18</v>
      </c>
      <c r="AC17" s="74">
        <f t="shared" si="3"/>
        <v>66</v>
      </c>
      <c r="AD17" s="70">
        <f t="shared" si="3"/>
        <v>62</v>
      </c>
      <c r="AE17" s="75">
        <f t="shared" si="3"/>
        <v>31</v>
      </c>
      <c r="AF17" s="75">
        <f t="shared" si="3"/>
        <v>29</v>
      </c>
      <c r="AG17" s="75">
        <f t="shared" si="3"/>
        <v>28.5</v>
      </c>
      <c r="AH17" s="75">
        <f t="shared" si="3"/>
        <v>50.5</v>
      </c>
      <c r="AI17" s="75">
        <f t="shared" si="3"/>
        <v>63</v>
      </c>
      <c r="AJ17" s="71">
        <f t="shared" si="3"/>
        <v>264</v>
      </c>
    </row>
    <row r="18" spans="1:36">
      <c r="A18" s="29" t="s">
        <v>186</v>
      </c>
      <c r="B18" s="76">
        <v>46279</v>
      </c>
      <c r="C18" s="49">
        <v>2</v>
      </c>
      <c r="D18" s="50">
        <v>1</v>
      </c>
      <c r="E18" s="50">
        <v>0</v>
      </c>
      <c r="F18" s="50">
        <v>1</v>
      </c>
      <c r="G18" s="51">
        <v>0</v>
      </c>
      <c r="H18" s="55">
        <v>0</v>
      </c>
      <c r="I18" s="55">
        <v>0</v>
      </c>
      <c r="J18" s="50">
        <v>0</v>
      </c>
      <c r="K18" s="50">
        <v>0</v>
      </c>
      <c r="L18" s="57">
        <v>0</v>
      </c>
      <c r="M18" s="49">
        <v>1</v>
      </c>
      <c r="N18" s="50">
        <v>1</v>
      </c>
      <c r="O18" s="50">
        <v>1</v>
      </c>
      <c r="P18" s="51">
        <v>0</v>
      </c>
      <c r="Q18" s="53">
        <v>40.5</v>
      </c>
      <c r="R18" s="54">
        <v>0</v>
      </c>
      <c r="S18" s="55">
        <v>14</v>
      </c>
      <c r="T18" s="56">
        <v>294.83</v>
      </c>
      <c r="U18" s="49">
        <v>1165</v>
      </c>
      <c r="V18" s="51">
        <v>87</v>
      </c>
      <c r="W18" s="55">
        <v>2</v>
      </c>
      <c r="X18" s="50">
        <v>1</v>
      </c>
      <c r="Y18" s="50">
        <v>1</v>
      </c>
      <c r="Z18" s="50">
        <v>1</v>
      </c>
      <c r="AA18" s="57">
        <v>4</v>
      </c>
      <c r="AB18" s="57">
        <v>2</v>
      </c>
      <c r="AC18" s="57">
        <f>SUM(W18:AB18)</f>
        <v>11</v>
      </c>
      <c r="AD18" s="58">
        <v>9</v>
      </c>
      <c r="AE18" s="59">
        <v>2</v>
      </c>
      <c r="AF18" s="59">
        <v>2</v>
      </c>
      <c r="AG18" s="59">
        <v>2.5</v>
      </c>
      <c r="AH18" s="60">
        <v>9</v>
      </c>
      <c r="AI18" s="60">
        <v>4.5</v>
      </c>
      <c r="AJ18" s="54">
        <f>SUM(AD18:AI18)</f>
        <v>29</v>
      </c>
    </row>
    <row r="19" spans="1:36">
      <c r="A19" s="29"/>
      <c r="B19" s="76">
        <v>46280</v>
      </c>
      <c r="C19" s="49">
        <v>2</v>
      </c>
      <c r="D19" s="50">
        <v>1</v>
      </c>
      <c r="E19" s="50">
        <v>0</v>
      </c>
      <c r="F19" s="50">
        <v>1</v>
      </c>
      <c r="G19" s="51">
        <v>0</v>
      </c>
      <c r="H19" s="55">
        <v>1</v>
      </c>
      <c r="I19" s="55">
        <v>1</v>
      </c>
      <c r="J19" s="50">
        <v>1</v>
      </c>
      <c r="K19" s="50">
        <v>0</v>
      </c>
      <c r="L19" s="57">
        <v>0</v>
      </c>
      <c r="M19" s="49">
        <v>1</v>
      </c>
      <c r="N19" s="50">
        <v>0</v>
      </c>
      <c r="O19" s="50">
        <v>0</v>
      </c>
      <c r="P19" s="51">
        <v>0</v>
      </c>
      <c r="Q19" s="53">
        <v>23.6</v>
      </c>
      <c r="R19" s="54">
        <v>0</v>
      </c>
      <c r="S19" s="55">
        <v>9</v>
      </c>
      <c r="T19" s="56">
        <v>199.8</v>
      </c>
      <c r="U19" s="49">
        <v>1920</v>
      </c>
      <c r="V19" s="51">
        <v>212</v>
      </c>
      <c r="W19" s="55">
        <v>4</v>
      </c>
      <c r="X19" s="50">
        <v>0</v>
      </c>
      <c r="Y19" s="50">
        <v>0</v>
      </c>
      <c r="Z19" s="50">
        <v>2</v>
      </c>
      <c r="AA19" s="57">
        <v>1</v>
      </c>
      <c r="AB19" s="57">
        <v>2</v>
      </c>
      <c r="AC19" s="57">
        <f>SUM(W19:AB19)</f>
        <v>9</v>
      </c>
      <c r="AD19" s="58">
        <v>21.5</v>
      </c>
      <c r="AE19" s="59">
        <v>0</v>
      </c>
      <c r="AF19" s="59">
        <v>0</v>
      </c>
      <c r="AG19" s="59">
        <v>8</v>
      </c>
      <c r="AH19" s="60">
        <v>5.5</v>
      </c>
      <c r="AI19" s="60">
        <v>11</v>
      </c>
      <c r="AJ19" s="54">
        <f>SUM(AD19:AI19)</f>
        <v>46</v>
      </c>
    </row>
    <row r="20" spans="1:36">
      <c r="A20" s="29"/>
      <c r="B20" s="76">
        <v>46281</v>
      </c>
      <c r="C20" s="49">
        <v>0</v>
      </c>
      <c r="D20" s="50">
        <v>0</v>
      </c>
      <c r="E20" s="50">
        <v>0</v>
      </c>
      <c r="F20" s="50">
        <v>0</v>
      </c>
      <c r="G20" s="51">
        <v>0</v>
      </c>
      <c r="H20" s="55">
        <v>3</v>
      </c>
      <c r="I20" s="55">
        <v>3</v>
      </c>
      <c r="J20" s="50">
        <v>1</v>
      </c>
      <c r="K20" s="50">
        <v>2</v>
      </c>
      <c r="L20" s="57">
        <v>0</v>
      </c>
      <c r="M20" s="49">
        <v>0</v>
      </c>
      <c r="N20" s="50">
        <v>0</v>
      </c>
      <c r="O20" s="50">
        <v>0</v>
      </c>
      <c r="P20" s="51">
        <v>0</v>
      </c>
      <c r="Q20" s="53">
        <v>41.1</v>
      </c>
      <c r="R20" s="54">
        <v>0</v>
      </c>
      <c r="S20" s="55">
        <v>17</v>
      </c>
      <c r="T20" s="56">
        <v>267.21</v>
      </c>
      <c r="U20" s="82">
        <v>2045</v>
      </c>
      <c r="V20" s="51">
        <v>244</v>
      </c>
      <c r="W20" s="55">
        <v>1</v>
      </c>
      <c r="X20" s="50">
        <v>2</v>
      </c>
      <c r="Y20" s="50">
        <v>0</v>
      </c>
      <c r="Z20" s="50">
        <v>1</v>
      </c>
      <c r="AA20" s="57">
        <v>2</v>
      </c>
      <c r="AB20" s="57">
        <v>4</v>
      </c>
      <c r="AC20" s="57">
        <f>SUM(W20:AB20)</f>
        <v>10</v>
      </c>
      <c r="AD20" s="58">
        <v>5</v>
      </c>
      <c r="AE20" s="59">
        <v>9</v>
      </c>
      <c r="AF20" s="59">
        <v>0</v>
      </c>
      <c r="AG20" s="59">
        <v>3</v>
      </c>
      <c r="AH20" s="60">
        <v>7.5</v>
      </c>
      <c r="AI20" s="60">
        <v>19.5</v>
      </c>
      <c r="AJ20" s="54">
        <f>SUM(AD20:AI20)</f>
        <v>44</v>
      </c>
    </row>
    <row r="21" spans="1:36">
      <c r="A21" s="29"/>
      <c r="B21" s="76">
        <v>46282</v>
      </c>
      <c r="C21" s="49">
        <v>2</v>
      </c>
      <c r="D21" s="50">
        <v>2</v>
      </c>
      <c r="E21" s="50">
        <v>0</v>
      </c>
      <c r="F21" s="50">
        <v>2</v>
      </c>
      <c r="G21" s="51">
        <v>0</v>
      </c>
      <c r="H21" s="55">
        <v>0</v>
      </c>
      <c r="I21" s="55">
        <v>0</v>
      </c>
      <c r="J21" s="50">
        <v>0</v>
      </c>
      <c r="K21" s="50">
        <v>0</v>
      </c>
      <c r="L21" s="57">
        <v>0</v>
      </c>
      <c r="M21" s="49">
        <v>0</v>
      </c>
      <c r="N21" s="50">
        <v>0</v>
      </c>
      <c r="O21" s="50">
        <v>1</v>
      </c>
      <c r="P21" s="51">
        <v>0</v>
      </c>
      <c r="Q21" s="53">
        <v>31.5</v>
      </c>
      <c r="R21" s="54">
        <v>0</v>
      </c>
      <c r="S21" s="55">
        <v>15</v>
      </c>
      <c r="T21" s="56">
        <v>374.56</v>
      </c>
      <c r="U21" s="49">
        <v>987</v>
      </c>
      <c r="V21" s="51">
        <v>123</v>
      </c>
      <c r="W21" s="55">
        <v>1</v>
      </c>
      <c r="X21" s="50">
        <v>0</v>
      </c>
      <c r="Y21" s="50">
        <v>2</v>
      </c>
      <c r="Z21" s="50">
        <v>1</v>
      </c>
      <c r="AA21" s="57">
        <v>5</v>
      </c>
      <c r="AB21" s="57">
        <v>4</v>
      </c>
      <c r="AC21" s="57">
        <f>SUM(W21:AB21)</f>
        <v>13</v>
      </c>
      <c r="AD21" s="58">
        <v>3</v>
      </c>
      <c r="AE21" s="59">
        <v>0</v>
      </c>
      <c r="AF21" s="59">
        <v>10.5</v>
      </c>
      <c r="AG21" s="59">
        <v>3.5</v>
      </c>
      <c r="AH21" s="60">
        <v>20.5</v>
      </c>
      <c r="AI21" s="60">
        <v>13</v>
      </c>
      <c r="AJ21" s="54">
        <f>SUM(AD21:AI21)</f>
        <v>50.5</v>
      </c>
    </row>
    <row r="22" spans="1:36">
      <c r="A22" s="29"/>
      <c r="B22" s="76">
        <v>46283</v>
      </c>
      <c r="C22" s="49">
        <v>2</v>
      </c>
      <c r="D22" s="50">
        <v>2</v>
      </c>
      <c r="E22" s="50">
        <v>1</v>
      </c>
      <c r="F22" s="50">
        <v>1</v>
      </c>
      <c r="G22" s="51">
        <v>0</v>
      </c>
      <c r="H22" s="55">
        <v>3</v>
      </c>
      <c r="I22" s="55">
        <v>3</v>
      </c>
      <c r="J22" s="50">
        <v>0</v>
      </c>
      <c r="K22" s="50">
        <v>3</v>
      </c>
      <c r="L22" s="57">
        <v>0</v>
      </c>
      <c r="M22" s="49">
        <v>0</v>
      </c>
      <c r="N22" s="50">
        <v>1</v>
      </c>
      <c r="O22" s="50">
        <v>0</v>
      </c>
      <c r="P22" s="51">
        <v>0</v>
      </c>
      <c r="Q22" s="77">
        <v>20.8</v>
      </c>
      <c r="R22" s="54">
        <v>0</v>
      </c>
      <c r="S22" s="78">
        <v>18</v>
      </c>
      <c r="T22" s="79">
        <v>525.02</v>
      </c>
      <c r="U22" s="80">
        <v>244</v>
      </c>
      <c r="V22" s="81">
        <v>38</v>
      </c>
      <c r="W22" s="55">
        <v>1</v>
      </c>
      <c r="X22" s="50">
        <v>0</v>
      </c>
      <c r="Y22" s="50">
        <v>0</v>
      </c>
      <c r="Z22" s="50">
        <v>0</v>
      </c>
      <c r="AA22" s="57">
        <v>1</v>
      </c>
      <c r="AB22" s="57">
        <v>4</v>
      </c>
      <c r="AC22" s="57">
        <f>SUM(W22:AB22)</f>
        <v>6</v>
      </c>
      <c r="AD22" s="58">
        <v>3</v>
      </c>
      <c r="AE22" s="59">
        <v>0</v>
      </c>
      <c r="AF22" s="59">
        <v>0</v>
      </c>
      <c r="AG22" s="59">
        <v>0</v>
      </c>
      <c r="AH22" s="60">
        <v>3</v>
      </c>
      <c r="AI22" s="60">
        <v>15</v>
      </c>
      <c r="AJ22" s="54">
        <f>SUM(AD22:AI22)</f>
        <v>21</v>
      </c>
    </row>
    <row r="23" spans="1:36">
      <c r="A23" s="63" t="s">
        <v>126</v>
      </c>
      <c r="B23" s="64"/>
      <c r="C23" s="65">
        <f>SUM(C18:C22)</f>
        <v>8</v>
      </c>
      <c r="D23" s="66">
        <f>SUM(D18:D22)</f>
        <v>6</v>
      </c>
      <c r="E23" s="66">
        <f>SUM(E18:E22)</f>
        <v>1</v>
      </c>
      <c r="F23" s="66">
        <f>SUM(F18:F22)</f>
        <v>5</v>
      </c>
      <c r="G23" s="67">
        <f>SUM(G18:G22)</f>
        <v>0</v>
      </c>
      <c r="H23" s="72">
        <f t="shared" ref="H23:V23" si="4">SUM(H18:H22)</f>
        <v>7</v>
      </c>
      <c r="I23" s="66">
        <f t="shared" si="4"/>
        <v>7</v>
      </c>
      <c r="J23" s="66">
        <f t="shared" si="4"/>
        <v>2</v>
      </c>
      <c r="K23" s="66">
        <f t="shared" si="4"/>
        <v>5</v>
      </c>
      <c r="L23" s="74">
        <f t="shared" si="4"/>
        <v>0</v>
      </c>
      <c r="M23" s="65">
        <f t="shared" si="4"/>
        <v>2</v>
      </c>
      <c r="N23" s="66">
        <f t="shared" si="4"/>
        <v>2</v>
      </c>
      <c r="O23" s="66">
        <f t="shared" si="4"/>
        <v>2</v>
      </c>
      <c r="P23" s="67">
        <f t="shared" si="4"/>
        <v>0</v>
      </c>
      <c r="Q23" s="70">
        <f t="shared" si="4"/>
        <v>157.5</v>
      </c>
      <c r="R23" s="71">
        <f t="shared" si="4"/>
        <v>0</v>
      </c>
      <c r="S23" s="72">
        <f t="shared" si="4"/>
        <v>73</v>
      </c>
      <c r="T23" s="73">
        <f t="shared" si="4"/>
        <v>1661.42</v>
      </c>
      <c r="U23" s="65">
        <f t="shared" si="4"/>
        <v>6361</v>
      </c>
      <c r="V23" s="67">
        <f t="shared" si="4"/>
        <v>704</v>
      </c>
      <c r="W23" s="68">
        <f t="shared" ref="W23:AJ23" si="5">SUM(W18:W22)</f>
        <v>9</v>
      </c>
      <c r="X23" s="74">
        <f t="shared" si="5"/>
        <v>3</v>
      </c>
      <c r="Y23" s="74">
        <f t="shared" si="5"/>
        <v>3</v>
      </c>
      <c r="Z23" s="74">
        <f t="shared" si="5"/>
        <v>5</v>
      </c>
      <c r="AA23" s="74">
        <f t="shared" si="5"/>
        <v>13</v>
      </c>
      <c r="AB23" s="74">
        <f t="shared" si="5"/>
        <v>16</v>
      </c>
      <c r="AC23" s="74">
        <f t="shared" si="5"/>
        <v>49</v>
      </c>
      <c r="AD23" s="70">
        <f t="shared" si="5"/>
        <v>41.5</v>
      </c>
      <c r="AE23" s="75">
        <f t="shared" si="5"/>
        <v>11</v>
      </c>
      <c r="AF23" s="75">
        <f t="shared" si="5"/>
        <v>12.5</v>
      </c>
      <c r="AG23" s="75">
        <f t="shared" si="5"/>
        <v>17</v>
      </c>
      <c r="AH23" s="75">
        <f t="shared" si="5"/>
        <v>45.5</v>
      </c>
      <c r="AI23" s="75">
        <f t="shared" si="5"/>
        <v>63</v>
      </c>
      <c r="AJ23" s="71">
        <f t="shared" si="5"/>
        <v>190.5</v>
      </c>
    </row>
    <row r="24" spans="1:36">
      <c r="A24" s="29" t="s">
        <v>187</v>
      </c>
      <c r="B24" s="76">
        <v>46286</v>
      </c>
      <c r="C24" s="49">
        <v>1</v>
      </c>
      <c r="D24" s="50">
        <v>1</v>
      </c>
      <c r="E24" s="50">
        <v>0</v>
      </c>
      <c r="F24" s="50">
        <v>1</v>
      </c>
      <c r="G24" s="51">
        <v>0</v>
      </c>
      <c r="H24" s="55">
        <v>2</v>
      </c>
      <c r="I24" s="55">
        <v>2</v>
      </c>
      <c r="J24" s="50">
        <v>1</v>
      </c>
      <c r="K24" s="50">
        <v>1</v>
      </c>
      <c r="L24" s="57">
        <v>0</v>
      </c>
      <c r="M24" s="49">
        <v>1</v>
      </c>
      <c r="N24" s="50">
        <v>0</v>
      </c>
      <c r="O24" s="50">
        <v>0</v>
      </c>
      <c r="P24" s="51">
        <v>0</v>
      </c>
      <c r="Q24" s="53">
        <v>41.3</v>
      </c>
      <c r="R24" s="54">
        <v>10.5</v>
      </c>
      <c r="S24" s="55">
        <v>22</v>
      </c>
      <c r="T24" s="56">
        <v>604.67</v>
      </c>
      <c r="U24" s="49">
        <v>1995</v>
      </c>
      <c r="V24" s="51">
        <v>147</v>
      </c>
      <c r="W24" s="55">
        <v>3</v>
      </c>
      <c r="X24" s="50">
        <v>2</v>
      </c>
      <c r="Y24" s="50">
        <v>2</v>
      </c>
      <c r="Z24" s="50">
        <v>0</v>
      </c>
      <c r="AA24" s="57">
        <v>1</v>
      </c>
      <c r="AB24" s="57">
        <v>4</v>
      </c>
      <c r="AC24" s="57">
        <f>SUM(W24:AB24)</f>
        <v>12</v>
      </c>
      <c r="AD24" s="58">
        <v>10.5</v>
      </c>
      <c r="AE24" s="59">
        <v>10</v>
      </c>
      <c r="AF24" s="59">
        <v>9</v>
      </c>
      <c r="AG24" s="59">
        <v>0</v>
      </c>
      <c r="AH24" s="60">
        <v>3</v>
      </c>
      <c r="AI24" s="60">
        <v>10</v>
      </c>
      <c r="AJ24" s="54">
        <f>SUM(AD24:AI24)</f>
        <v>42.5</v>
      </c>
    </row>
    <row r="25" spans="1:36">
      <c r="A25" s="29"/>
      <c r="B25" s="76">
        <v>46287</v>
      </c>
      <c r="C25" s="49">
        <v>3</v>
      </c>
      <c r="D25" s="50">
        <v>2</v>
      </c>
      <c r="E25" s="50">
        <v>0</v>
      </c>
      <c r="F25" s="50">
        <v>2</v>
      </c>
      <c r="G25" s="51">
        <v>0</v>
      </c>
      <c r="H25" s="55">
        <v>2</v>
      </c>
      <c r="I25" s="55">
        <v>2</v>
      </c>
      <c r="J25" s="50">
        <v>1</v>
      </c>
      <c r="K25" s="50">
        <v>1</v>
      </c>
      <c r="L25" s="57">
        <v>0</v>
      </c>
      <c r="M25" s="49">
        <v>0</v>
      </c>
      <c r="N25" s="50">
        <v>0</v>
      </c>
      <c r="O25" s="50">
        <v>0</v>
      </c>
      <c r="P25" s="51">
        <v>0</v>
      </c>
      <c r="Q25" s="53">
        <v>18.9</v>
      </c>
      <c r="R25" s="54">
        <v>16.4</v>
      </c>
      <c r="S25" s="55">
        <v>10</v>
      </c>
      <c r="T25" s="56">
        <v>283.68</v>
      </c>
      <c r="U25" s="49">
        <v>1616</v>
      </c>
      <c r="V25" s="51">
        <v>93</v>
      </c>
      <c r="W25" s="55">
        <v>2</v>
      </c>
      <c r="X25" s="50">
        <v>0</v>
      </c>
      <c r="Y25" s="50">
        <v>2</v>
      </c>
      <c r="Z25" s="50">
        <v>0</v>
      </c>
      <c r="AA25" s="57">
        <v>1</v>
      </c>
      <c r="AB25" s="57">
        <v>1</v>
      </c>
      <c r="AC25" s="57">
        <f>SUM(W25:AB25)</f>
        <v>6</v>
      </c>
      <c r="AD25" s="58">
        <v>10</v>
      </c>
      <c r="AE25" s="59">
        <v>0</v>
      </c>
      <c r="AF25" s="59">
        <v>5.5</v>
      </c>
      <c r="AG25" s="59">
        <v>0</v>
      </c>
      <c r="AH25" s="60">
        <v>4</v>
      </c>
      <c r="AI25" s="60">
        <v>4.5</v>
      </c>
      <c r="AJ25" s="54">
        <f>SUM(AD25:AI25)</f>
        <v>24</v>
      </c>
    </row>
    <row r="26" spans="1:36">
      <c r="A26" s="29"/>
      <c r="B26" s="76">
        <v>46288</v>
      </c>
      <c r="C26" s="49">
        <v>0</v>
      </c>
      <c r="D26" s="50">
        <v>0</v>
      </c>
      <c r="E26" s="50">
        <v>0</v>
      </c>
      <c r="F26" s="50">
        <v>0</v>
      </c>
      <c r="G26" s="51">
        <v>0</v>
      </c>
      <c r="H26" s="55">
        <v>0</v>
      </c>
      <c r="I26" s="55">
        <v>0</v>
      </c>
      <c r="J26" s="50">
        <v>0</v>
      </c>
      <c r="K26" s="50">
        <v>0</v>
      </c>
      <c r="L26" s="57">
        <v>0</v>
      </c>
      <c r="M26" s="49">
        <v>1</v>
      </c>
      <c r="N26" s="50">
        <v>0</v>
      </c>
      <c r="O26" s="50">
        <v>0</v>
      </c>
      <c r="P26" s="51">
        <v>0</v>
      </c>
      <c r="Q26" s="53">
        <v>0</v>
      </c>
      <c r="R26" s="54">
        <v>0</v>
      </c>
      <c r="S26" s="55">
        <v>19</v>
      </c>
      <c r="T26" s="56">
        <v>240.87</v>
      </c>
      <c r="U26" s="49">
        <v>480</v>
      </c>
      <c r="V26" s="51">
        <v>53</v>
      </c>
      <c r="W26" s="55">
        <v>1</v>
      </c>
      <c r="X26" s="50">
        <v>1</v>
      </c>
      <c r="Y26" s="50">
        <v>2</v>
      </c>
      <c r="Z26" s="50">
        <v>0</v>
      </c>
      <c r="AA26" s="57">
        <v>2</v>
      </c>
      <c r="AB26" s="57">
        <v>2</v>
      </c>
      <c r="AC26" s="57">
        <f>SUM(W26:AB26)</f>
        <v>8</v>
      </c>
      <c r="AD26" s="58">
        <v>2</v>
      </c>
      <c r="AE26" s="59">
        <v>5</v>
      </c>
      <c r="AF26" s="59">
        <v>7.5</v>
      </c>
      <c r="AG26" s="59">
        <v>0</v>
      </c>
      <c r="AH26" s="60">
        <v>10</v>
      </c>
      <c r="AI26" s="60">
        <v>10</v>
      </c>
      <c r="AJ26" s="54">
        <f>SUM(AD26:AI26)</f>
        <v>34.5</v>
      </c>
    </row>
    <row r="27" spans="1:36">
      <c r="A27" s="29"/>
      <c r="B27" s="76">
        <v>46289</v>
      </c>
      <c r="C27" s="49">
        <v>2</v>
      </c>
      <c r="D27" s="50">
        <v>1</v>
      </c>
      <c r="E27" s="50">
        <v>0</v>
      </c>
      <c r="F27" s="50">
        <v>1</v>
      </c>
      <c r="G27" s="51">
        <v>0</v>
      </c>
      <c r="H27" s="55">
        <v>3</v>
      </c>
      <c r="I27" s="55">
        <v>3</v>
      </c>
      <c r="J27" s="50">
        <v>1</v>
      </c>
      <c r="K27" s="50">
        <v>2</v>
      </c>
      <c r="L27" s="57">
        <v>0</v>
      </c>
      <c r="M27" s="49">
        <v>1</v>
      </c>
      <c r="N27" s="50">
        <v>0</v>
      </c>
      <c r="O27" s="50">
        <v>1</v>
      </c>
      <c r="P27" s="51">
        <v>0</v>
      </c>
      <c r="Q27" s="53">
        <v>60.2</v>
      </c>
      <c r="R27" s="54">
        <v>3.1</v>
      </c>
      <c r="S27" s="55">
        <v>6</v>
      </c>
      <c r="T27" s="56">
        <v>138.09</v>
      </c>
      <c r="U27" s="49">
        <v>1587</v>
      </c>
      <c r="V27" s="51">
        <v>193</v>
      </c>
      <c r="W27" s="55">
        <v>3</v>
      </c>
      <c r="X27" s="50">
        <v>2</v>
      </c>
      <c r="Y27" s="50">
        <v>2</v>
      </c>
      <c r="Z27" s="50">
        <v>2</v>
      </c>
      <c r="AA27" s="57">
        <v>1</v>
      </c>
      <c r="AB27" s="57">
        <v>1</v>
      </c>
      <c r="AC27" s="57">
        <f>SUM(W27:AB27)</f>
        <v>11</v>
      </c>
      <c r="AD27" s="58">
        <v>16.5</v>
      </c>
      <c r="AE27" s="59">
        <v>6.5</v>
      </c>
      <c r="AF27" s="59">
        <v>5</v>
      </c>
      <c r="AG27" s="59">
        <v>8</v>
      </c>
      <c r="AH27" s="60">
        <v>4</v>
      </c>
      <c r="AI27" s="60">
        <v>3</v>
      </c>
      <c r="AJ27" s="54">
        <f>SUM(AD27:AI27)</f>
        <v>43</v>
      </c>
    </row>
    <row r="28" spans="1:36">
      <c r="A28" s="29"/>
      <c r="B28" s="76">
        <v>46290</v>
      </c>
      <c r="C28" s="49">
        <v>1</v>
      </c>
      <c r="D28" s="50">
        <v>1</v>
      </c>
      <c r="E28" s="50">
        <v>0</v>
      </c>
      <c r="F28" s="50">
        <v>1</v>
      </c>
      <c r="G28" s="51">
        <v>0</v>
      </c>
      <c r="H28" s="55">
        <v>0</v>
      </c>
      <c r="I28" s="55">
        <v>0</v>
      </c>
      <c r="J28" s="50">
        <v>0</v>
      </c>
      <c r="K28" s="50">
        <v>0</v>
      </c>
      <c r="L28" s="57">
        <v>0</v>
      </c>
      <c r="M28" s="49">
        <v>0</v>
      </c>
      <c r="N28" s="50">
        <v>0</v>
      </c>
      <c r="O28" s="50">
        <v>0</v>
      </c>
      <c r="P28" s="51">
        <v>0</v>
      </c>
      <c r="Q28" s="77">
        <v>46.3</v>
      </c>
      <c r="R28" s="54">
        <v>2.8</v>
      </c>
      <c r="S28" s="78">
        <v>4</v>
      </c>
      <c r="T28" s="79">
        <v>88.41</v>
      </c>
      <c r="U28" s="80">
        <v>1380</v>
      </c>
      <c r="V28" s="81">
        <v>196</v>
      </c>
      <c r="W28" s="55">
        <v>2</v>
      </c>
      <c r="X28" s="50">
        <v>0</v>
      </c>
      <c r="Y28" s="50">
        <v>2</v>
      </c>
      <c r="Z28" s="50">
        <v>0</v>
      </c>
      <c r="AA28" s="57">
        <v>2</v>
      </c>
      <c r="AB28" s="57">
        <v>4</v>
      </c>
      <c r="AC28" s="57">
        <f>SUM(W28:AB28)</f>
        <v>10</v>
      </c>
      <c r="AD28" s="58">
        <v>7</v>
      </c>
      <c r="AE28" s="59">
        <v>0</v>
      </c>
      <c r="AF28" s="59">
        <v>10.5</v>
      </c>
      <c r="AG28" s="59">
        <v>0</v>
      </c>
      <c r="AH28" s="60">
        <v>8.5</v>
      </c>
      <c r="AI28" s="60">
        <v>12</v>
      </c>
      <c r="AJ28" s="54">
        <f>SUM(AD28:AI28)</f>
        <v>38</v>
      </c>
    </row>
    <row r="29" spans="1:36">
      <c r="A29" s="63" t="s">
        <v>126</v>
      </c>
      <c r="B29" s="64"/>
      <c r="C29" s="65">
        <f>SUM(C24:C28)</f>
        <v>7</v>
      </c>
      <c r="D29" s="66">
        <f>SUM(D24:D28)</f>
        <v>5</v>
      </c>
      <c r="E29" s="66">
        <f>SUM(E24:E28)</f>
        <v>0</v>
      </c>
      <c r="F29" s="66">
        <f>SUM(F24:F28)</f>
        <v>5</v>
      </c>
      <c r="G29" s="67">
        <f>SUM(G24:G28)</f>
        <v>0</v>
      </c>
      <c r="H29" s="72">
        <f t="shared" ref="H29:V29" si="6">SUM(H24:H28)</f>
        <v>7</v>
      </c>
      <c r="I29" s="66">
        <f t="shared" si="6"/>
        <v>7</v>
      </c>
      <c r="J29" s="66">
        <f t="shared" si="6"/>
        <v>3</v>
      </c>
      <c r="K29" s="66">
        <f t="shared" si="6"/>
        <v>4</v>
      </c>
      <c r="L29" s="74">
        <f t="shared" si="6"/>
        <v>0</v>
      </c>
      <c r="M29" s="65">
        <f t="shared" si="6"/>
        <v>3</v>
      </c>
      <c r="N29" s="66">
        <f t="shared" si="6"/>
        <v>0</v>
      </c>
      <c r="O29" s="66">
        <f t="shared" si="6"/>
        <v>1</v>
      </c>
      <c r="P29" s="67">
        <f t="shared" si="6"/>
        <v>0</v>
      </c>
      <c r="Q29" s="70">
        <f t="shared" si="6"/>
        <v>166.7</v>
      </c>
      <c r="R29" s="71">
        <f t="shared" si="6"/>
        <v>32.8</v>
      </c>
      <c r="S29" s="72">
        <f t="shared" si="6"/>
        <v>61</v>
      </c>
      <c r="T29" s="73">
        <f t="shared" si="6"/>
        <v>1355.72</v>
      </c>
      <c r="U29" s="65">
        <f t="shared" si="6"/>
        <v>7058</v>
      </c>
      <c r="V29" s="67">
        <f t="shared" si="6"/>
        <v>682</v>
      </c>
      <c r="W29" s="68">
        <f t="shared" ref="W29:AJ29" si="7">SUM(W24:W28)</f>
        <v>11</v>
      </c>
      <c r="X29" s="74">
        <f t="shared" si="7"/>
        <v>5</v>
      </c>
      <c r="Y29" s="74">
        <f t="shared" si="7"/>
        <v>10</v>
      </c>
      <c r="Z29" s="74">
        <f t="shared" si="7"/>
        <v>2</v>
      </c>
      <c r="AA29" s="74">
        <f t="shared" si="7"/>
        <v>7</v>
      </c>
      <c r="AB29" s="74">
        <f t="shared" si="7"/>
        <v>12</v>
      </c>
      <c r="AC29" s="74">
        <f t="shared" si="7"/>
        <v>47</v>
      </c>
      <c r="AD29" s="70">
        <f t="shared" si="7"/>
        <v>46</v>
      </c>
      <c r="AE29" s="75">
        <f t="shared" si="7"/>
        <v>21.5</v>
      </c>
      <c r="AF29" s="75">
        <f t="shared" si="7"/>
        <v>37.5</v>
      </c>
      <c r="AG29" s="75">
        <f t="shared" si="7"/>
        <v>8</v>
      </c>
      <c r="AH29" s="75">
        <f t="shared" si="7"/>
        <v>29.5</v>
      </c>
      <c r="AI29" s="75">
        <f t="shared" si="7"/>
        <v>39.5</v>
      </c>
      <c r="AJ29" s="71">
        <f t="shared" si="7"/>
        <v>182</v>
      </c>
    </row>
    <row r="30" spans="1:36">
      <c r="A30" s="29" t="s">
        <v>188</v>
      </c>
      <c r="B30" s="76">
        <v>46293</v>
      </c>
      <c r="C30" s="49">
        <v>4</v>
      </c>
      <c r="D30" s="50">
        <v>4</v>
      </c>
      <c r="E30" s="50">
        <v>1</v>
      </c>
      <c r="F30" s="50">
        <v>3</v>
      </c>
      <c r="G30" s="51">
        <v>0</v>
      </c>
      <c r="H30" s="55">
        <v>3</v>
      </c>
      <c r="I30" s="55">
        <v>3</v>
      </c>
      <c r="J30" s="50">
        <v>1</v>
      </c>
      <c r="K30" s="50">
        <v>2</v>
      </c>
      <c r="L30" s="57">
        <v>0</v>
      </c>
      <c r="M30" s="49">
        <v>1</v>
      </c>
      <c r="N30" s="50">
        <v>0</v>
      </c>
      <c r="O30" s="50">
        <v>0</v>
      </c>
      <c r="P30" s="51">
        <v>0</v>
      </c>
      <c r="Q30" s="53">
        <v>0</v>
      </c>
      <c r="R30" s="54">
        <v>0</v>
      </c>
      <c r="S30" s="55">
        <v>19</v>
      </c>
      <c r="T30" s="56">
        <v>274.31</v>
      </c>
      <c r="U30" s="49">
        <v>908</v>
      </c>
      <c r="V30" s="51">
        <v>136</v>
      </c>
      <c r="W30" s="55">
        <v>4</v>
      </c>
      <c r="X30" s="50">
        <v>1</v>
      </c>
      <c r="Y30" s="50">
        <v>2</v>
      </c>
      <c r="Z30" s="50">
        <v>1</v>
      </c>
      <c r="AA30" s="57">
        <v>5</v>
      </c>
      <c r="AB30" s="57">
        <v>3</v>
      </c>
      <c r="AC30" s="57">
        <f>SUM(W30:AB30)</f>
        <v>16</v>
      </c>
      <c r="AD30" s="58">
        <v>9.5</v>
      </c>
      <c r="AE30" s="59">
        <v>3.5</v>
      </c>
      <c r="AF30" s="59">
        <v>10</v>
      </c>
      <c r="AG30" s="59">
        <v>4.5</v>
      </c>
      <c r="AH30" s="60">
        <v>25.5</v>
      </c>
      <c r="AI30" s="60">
        <v>9.5</v>
      </c>
      <c r="AJ30" s="54">
        <f>SUM(AD30:AI30)</f>
        <v>62.5</v>
      </c>
    </row>
    <row r="31" spans="1:36">
      <c r="A31" s="29"/>
      <c r="B31" s="76">
        <v>46294</v>
      </c>
      <c r="C31" s="49">
        <v>1</v>
      </c>
      <c r="D31" s="50">
        <v>0</v>
      </c>
      <c r="E31" s="50">
        <v>0</v>
      </c>
      <c r="F31" s="50">
        <v>0</v>
      </c>
      <c r="G31" s="51">
        <v>0</v>
      </c>
      <c r="H31" s="55">
        <v>3</v>
      </c>
      <c r="I31" s="55">
        <v>3</v>
      </c>
      <c r="J31" s="50">
        <v>1</v>
      </c>
      <c r="K31" s="50">
        <v>2</v>
      </c>
      <c r="L31" s="57">
        <v>0</v>
      </c>
      <c r="M31" s="49">
        <v>1</v>
      </c>
      <c r="N31" s="50">
        <v>0</v>
      </c>
      <c r="O31" s="50">
        <v>0</v>
      </c>
      <c r="P31" s="51">
        <v>0</v>
      </c>
      <c r="Q31" s="53">
        <v>10.8</v>
      </c>
      <c r="R31" s="54">
        <v>21.7</v>
      </c>
      <c r="S31" s="55">
        <v>18</v>
      </c>
      <c r="T31" s="56">
        <v>522.42</v>
      </c>
      <c r="U31" s="49">
        <v>1848</v>
      </c>
      <c r="V31" s="51">
        <v>183</v>
      </c>
      <c r="W31" s="55">
        <v>3</v>
      </c>
      <c r="X31" s="50">
        <v>2</v>
      </c>
      <c r="Y31" s="50">
        <v>2</v>
      </c>
      <c r="Z31" s="50">
        <v>0</v>
      </c>
      <c r="AA31" s="57">
        <v>1</v>
      </c>
      <c r="AB31" s="57">
        <v>2</v>
      </c>
      <c r="AC31" s="57">
        <f>SUM(W31:AB31)</f>
        <v>10</v>
      </c>
      <c r="AD31" s="58">
        <v>7.5</v>
      </c>
      <c r="AE31" s="59">
        <v>7.5</v>
      </c>
      <c r="AF31" s="59">
        <v>6</v>
      </c>
      <c r="AG31" s="59">
        <v>0</v>
      </c>
      <c r="AH31" s="60">
        <v>2.5</v>
      </c>
      <c r="AI31" s="60">
        <v>5.5</v>
      </c>
      <c r="AJ31" s="54">
        <f>SUM(AD31:AI31)</f>
        <v>29</v>
      </c>
    </row>
    <row r="32" spans="1:36">
      <c r="A32" s="29"/>
      <c r="B32" s="76">
        <v>46295</v>
      </c>
      <c r="C32" s="49">
        <v>4</v>
      </c>
      <c r="D32" s="50">
        <v>4</v>
      </c>
      <c r="E32" s="50">
        <v>0</v>
      </c>
      <c r="F32" s="50">
        <v>4</v>
      </c>
      <c r="G32" s="51">
        <v>0</v>
      </c>
      <c r="H32" s="55">
        <v>1</v>
      </c>
      <c r="I32" s="55">
        <v>0</v>
      </c>
      <c r="J32" s="50">
        <v>0</v>
      </c>
      <c r="K32" s="50">
        <v>0</v>
      </c>
      <c r="L32" s="57">
        <v>0</v>
      </c>
      <c r="M32" s="49">
        <v>1</v>
      </c>
      <c r="N32" s="50">
        <v>0</v>
      </c>
      <c r="O32" s="50">
        <v>0</v>
      </c>
      <c r="P32" s="51">
        <v>0</v>
      </c>
      <c r="Q32" s="53">
        <v>0</v>
      </c>
      <c r="R32" s="54">
        <v>0</v>
      </c>
      <c r="S32" s="55">
        <v>20</v>
      </c>
      <c r="T32" s="56">
        <v>530.62</v>
      </c>
      <c r="U32" s="49">
        <v>364</v>
      </c>
      <c r="V32" s="51">
        <v>46</v>
      </c>
      <c r="W32" s="55">
        <v>2</v>
      </c>
      <c r="X32" s="50">
        <v>0</v>
      </c>
      <c r="Y32" s="50">
        <v>2</v>
      </c>
      <c r="Z32" s="50">
        <v>1</v>
      </c>
      <c r="AA32" s="57">
        <v>5</v>
      </c>
      <c r="AB32" s="57">
        <v>4</v>
      </c>
      <c r="AC32" s="57">
        <f>SUM(W32:AB32)</f>
        <v>14</v>
      </c>
      <c r="AD32" s="58">
        <v>8.5</v>
      </c>
      <c r="AE32" s="59">
        <v>0</v>
      </c>
      <c r="AF32" s="59">
        <v>5</v>
      </c>
      <c r="AG32" s="59">
        <v>5</v>
      </c>
      <c r="AH32" s="60">
        <v>22.5</v>
      </c>
      <c r="AI32" s="60">
        <v>11.5</v>
      </c>
      <c r="AJ32" s="54">
        <f>SUM(AD32:AI32)</f>
        <v>52.5</v>
      </c>
    </row>
    <row r="33" spans="1:36">
      <c r="A33" s="29"/>
      <c r="B33" s="76"/>
      <c r="C33" s="49"/>
      <c r="D33" s="50"/>
      <c r="E33" s="50"/>
      <c r="F33" s="50"/>
      <c r="G33" s="51"/>
      <c r="H33" s="55"/>
      <c r="I33" s="55"/>
      <c r="J33" s="50"/>
      <c r="K33" s="50"/>
      <c r="L33" s="57"/>
      <c r="M33" s="49"/>
      <c r="N33" s="50"/>
      <c r="O33" s="50"/>
      <c r="P33" s="51"/>
      <c r="Q33" s="53"/>
      <c r="R33" s="54"/>
      <c r="S33" s="55"/>
      <c r="T33" s="56"/>
      <c r="U33" s="49"/>
      <c r="V33" s="51"/>
      <c r="W33" s="55"/>
      <c r="X33" s="50"/>
      <c r="Y33" s="50"/>
      <c r="Z33" s="50"/>
      <c r="AA33" s="57"/>
      <c r="AB33" s="57"/>
      <c r="AC33" s="57">
        <f>SUM(W33:AB33)</f>
        <v>0</v>
      </c>
      <c r="AD33" s="58"/>
      <c r="AE33" s="59"/>
      <c r="AF33" s="59"/>
      <c r="AG33" s="59"/>
      <c r="AH33" s="60"/>
      <c r="AI33" s="60"/>
      <c r="AJ33" s="54">
        <f>SUM(AD33:AI33)</f>
        <v>0</v>
      </c>
    </row>
    <row r="34" spans="1:36">
      <c r="A34" s="29"/>
      <c r="B34" s="61"/>
      <c r="C34" s="49"/>
      <c r="D34" s="50"/>
      <c r="E34" s="50"/>
      <c r="F34" s="50"/>
      <c r="G34" s="51"/>
      <c r="H34" s="55"/>
      <c r="I34" s="55"/>
      <c r="J34" s="50"/>
      <c r="K34" s="50"/>
      <c r="L34" s="57"/>
      <c r="M34" s="49"/>
      <c r="N34" s="50"/>
      <c r="O34" s="50"/>
      <c r="P34" s="51"/>
      <c r="Q34" s="77"/>
      <c r="R34" s="54"/>
      <c r="S34" s="78"/>
      <c r="T34" s="79"/>
      <c r="U34" s="80"/>
      <c r="V34" s="81"/>
      <c r="W34" s="55"/>
      <c r="X34" s="50"/>
      <c r="Y34" s="50"/>
      <c r="Z34" s="50"/>
      <c r="AA34" s="57"/>
      <c r="AB34" s="57"/>
      <c r="AC34" s="57">
        <f>SUM(W34:AB34)</f>
        <v>0</v>
      </c>
      <c r="AD34" s="58"/>
      <c r="AE34" s="59"/>
      <c r="AF34" s="59"/>
      <c r="AG34" s="59"/>
      <c r="AH34" s="60"/>
      <c r="AI34" s="60"/>
      <c r="AJ34" s="54">
        <f>SUM(AD34:AI34)</f>
        <v>0</v>
      </c>
    </row>
    <row r="35" ht="17.55" spans="1:36">
      <c r="A35" s="83" t="s">
        <v>126</v>
      </c>
      <c r="B35" s="84"/>
      <c r="C35" s="85">
        <f>SUM(C30:C32)</f>
        <v>9</v>
      </c>
      <c r="D35" s="86">
        <f>SUM(D30:D32)</f>
        <v>8</v>
      </c>
      <c r="E35" s="86">
        <f>SUM(E30:E32)</f>
        <v>1</v>
      </c>
      <c r="F35" s="86">
        <f>SUM(F30:F32)</f>
        <v>7</v>
      </c>
      <c r="G35" s="87">
        <f>SUM(G30:G32)</f>
        <v>0</v>
      </c>
      <c r="H35" s="88">
        <f t="shared" ref="H35:V35" si="8">SUM(H30:H32)</f>
        <v>7</v>
      </c>
      <c r="I35" s="86">
        <f t="shared" si="8"/>
        <v>6</v>
      </c>
      <c r="J35" s="86">
        <f t="shared" si="8"/>
        <v>2</v>
      </c>
      <c r="K35" s="86">
        <f t="shared" si="8"/>
        <v>4</v>
      </c>
      <c r="L35" s="89">
        <f t="shared" si="8"/>
        <v>0</v>
      </c>
      <c r="M35" s="90">
        <f t="shared" si="8"/>
        <v>3</v>
      </c>
      <c r="N35" s="91">
        <f t="shared" si="8"/>
        <v>0</v>
      </c>
      <c r="O35" s="91">
        <f t="shared" si="8"/>
        <v>0</v>
      </c>
      <c r="P35" s="92">
        <f t="shared" si="8"/>
        <v>0</v>
      </c>
      <c r="Q35" s="93">
        <f t="shared" si="8"/>
        <v>10.8</v>
      </c>
      <c r="R35" s="94">
        <f t="shared" si="8"/>
        <v>21.7</v>
      </c>
      <c r="S35" s="95">
        <f t="shared" si="8"/>
        <v>57</v>
      </c>
      <c r="T35" s="96">
        <f t="shared" si="8"/>
        <v>1327.35</v>
      </c>
      <c r="U35" s="85">
        <f t="shared" si="8"/>
        <v>3120</v>
      </c>
      <c r="V35" s="87">
        <f t="shared" si="8"/>
        <v>365</v>
      </c>
      <c r="W35" s="97">
        <f t="shared" ref="W35:AJ35" si="9">SUM(W30:W32)</f>
        <v>9</v>
      </c>
      <c r="X35" s="98">
        <f t="shared" si="9"/>
        <v>3</v>
      </c>
      <c r="Y35" s="98">
        <f t="shared" si="9"/>
        <v>6</v>
      </c>
      <c r="Z35" s="98">
        <f t="shared" si="9"/>
        <v>2</v>
      </c>
      <c r="AA35" s="98">
        <f t="shared" si="9"/>
        <v>11</v>
      </c>
      <c r="AB35" s="98">
        <f t="shared" si="9"/>
        <v>9</v>
      </c>
      <c r="AC35" s="98">
        <f t="shared" si="9"/>
        <v>40</v>
      </c>
      <c r="AD35" s="99">
        <f t="shared" si="9"/>
        <v>25.5</v>
      </c>
      <c r="AE35" s="100">
        <f t="shared" si="9"/>
        <v>11</v>
      </c>
      <c r="AF35" s="100">
        <f t="shared" si="9"/>
        <v>21</v>
      </c>
      <c r="AG35" s="100">
        <f t="shared" si="9"/>
        <v>9.5</v>
      </c>
      <c r="AH35" s="100">
        <f t="shared" si="9"/>
        <v>50.5</v>
      </c>
      <c r="AI35" s="100">
        <f t="shared" si="9"/>
        <v>26.5</v>
      </c>
      <c r="AJ35" s="101">
        <f t="shared" si="9"/>
        <v>144</v>
      </c>
    </row>
    <row r="36" s="4" customFormat="1" ht="37.2" customHeight="1" spans="1:36">
      <c r="A36" s="102" t="s">
        <v>207</v>
      </c>
      <c r="B36" s="103"/>
      <c r="C36" s="104">
        <f>C11+C17+C23+C29+C35</f>
        <v>45</v>
      </c>
      <c r="D36" s="105">
        <f>D11+D17+D23+D29+D35</f>
        <v>39</v>
      </c>
      <c r="E36" s="105">
        <f>E11+E17+E23+E29+E35</f>
        <v>5</v>
      </c>
      <c r="F36" s="105">
        <f>F11+F17+F23+F29+F35</f>
        <v>34</v>
      </c>
      <c r="G36" s="106">
        <f>G11+G17+G23+G29+G35</f>
        <v>0</v>
      </c>
      <c r="H36" s="107">
        <f t="shared" ref="H36:V36" si="10">H11+H17+H23+H29+H35</f>
        <v>30</v>
      </c>
      <c r="I36" s="105">
        <f t="shared" si="10"/>
        <v>26</v>
      </c>
      <c r="J36" s="105">
        <f t="shared" si="10"/>
        <v>10</v>
      </c>
      <c r="K36" s="105">
        <f t="shared" si="10"/>
        <v>16</v>
      </c>
      <c r="L36" s="108">
        <f t="shared" si="10"/>
        <v>0</v>
      </c>
      <c r="M36" s="109">
        <f t="shared" si="10"/>
        <v>11</v>
      </c>
      <c r="N36" s="110">
        <f t="shared" si="10"/>
        <v>6</v>
      </c>
      <c r="O36" s="110">
        <f t="shared" si="10"/>
        <v>8</v>
      </c>
      <c r="P36" s="111">
        <f t="shared" si="10"/>
        <v>1</v>
      </c>
      <c r="Q36" s="112">
        <f t="shared" si="10"/>
        <v>578.3</v>
      </c>
      <c r="R36" s="113">
        <f t="shared" si="10"/>
        <v>117.8</v>
      </c>
      <c r="S36" s="114">
        <f t="shared" si="10"/>
        <v>305</v>
      </c>
      <c r="T36" s="115">
        <f t="shared" si="10"/>
        <v>7142.4</v>
      </c>
      <c r="U36" s="105">
        <f t="shared" si="10"/>
        <v>27038</v>
      </c>
      <c r="V36" s="105">
        <f t="shared" si="10"/>
        <v>2700</v>
      </c>
      <c r="W36" s="116">
        <f t="shared" ref="W36:AJ36" si="11">W11+W17+W23+W29+W35</f>
        <v>57</v>
      </c>
      <c r="X36" s="116">
        <f t="shared" si="11"/>
        <v>20</v>
      </c>
      <c r="Y36" s="116">
        <f t="shared" si="11"/>
        <v>33</v>
      </c>
      <c r="Z36" s="116">
        <f t="shared" si="11"/>
        <v>17</v>
      </c>
      <c r="AA36" s="116">
        <f t="shared" si="11"/>
        <v>52</v>
      </c>
      <c r="AB36" s="116">
        <f t="shared" si="11"/>
        <v>63</v>
      </c>
      <c r="AC36" s="116">
        <f t="shared" si="11"/>
        <v>242</v>
      </c>
      <c r="AD36" s="117">
        <f t="shared" si="11"/>
        <v>222</v>
      </c>
      <c r="AE36" s="118">
        <f t="shared" si="11"/>
        <v>81</v>
      </c>
      <c r="AF36" s="118">
        <f t="shared" si="11"/>
        <v>117</v>
      </c>
      <c r="AG36" s="118">
        <f t="shared" si="11"/>
        <v>69.5</v>
      </c>
      <c r="AH36" s="118">
        <f t="shared" si="11"/>
        <v>210</v>
      </c>
      <c r="AI36" s="118">
        <f t="shared" si="11"/>
        <v>224.5</v>
      </c>
      <c r="AJ36" s="113">
        <f t="shared" si="11"/>
        <v>924</v>
      </c>
    </row>
    <row r="41" spans="1:36">
      <c r="T41" s="5"/>
      <c r="W41" s="2"/>
    </row>
    <row r="42" spans="1:36">
      <c r="T42" s="5"/>
      <c r="W42" s="2"/>
    </row>
    <row r="43" spans="1:36">
      <c r="T43" s="5"/>
      <c r="W43" s="2"/>
    </row>
    <row r="44" spans="1:36">
      <c r="T44" s="5"/>
      <c r="W44" s="2"/>
    </row>
    <row r="45" spans="1:36">
      <c r="T45" s="5"/>
      <c r="W45" s="2"/>
    </row>
    <row r="46" spans="1:36">
      <c r="T46" s="5"/>
      <c r="W46" s="2"/>
    </row>
    <row r="47" spans="1:36">
      <c r="T47" s="5"/>
      <c r="W47" s="2"/>
    </row>
    <row r="48" spans="1:36">
      <c r="T48" s="5"/>
      <c r="W48" s="2"/>
    </row>
    <row r="49" spans="20:23">
      <c r="T49" s="5"/>
      <c r="W49" s="2"/>
    </row>
    <row r="50" spans="20:23">
      <c r="T50" s="5"/>
      <c r="W50" s="2"/>
    </row>
    <row r="51" spans="20:23">
      <c r="T51" s="5"/>
      <c r="W51" s="2"/>
    </row>
    <row r="52" spans="20:23">
      <c r="T52" s="5"/>
      <c r="W52" s="2"/>
    </row>
    <row r="53" spans="20:23">
      <c r="T53" s="5"/>
      <c r="W53" s="2"/>
    </row>
    <row r="54" spans="20:23">
      <c r="T54" s="5"/>
      <c r="W54" s="2"/>
    </row>
    <row r="55" spans="20:23">
      <c r="T55" s="5"/>
      <c r="W55" s="2"/>
    </row>
    <row r="56" spans="20:23">
      <c r="T56" s="5"/>
      <c r="W56" s="2"/>
    </row>
    <row r="57" spans="20:23">
      <c r="T57" s="5"/>
      <c r="W57" s="2"/>
    </row>
    <row r="58" spans="20:23">
      <c r="T58" s="5"/>
      <c r="W58" s="2"/>
    </row>
    <row r="59" spans="20:23">
      <c r="T59" s="5"/>
      <c r="W59" s="2"/>
    </row>
    <row r="60" spans="20:23">
      <c r="T60" s="5"/>
      <c r="W60" s="2"/>
    </row>
    <row r="61" spans="20:23">
      <c r="T61" s="5"/>
      <c r="W61" s="2"/>
    </row>
    <row r="62" spans="20:23">
      <c r="T62" s="5"/>
      <c r="W62" s="2"/>
    </row>
    <row r="63" spans="20:23">
      <c r="T63" s="5"/>
      <c r="W63" s="2"/>
    </row>
    <row r="64" spans="20:23">
      <c r="T64" s="5"/>
      <c r="W64" s="2"/>
    </row>
    <row r="65" spans="20:23">
      <c r="T65" s="5"/>
      <c r="W65" s="2"/>
    </row>
    <row r="66" spans="20:23">
      <c r="T66" s="5"/>
      <c r="W66" s="2"/>
    </row>
    <row r="67" spans="20:23">
      <c r="T67" s="5"/>
      <c r="W67" s="2"/>
    </row>
    <row r="68" spans="20:23">
      <c r="T68" s="5"/>
      <c r="W68" s="2"/>
    </row>
    <row r="69" spans="20:23">
      <c r="T69" s="5"/>
      <c r="W69" s="2"/>
    </row>
    <row r="70" spans="20:23">
      <c r="T70" s="5"/>
      <c r="W70" s="2"/>
    </row>
    <row r="71" spans="20:23">
      <c r="T71" s="5"/>
      <c r="W71" s="2"/>
    </row>
    <row r="72" spans="20:23">
      <c r="T72" s="5"/>
      <c r="W72" s="2"/>
    </row>
    <row r="73" spans="20:23">
      <c r="T73" s="5"/>
      <c r="W73" s="2"/>
    </row>
    <row r="74" spans="20:23">
      <c r="T74" s="5"/>
      <c r="W74" s="2"/>
    </row>
  </sheetData>
  <mergeCells count="20">
    <mergeCell ref="C4:G4"/>
    <mergeCell ref="H4:L4"/>
    <mergeCell ref="M4:P4"/>
    <mergeCell ref="Q4:R4"/>
    <mergeCell ref="S4:T4"/>
    <mergeCell ref="U4:V4"/>
    <mergeCell ref="W4:AC4"/>
    <mergeCell ref="AD4:AJ4"/>
    <mergeCell ref="A11:B11"/>
    <mergeCell ref="A17:B17"/>
    <mergeCell ref="A23:B23"/>
    <mergeCell ref="A29:B29"/>
    <mergeCell ref="A35:B35"/>
    <mergeCell ref="A36:B36"/>
    <mergeCell ref="A6:A10"/>
    <mergeCell ref="A12:A16"/>
    <mergeCell ref="A18:A22"/>
    <mergeCell ref="A24:A28"/>
    <mergeCell ref="A30:A34"/>
    <mergeCell ref="E1:AA2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74"/>
  <sheetViews>
    <sheetView workbookViewId="0">
      <selection activeCell="A1" sqref="A1"/>
    </sheetView>
  </sheetViews>
  <sheetFormatPr defaultColWidth="13.6923076923077" defaultRowHeight="16.8"/>
  <cols>
    <col min="1" max="1" width="3.68269230769231" style="2" customWidth="1"/>
    <col min="2" max="22" width="13.6923076923077" style="2" customWidth="1"/>
    <col min="23" max="23" width="13.6923076923077" style="5" customWidth="1"/>
    <col min="24" max="16384" width="13.6923076923077" style="2" customWidth="1"/>
  </cols>
  <sheetData>
    <row r="1" spans="1:36">
      <c r="E1" s="6" t="s">
        <v>104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36"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17.55"/>
    <row r="4" s="1" customFormat="1" ht="17.55" spans="1:36">
      <c r="C4" s="8" t="s">
        <v>105</v>
      </c>
      <c r="D4" s="9"/>
      <c r="E4" s="9"/>
      <c r="F4" s="9"/>
      <c r="G4" s="10"/>
      <c r="H4" s="9" t="s">
        <v>106</v>
      </c>
      <c r="I4" s="9"/>
      <c r="J4" s="9"/>
      <c r="K4" s="9"/>
      <c r="L4" s="9"/>
      <c r="M4" s="8" t="s">
        <v>107</v>
      </c>
      <c r="N4" s="9"/>
      <c r="O4" s="9"/>
      <c r="P4" s="11"/>
      <c r="Q4" s="12" t="s">
        <v>124</v>
      </c>
      <c r="R4" s="10"/>
      <c r="S4" s="9" t="s">
        <v>109</v>
      </c>
      <c r="T4" s="11"/>
      <c r="U4" s="13" t="s">
        <v>110</v>
      </c>
      <c r="V4" s="14"/>
      <c r="W4" s="12" t="s">
        <v>111</v>
      </c>
      <c r="X4" s="15"/>
      <c r="Y4" s="15"/>
      <c r="Z4" s="15"/>
      <c r="AA4" s="15"/>
      <c r="AB4" s="15"/>
      <c r="AC4" s="15"/>
      <c r="AD4" s="12" t="s">
        <v>112</v>
      </c>
      <c r="AE4" s="15"/>
      <c r="AF4" s="15"/>
      <c r="AG4" s="15"/>
      <c r="AH4" s="15"/>
      <c r="AI4" s="15"/>
      <c r="AJ4" s="10"/>
    </row>
    <row r="5" s="2" customFormat="1" ht="17.55" spans="1:36">
      <c r="A5" s="16" t="s">
        <v>208</v>
      </c>
      <c r="B5" s="17" t="s">
        <v>55</v>
      </c>
      <c r="C5" s="18" t="s">
        <v>47</v>
      </c>
      <c r="D5" s="19" t="s">
        <v>114</v>
      </c>
      <c r="E5" s="20" t="s">
        <v>40</v>
      </c>
      <c r="F5" s="19" t="s">
        <v>41</v>
      </c>
      <c r="G5" s="21" t="s">
        <v>42</v>
      </c>
      <c r="H5" s="22" t="s">
        <v>47</v>
      </c>
      <c r="I5" s="22" t="s">
        <v>114</v>
      </c>
      <c r="J5" s="23" t="s">
        <v>40</v>
      </c>
      <c r="K5" s="23" t="s">
        <v>41</v>
      </c>
      <c r="L5" s="24" t="s">
        <v>42</v>
      </c>
      <c r="M5" s="25" t="s">
        <v>47</v>
      </c>
      <c r="N5" s="23" t="s">
        <v>48</v>
      </c>
      <c r="O5" s="23" t="s">
        <v>49</v>
      </c>
      <c r="P5" s="26" t="s">
        <v>50</v>
      </c>
      <c r="Q5" s="25" t="s">
        <v>115</v>
      </c>
      <c r="R5" s="26" t="s">
        <v>116</v>
      </c>
      <c r="S5" s="22" t="s">
        <v>72</v>
      </c>
      <c r="T5" s="27" t="s">
        <v>73</v>
      </c>
      <c r="U5" s="19" t="s">
        <v>74</v>
      </c>
      <c r="V5" s="28" t="s">
        <v>75</v>
      </c>
      <c r="W5" s="25" t="s">
        <v>117</v>
      </c>
      <c r="X5" s="23" t="s">
        <v>118</v>
      </c>
      <c r="Y5" s="23" t="s">
        <v>119</v>
      </c>
      <c r="Z5" s="23" t="s">
        <v>110</v>
      </c>
      <c r="AA5" s="24" t="s">
        <v>120</v>
      </c>
      <c r="AB5" s="24" t="s">
        <v>121</v>
      </c>
      <c r="AC5" s="24" t="s">
        <v>39</v>
      </c>
      <c r="AD5" s="25" t="s">
        <v>117</v>
      </c>
      <c r="AE5" s="23" t="s">
        <v>118</v>
      </c>
      <c r="AF5" s="23" t="s">
        <v>122</v>
      </c>
      <c r="AG5" s="23" t="s">
        <v>110</v>
      </c>
      <c r="AH5" s="24" t="s">
        <v>120</v>
      </c>
      <c r="AI5" s="24" t="s">
        <v>121</v>
      </c>
      <c r="AJ5" s="26" t="s">
        <v>39</v>
      </c>
    </row>
    <row r="6" spans="1:36">
      <c r="A6" s="29" t="s">
        <v>184</v>
      </c>
      <c r="B6" s="30"/>
      <c r="C6" s="31"/>
      <c r="D6" s="32"/>
      <c r="E6" s="32"/>
      <c r="F6" s="32"/>
      <c r="G6" s="33"/>
      <c r="H6" s="34"/>
      <c r="I6" s="34"/>
      <c r="J6" s="32"/>
      <c r="K6" s="32"/>
      <c r="L6" s="35"/>
      <c r="M6" s="36"/>
      <c r="N6" s="37"/>
      <c r="O6" s="37"/>
      <c r="P6" s="38"/>
      <c r="Q6" s="39"/>
      <c r="R6" s="40"/>
      <c r="S6" s="41"/>
      <c r="T6" s="42"/>
      <c r="U6" s="31"/>
      <c r="V6" s="33"/>
      <c r="W6" s="41"/>
      <c r="X6" s="37"/>
      <c r="Y6" s="37"/>
      <c r="Z6" s="37"/>
      <c r="AA6" s="43"/>
      <c r="AB6" s="43"/>
      <c r="AC6" s="43">
        <f>SUM(W6:AB6)</f>
        <v>0</v>
      </c>
      <c r="AD6" s="44"/>
      <c r="AE6" s="45"/>
      <c r="AF6" s="45"/>
      <c r="AG6" s="45"/>
      <c r="AH6" s="46"/>
      <c r="AI6" s="46"/>
      <c r="AJ6" s="47">
        <f>SUM(AD6:AI6)</f>
        <v>0</v>
      </c>
    </row>
    <row r="7" spans="1:36">
      <c r="A7" s="29"/>
      <c r="B7" s="30"/>
      <c r="C7" s="49"/>
      <c r="D7" s="50"/>
      <c r="E7" s="50"/>
      <c r="F7" s="50"/>
      <c r="G7" s="51"/>
      <c r="H7" s="52"/>
      <c r="I7" s="50"/>
      <c r="J7" s="50"/>
      <c r="K7" s="50"/>
      <c r="L7" s="52"/>
      <c r="M7" s="49"/>
      <c r="N7" s="50"/>
      <c r="O7" s="50"/>
      <c r="P7" s="51"/>
      <c r="Q7" s="53"/>
      <c r="R7" s="54"/>
      <c r="S7" s="55"/>
      <c r="T7" s="56"/>
      <c r="U7" s="49"/>
      <c r="V7" s="51"/>
      <c r="W7" s="55"/>
      <c r="X7" s="50"/>
      <c r="Y7" s="50"/>
      <c r="Z7" s="50"/>
      <c r="AA7" s="57"/>
      <c r="AB7" s="57"/>
      <c r="AC7" s="57">
        <f>SUM(W7:AB7)</f>
        <v>0</v>
      </c>
      <c r="AD7" s="58"/>
      <c r="AE7" s="59"/>
      <c r="AF7" s="59"/>
      <c r="AG7" s="59"/>
      <c r="AH7" s="60"/>
      <c r="AI7" s="60"/>
      <c r="AJ7" s="54">
        <f>SUM(AD7:AI7)</f>
        <v>0</v>
      </c>
    </row>
    <row r="8" spans="1:36">
      <c r="A8" s="29"/>
      <c r="B8" s="30"/>
      <c r="C8" s="49"/>
      <c r="D8" s="50"/>
      <c r="E8" s="50"/>
      <c r="F8" s="50"/>
      <c r="G8" s="51"/>
      <c r="H8" s="52"/>
      <c r="I8" s="50"/>
      <c r="J8" s="50"/>
      <c r="K8" s="50"/>
      <c r="L8" s="52"/>
      <c r="M8" s="61"/>
      <c r="N8" s="50"/>
      <c r="O8" s="50"/>
      <c r="P8" s="51"/>
      <c r="Q8" s="53"/>
      <c r="R8" s="54"/>
      <c r="S8" s="55"/>
      <c r="T8" s="56"/>
      <c r="U8" s="49"/>
      <c r="V8" s="51"/>
      <c r="W8" s="55"/>
      <c r="X8" s="50"/>
      <c r="Y8" s="50"/>
      <c r="Z8" s="50"/>
      <c r="AA8" s="57"/>
      <c r="AB8" s="57"/>
      <c r="AC8" s="57">
        <f>SUM(W8:AB8)</f>
        <v>0</v>
      </c>
      <c r="AD8" s="58"/>
      <c r="AE8" s="59"/>
      <c r="AF8" s="59"/>
      <c r="AG8" s="59"/>
      <c r="AH8" s="60"/>
      <c r="AI8" s="60"/>
      <c r="AJ8" s="54">
        <f>SUM(AD8:AI8)</f>
        <v>0</v>
      </c>
    </row>
    <row r="9" spans="1:36">
      <c r="A9" s="29"/>
      <c r="B9" s="48">
        <v>46296</v>
      </c>
      <c r="C9" s="49">
        <v>4</v>
      </c>
      <c r="D9" s="50">
        <v>4</v>
      </c>
      <c r="E9" s="50">
        <v>1</v>
      </c>
      <c r="F9" s="50">
        <v>3</v>
      </c>
      <c r="G9" s="51">
        <v>0</v>
      </c>
      <c r="H9" s="52">
        <v>1</v>
      </c>
      <c r="I9" s="50">
        <v>1</v>
      </c>
      <c r="J9" s="50">
        <v>1</v>
      </c>
      <c r="K9" s="50">
        <v>0</v>
      </c>
      <c r="L9" s="52">
        <v>0</v>
      </c>
      <c r="M9" s="61">
        <v>2</v>
      </c>
      <c r="N9" s="50">
        <v>0</v>
      </c>
      <c r="O9" s="50">
        <v>1</v>
      </c>
      <c r="P9" s="51">
        <v>0</v>
      </c>
      <c r="Q9" s="53">
        <v>63.4</v>
      </c>
      <c r="R9" s="54">
        <v>0</v>
      </c>
      <c r="S9" s="55">
        <v>17</v>
      </c>
      <c r="T9" s="56">
        <v>226.59</v>
      </c>
      <c r="U9" s="49">
        <v>439</v>
      </c>
      <c r="V9" s="51">
        <v>40</v>
      </c>
      <c r="W9" s="55">
        <v>3</v>
      </c>
      <c r="X9" s="50">
        <v>0</v>
      </c>
      <c r="Y9" s="50">
        <v>1</v>
      </c>
      <c r="Z9" s="50">
        <v>0</v>
      </c>
      <c r="AA9" s="57">
        <v>1</v>
      </c>
      <c r="AB9" s="57">
        <v>4</v>
      </c>
      <c r="AC9" s="57">
        <f>SUM(W9:AB9)</f>
        <v>9</v>
      </c>
      <c r="AD9" s="58">
        <v>14</v>
      </c>
      <c r="AE9" s="59">
        <v>0</v>
      </c>
      <c r="AF9" s="59">
        <v>2.5</v>
      </c>
      <c r="AG9" s="59">
        <v>0</v>
      </c>
      <c r="AH9" s="60">
        <v>4.5</v>
      </c>
      <c r="AI9" s="60">
        <v>22</v>
      </c>
      <c r="AJ9" s="54">
        <f>SUM(AD9:AI9)</f>
        <v>43</v>
      </c>
    </row>
    <row r="10" spans="1:36">
      <c r="A10" s="62"/>
      <c r="B10" s="48">
        <v>46297</v>
      </c>
      <c r="C10" s="49">
        <v>0</v>
      </c>
      <c r="D10" s="50">
        <v>0</v>
      </c>
      <c r="E10" s="50">
        <v>0</v>
      </c>
      <c r="F10" s="50">
        <v>0</v>
      </c>
      <c r="G10" s="51">
        <v>0</v>
      </c>
      <c r="H10" s="52">
        <v>3</v>
      </c>
      <c r="I10" s="50">
        <v>2</v>
      </c>
      <c r="J10" s="50">
        <v>1</v>
      </c>
      <c r="K10" s="50">
        <v>1</v>
      </c>
      <c r="L10" s="52">
        <v>0</v>
      </c>
      <c r="M10" s="61">
        <v>0</v>
      </c>
      <c r="N10" s="50">
        <v>0</v>
      </c>
      <c r="O10" s="50">
        <v>0</v>
      </c>
      <c r="P10" s="51">
        <v>1</v>
      </c>
      <c r="Q10" s="53">
        <v>32.3</v>
      </c>
      <c r="R10" s="54">
        <v>7.5</v>
      </c>
      <c r="S10" s="55">
        <v>22</v>
      </c>
      <c r="T10" s="56">
        <v>578.98</v>
      </c>
      <c r="U10" s="49">
        <v>1484</v>
      </c>
      <c r="V10" s="51">
        <v>62</v>
      </c>
      <c r="W10" s="55">
        <v>3</v>
      </c>
      <c r="X10" s="50">
        <v>0</v>
      </c>
      <c r="Y10" s="50">
        <v>0</v>
      </c>
      <c r="Z10" s="50">
        <v>1</v>
      </c>
      <c r="AA10" s="57">
        <v>5</v>
      </c>
      <c r="AB10" s="57">
        <v>3</v>
      </c>
      <c r="AC10" s="57">
        <f>SUM(W10:AB10)</f>
        <v>12</v>
      </c>
      <c r="AD10" s="58">
        <v>7.5</v>
      </c>
      <c r="AE10" s="59">
        <v>0</v>
      </c>
      <c r="AF10" s="59">
        <v>0</v>
      </c>
      <c r="AG10" s="59">
        <v>2.5</v>
      </c>
      <c r="AH10" s="60">
        <v>19</v>
      </c>
      <c r="AI10" s="60">
        <v>11.5</v>
      </c>
      <c r="AJ10" s="54">
        <f>SUM(AD10:AI10)</f>
        <v>40.5</v>
      </c>
    </row>
    <row r="11" s="3" customFormat="1" spans="1:36">
      <c r="A11" s="63" t="s">
        <v>126</v>
      </c>
      <c r="B11" s="64"/>
      <c r="C11" s="65">
        <f>SUM(C9:C10)</f>
        <v>4</v>
      </c>
      <c r="D11" s="66">
        <f>SUM(D9:D10)</f>
        <v>4</v>
      </c>
      <c r="E11" s="66">
        <f>SUM(E9:E10)</f>
        <v>1</v>
      </c>
      <c r="F11" s="66">
        <f>SUM(F9:F10)</f>
        <v>3</v>
      </c>
      <c r="G11" s="67">
        <f>SUM(G9:G10)</f>
        <v>0</v>
      </c>
      <c r="H11" s="68">
        <f t="shared" ref="H11:V11" si="0">SUM(H9:H10)</f>
        <v>4</v>
      </c>
      <c r="I11" s="66">
        <f t="shared" si="0"/>
        <v>3</v>
      </c>
      <c r="J11" s="66">
        <f t="shared" si="0"/>
        <v>2</v>
      </c>
      <c r="K11" s="66">
        <f t="shared" si="0"/>
        <v>1</v>
      </c>
      <c r="L11" s="68">
        <f t="shared" si="0"/>
        <v>0</v>
      </c>
      <c r="M11" s="69">
        <f t="shared" si="0"/>
        <v>2</v>
      </c>
      <c r="N11" s="66">
        <f t="shared" si="0"/>
        <v>0</v>
      </c>
      <c r="O11" s="66">
        <f t="shared" si="0"/>
        <v>1</v>
      </c>
      <c r="P11" s="67">
        <f t="shared" si="0"/>
        <v>1</v>
      </c>
      <c r="Q11" s="70">
        <f t="shared" si="0"/>
        <v>95.7</v>
      </c>
      <c r="R11" s="71">
        <f t="shared" si="0"/>
        <v>7.5</v>
      </c>
      <c r="S11" s="72">
        <f t="shared" si="0"/>
        <v>39</v>
      </c>
      <c r="T11" s="73">
        <f t="shared" si="0"/>
        <v>805.57</v>
      </c>
      <c r="U11" s="65">
        <f t="shared" si="0"/>
        <v>1923</v>
      </c>
      <c r="V11" s="67">
        <f t="shared" si="0"/>
        <v>102</v>
      </c>
      <c r="W11" s="68">
        <f t="shared" ref="W11:AJ11" si="1">SUM(W9:W10)</f>
        <v>6</v>
      </c>
      <c r="X11" s="74">
        <f t="shared" si="1"/>
        <v>0</v>
      </c>
      <c r="Y11" s="74">
        <f t="shared" si="1"/>
        <v>1</v>
      </c>
      <c r="Z11" s="74">
        <f t="shared" si="1"/>
        <v>1</v>
      </c>
      <c r="AA11" s="74">
        <f t="shared" si="1"/>
        <v>6</v>
      </c>
      <c r="AB11" s="74">
        <f t="shared" si="1"/>
        <v>7</v>
      </c>
      <c r="AC11" s="74">
        <f t="shared" si="1"/>
        <v>21</v>
      </c>
      <c r="AD11" s="70">
        <f t="shared" si="1"/>
        <v>21.5</v>
      </c>
      <c r="AE11" s="75">
        <f t="shared" si="1"/>
        <v>0</v>
      </c>
      <c r="AF11" s="75">
        <f t="shared" si="1"/>
        <v>2.5</v>
      </c>
      <c r="AG11" s="75">
        <f t="shared" si="1"/>
        <v>2.5</v>
      </c>
      <c r="AH11" s="75">
        <f t="shared" si="1"/>
        <v>23.5</v>
      </c>
      <c r="AI11" s="75">
        <f t="shared" si="1"/>
        <v>33.5</v>
      </c>
      <c r="AJ11" s="71">
        <f t="shared" si="1"/>
        <v>83.5</v>
      </c>
    </row>
    <row r="12" spans="1:36">
      <c r="A12" s="29" t="s">
        <v>185</v>
      </c>
      <c r="B12" s="76">
        <v>46300</v>
      </c>
      <c r="C12" s="49">
        <v>0</v>
      </c>
      <c r="D12" s="50">
        <v>0</v>
      </c>
      <c r="E12" s="50">
        <v>0</v>
      </c>
      <c r="F12" s="50">
        <v>0</v>
      </c>
      <c r="G12" s="51">
        <v>0</v>
      </c>
      <c r="H12" s="52">
        <v>2</v>
      </c>
      <c r="I12" s="50">
        <v>2</v>
      </c>
      <c r="J12" s="50">
        <v>1</v>
      </c>
      <c r="K12" s="50">
        <v>1</v>
      </c>
      <c r="L12" s="52">
        <v>0</v>
      </c>
      <c r="M12" s="61">
        <v>1</v>
      </c>
      <c r="N12" s="50">
        <v>1</v>
      </c>
      <c r="O12" s="50">
        <v>0</v>
      </c>
      <c r="P12" s="51">
        <v>0</v>
      </c>
      <c r="Q12" s="53">
        <v>15.6</v>
      </c>
      <c r="R12" s="54">
        <v>4.8</v>
      </c>
      <c r="S12" s="55">
        <v>17</v>
      </c>
      <c r="T12" s="56">
        <v>447.7</v>
      </c>
      <c r="U12" s="49">
        <v>201</v>
      </c>
      <c r="V12" s="51">
        <v>16</v>
      </c>
      <c r="W12" s="55">
        <v>1</v>
      </c>
      <c r="X12" s="50">
        <v>1</v>
      </c>
      <c r="Y12" s="50">
        <v>2</v>
      </c>
      <c r="Z12" s="50">
        <v>0</v>
      </c>
      <c r="AA12" s="57">
        <v>4</v>
      </c>
      <c r="AB12" s="57">
        <v>4</v>
      </c>
      <c r="AC12" s="57">
        <f>SUM(W12:AB12)</f>
        <v>12</v>
      </c>
      <c r="AD12" s="58">
        <v>3.5</v>
      </c>
      <c r="AE12" s="59">
        <v>5</v>
      </c>
      <c r="AF12" s="59">
        <v>5.5</v>
      </c>
      <c r="AG12" s="59">
        <v>0</v>
      </c>
      <c r="AH12" s="60">
        <v>14.5</v>
      </c>
      <c r="AI12" s="60">
        <v>9.5</v>
      </c>
      <c r="AJ12" s="54">
        <f>SUM(AD12:AI12)</f>
        <v>38</v>
      </c>
    </row>
    <row r="13" spans="1:36">
      <c r="A13" s="29"/>
      <c r="B13" s="76">
        <v>46301</v>
      </c>
      <c r="C13" s="49">
        <v>3</v>
      </c>
      <c r="D13" s="50">
        <v>2</v>
      </c>
      <c r="E13" s="50">
        <v>1</v>
      </c>
      <c r="F13" s="50">
        <v>1</v>
      </c>
      <c r="G13" s="51">
        <v>0</v>
      </c>
      <c r="H13" s="52">
        <v>0</v>
      </c>
      <c r="I13" s="50">
        <v>0</v>
      </c>
      <c r="J13" s="50">
        <v>0</v>
      </c>
      <c r="K13" s="50">
        <v>0</v>
      </c>
      <c r="L13" s="52">
        <v>0</v>
      </c>
      <c r="M13" s="61">
        <v>0</v>
      </c>
      <c r="N13" s="50">
        <v>0</v>
      </c>
      <c r="O13" s="50">
        <v>0</v>
      </c>
      <c r="P13" s="51">
        <v>0</v>
      </c>
      <c r="Q13" s="53">
        <v>15.1</v>
      </c>
      <c r="R13" s="54">
        <v>14.7</v>
      </c>
      <c r="S13" s="55">
        <v>18</v>
      </c>
      <c r="T13" s="56">
        <v>478.4</v>
      </c>
      <c r="U13" s="49">
        <v>341</v>
      </c>
      <c r="V13" s="51">
        <v>29</v>
      </c>
      <c r="W13" s="55">
        <v>3</v>
      </c>
      <c r="X13" s="50">
        <v>0</v>
      </c>
      <c r="Y13" s="50">
        <v>0</v>
      </c>
      <c r="Z13" s="50">
        <v>1</v>
      </c>
      <c r="AA13" s="57">
        <v>4</v>
      </c>
      <c r="AB13" s="57">
        <v>4</v>
      </c>
      <c r="AC13" s="57">
        <f>SUM(W13:AB13)</f>
        <v>12</v>
      </c>
      <c r="AD13" s="58">
        <v>9.5</v>
      </c>
      <c r="AE13" s="59">
        <v>0</v>
      </c>
      <c r="AF13" s="59">
        <v>0</v>
      </c>
      <c r="AG13" s="59">
        <v>4.5</v>
      </c>
      <c r="AH13" s="60">
        <v>14</v>
      </c>
      <c r="AI13" s="60">
        <v>19</v>
      </c>
      <c r="AJ13" s="54">
        <f>SUM(AD13:AI13)</f>
        <v>47</v>
      </c>
    </row>
    <row r="14" spans="1:36">
      <c r="A14" s="29"/>
      <c r="B14" s="76">
        <v>46302</v>
      </c>
      <c r="C14" s="49">
        <v>3</v>
      </c>
      <c r="D14" s="50">
        <v>3</v>
      </c>
      <c r="E14" s="50">
        <v>1</v>
      </c>
      <c r="F14" s="50">
        <v>2</v>
      </c>
      <c r="G14" s="51">
        <v>0</v>
      </c>
      <c r="H14" s="52">
        <v>1</v>
      </c>
      <c r="I14" s="50">
        <v>0</v>
      </c>
      <c r="J14" s="50">
        <v>0</v>
      </c>
      <c r="K14" s="50">
        <v>0</v>
      </c>
      <c r="L14" s="52">
        <v>0</v>
      </c>
      <c r="M14" s="61">
        <v>2</v>
      </c>
      <c r="N14" s="50">
        <v>0</v>
      </c>
      <c r="O14" s="50">
        <v>0</v>
      </c>
      <c r="P14" s="51">
        <v>0</v>
      </c>
      <c r="Q14" s="53">
        <v>0</v>
      </c>
      <c r="R14" s="54">
        <v>0</v>
      </c>
      <c r="S14" s="55">
        <v>18</v>
      </c>
      <c r="T14" s="56">
        <v>250.36</v>
      </c>
      <c r="U14" s="49">
        <v>722</v>
      </c>
      <c r="V14" s="51">
        <v>24</v>
      </c>
      <c r="W14" s="55">
        <v>4</v>
      </c>
      <c r="X14" s="50">
        <v>0</v>
      </c>
      <c r="Y14" s="50">
        <v>2</v>
      </c>
      <c r="Z14" s="50">
        <v>0</v>
      </c>
      <c r="AA14" s="57">
        <v>2</v>
      </c>
      <c r="AB14" s="57">
        <v>2</v>
      </c>
      <c r="AC14" s="57">
        <f>SUM(W14:AB14)</f>
        <v>10</v>
      </c>
      <c r="AD14" s="58">
        <v>15.5</v>
      </c>
      <c r="AE14" s="59">
        <v>0</v>
      </c>
      <c r="AF14" s="59">
        <v>7</v>
      </c>
      <c r="AG14" s="59">
        <v>0</v>
      </c>
      <c r="AH14" s="60">
        <v>6</v>
      </c>
      <c r="AI14" s="60">
        <v>7.5</v>
      </c>
      <c r="AJ14" s="54">
        <f>SUM(AD14:AI14)</f>
        <v>36</v>
      </c>
    </row>
    <row r="15" spans="1:36">
      <c r="A15" s="29"/>
      <c r="B15" s="76">
        <v>46303</v>
      </c>
      <c r="C15" s="49">
        <v>3</v>
      </c>
      <c r="D15" s="50">
        <v>3</v>
      </c>
      <c r="E15" s="50">
        <v>0</v>
      </c>
      <c r="F15" s="50">
        <v>3</v>
      </c>
      <c r="G15" s="51">
        <v>0</v>
      </c>
      <c r="H15" s="55">
        <v>1</v>
      </c>
      <c r="I15" s="55">
        <v>1</v>
      </c>
      <c r="J15" s="50">
        <v>0</v>
      </c>
      <c r="K15" s="50">
        <v>1</v>
      </c>
      <c r="L15" s="57">
        <v>0</v>
      </c>
      <c r="M15" s="49">
        <v>0</v>
      </c>
      <c r="N15" s="50">
        <v>1</v>
      </c>
      <c r="O15" s="50">
        <v>1</v>
      </c>
      <c r="P15" s="51">
        <v>0</v>
      </c>
      <c r="Q15" s="53">
        <v>27.6</v>
      </c>
      <c r="R15" s="54">
        <v>11.1</v>
      </c>
      <c r="S15" s="55">
        <v>7</v>
      </c>
      <c r="T15" s="56">
        <v>172.77</v>
      </c>
      <c r="U15" s="49">
        <v>1659</v>
      </c>
      <c r="V15" s="51">
        <v>114</v>
      </c>
      <c r="W15" s="55">
        <v>3</v>
      </c>
      <c r="X15" s="50">
        <v>0</v>
      </c>
      <c r="Y15" s="50">
        <v>2</v>
      </c>
      <c r="Z15" s="50">
        <v>2</v>
      </c>
      <c r="AA15" s="57">
        <v>1</v>
      </c>
      <c r="AB15" s="57">
        <v>2</v>
      </c>
      <c r="AC15" s="57">
        <f>SUM(W15:AB15)</f>
        <v>10</v>
      </c>
      <c r="AD15" s="58">
        <v>9.5</v>
      </c>
      <c r="AE15" s="59">
        <v>0</v>
      </c>
      <c r="AF15" s="59">
        <v>7.5</v>
      </c>
      <c r="AG15" s="59">
        <v>4.5</v>
      </c>
      <c r="AH15" s="60">
        <v>2.5</v>
      </c>
      <c r="AI15" s="60">
        <v>10.5</v>
      </c>
      <c r="AJ15" s="54">
        <f>SUM(AD15:AI15)</f>
        <v>34.5</v>
      </c>
    </row>
    <row r="16" spans="1:36">
      <c r="A16" s="29"/>
      <c r="B16" s="76">
        <v>46304</v>
      </c>
      <c r="C16" s="49">
        <v>3</v>
      </c>
      <c r="D16" s="50">
        <v>3</v>
      </c>
      <c r="E16" s="50">
        <v>1</v>
      </c>
      <c r="F16" s="50">
        <v>2</v>
      </c>
      <c r="G16" s="51">
        <v>0</v>
      </c>
      <c r="H16" s="55">
        <v>0</v>
      </c>
      <c r="I16" s="55">
        <v>0</v>
      </c>
      <c r="J16" s="50">
        <v>0</v>
      </c>
      <c r="K16" s="50">
        <v>0</v>
      </c>
      <c r="L16" s="57">
        <v>0</v>
      </c>
      <c r="M16" s="49">
        <v>0</v>
      </c>
      <c r="N16" s="50">
        <v>0</v>
      </c>
      <c r="O16" s="50">
        <v>0</v>
      </c>
      <c r="P16" s="51">
        <v>0</v>
      </c>
      <c r="Q16" s="77">
        <v>44.6</v>
      </c>
      <c r="R16" s="54">
        <v>0</v>
      </c>
      <c r="S16" s="78">
        <v>4</v>
      </c>
      <c r="T16" s="79">
        <v>82.3</v>
      </c>
      <c r="U16" s="80">
        <v>1138</v>
      </c>
      <c r="V16" s="81">
        <v>110</v>
      </c>
      <c r="W16" s="55">
        <v>2</v>
      </c>
      <c r="X16" s="50">
        <v>2</v>
      </c>
      <c r="Y16" s="50">
        <v>1</v>
      </c>
      <c r="Z16" s="50">
        <v>1</v>
      </c>
      <c r="AA16" s="57">
        <v>1</v>
      </c>
      <c r="AB16" s="57">
        <v>3</v>
      </c>
      <c r="AC16" s="57">
        <f>SUM(W16:AB16)</f>
        <v>10</v>
      </c>
      <c r="AD16" s="58">
        <v>6</v>
      </c>
      <c r="AE16" s="59">
        <v>6</v>
      </c>
      <c r="AF16" s="59">
        <v>5.5</v>
      </c>
      <c r="AG16" s="59">
        <v>2</v>
      </c>
      <c r="AH16" s="60">
        <v>3</v>
      </c>
      <c r="AI16" s="60">
        <v>6.5</v>
      </c>
      <c r="AJ16" s="54">
        <f>SUM(AD16:AI16)</f>
        <v>29</v>
      </c>
    </row>
    <row r="17" spans="1:36">
      <c r="A17" s="63" t="s">
        <v>126</v>
      </c>
      <c r="B17" s="64"/>
      <c r="C17" s="65">
        <f>SUM(C12:C16)</f>
        <v>12</v>
      </c>
      <c r="D17" s="66">
        <f>SUM(D12:D16)</f>
        <v>11</v>
      </c>
      <c r="E17" s="66">
        <f>SUM(E12:E16)</f>
        <v>3</v>
      </c>
      <c r="F17" s="66">
        <f>SUM(F12:F16)</f>
        <v>8</v>
      </c>
      <c r="G17" s="67">
        <f>SUM(G12:G16)</f>
        <v>0</v>
      </c>
      <c r="H17" s="72">
        <f t="shared" ref="H17:V17" si="2">SUM(H12:H16)</f>
        <v>4</v>
      </c>
      <c r="I17" s="66">
        <f t="shared" si="2"/>
        <v>3</v>
      </c>
      <c r="J17" s="66">
        <f t="shared" si="2"/>
        <v>1</v>
      </c>
      <c r="K17" s="66">
        <f t="shared" si="2"/>
        <v>2</v>
      </c>
      <c r="L17" s="74">
        <f t="shared" si="2"/>
        <v>0</v>
      </c>
      <c r="M17" s="65">
        <f t="shared" si="2"/>
        <v>3</v>
      </c>
      <c r="N17" s="66">
        <f t="shared" si="2"/>
        <v>2</v>
      </c>
      <c r="O17" s="66">
        <f t="shared" si="2"/>
        <v>1</v>
      </c>
      <c r="P17" s="67">
        <f t="shared" si="2"/>
        <v>0</v>
      </c>
      <c r="Q17" s="70">
        <f t="shared" si="2"/>
        <v>102.9</v>
      </c>
      <c r="R17" s="71">
        <f t="shared" si="2"/>
        <v>30.6</v>
      </c>
      <c r="S17" s="72">
        <f t="shared" si="2"/>
        <v>64</v>
      </c>
      <c r="T17" s="73">
        <f t="shared" si="2"/>
        <v>1431.53</v>
      </c>
      <c r="U17" s="65">
        <f t="shared" si="2"/>
        <v>4061</v>
      </c>
      <c r="V17" s="67">
        <f t="shared" si="2"/>
        <v>293</v>
      </c>
      <c r="W17" s="68">
        <f t="shared" ref="W17:AJ17" si="3">SUM(W12:W16)</f>
        <v>13</v>
      </c>
      <c r="X17" s="74">
        <f t="shared" si="3"/>
        <v>3</v>
      </c>
      <c r="Y17" s="74">
        <f t="shared" si="3"/>
        <v>7</v>
      </c>
      <c r="Z17" s="74">
        <f t="shared" si="3"/>
        <v>4</v>
      </c>
      <c r="AA17" s="74">
        <f t="shared" si="3"/>
        <v>12</v>
      </c>
      <c r="AB17" s="74">
        <f t="shared" si="3"/>
        <v>15</v>
      </c>
      <c r="AC17" s="74">
        <f t="shared" si="3"/>
        <v>54</v>
      </c>
      <c r="AD17" s="70">
        <f t="shared" si="3"/>
        <v>44</v>
      </c>
      <c r="AE17" s="75">
        <f t="shared" si="3"/>
        <v>11</v>
      </c>
      <c r="AF17" s="75">
        <f t="shared" si="3"/>
        <v>25.5</v>
      </c>
      <c r="AG17" s="75">
        <f t="shared" si="3"/>
        <v>11</v>
      </c>
      <c r="AH17" s="75">
        <f t="shared" si="3"/>
        <v>40</v>
      </c>
      <c r="AI17" s="75">
        <f t="shared" si="3"/>
        <v>53</v>
      </c>
      <c r="AJ17" s="71">
        <f t="shared" si="3"/>
        <v>184.5</v>
      </c>
    </row>
    <row r="18" spans="1:36">
      <c r="A18" s="29" t="s">
        <v>186</v>
      </c>
      <c r="B18" s="76">
        <v>46307</v>
      </c>
      <c r="C18" s="49">
        <v>4</v>
      </c>
      <c r="D18" s="50">
        <v>3</v>
      </c>
      <c r="E18" s="50">
        <v>0</v>
      </c>
      <c r="F18" s="50">
        <v>3</v>
      </c>
      <c r="G18" s="51">
        <v>0</v>
      </c>
      <c r="H18" s="55">
        <v>3</v>
      </c>
      <c r="I18" s="55">
        <v>2</v>
      </c>
      <c r="J18" s="50">
        <v>0</v>
      </c>
      <c r="K18" s="50">
        <v>2</v>
      </c>
      <c r="L18" s="57">
        <v>0</v>
      </c>
      <c r="M18" s="49">
        <v>0</v>
      </c>
      <c r="N18" s="50">
        <v>0</v>
      </c>
      <c r="O18" s="50">
        <v>0</v>
      </c>
      <c r="P18" s="51">
        <v>0</v>
      </c>
      <c r="Q18" s="53">
        <v>22.9</v>
      </c>
      <c r="R18" s="54">
        <v>0</v>
      </c>
      <c r="S18" s="55">
        <v>10</v>
      </c>
      <c r="T18" s="56">
        <v>278.86</v>
      </c>
      <c r="U18" s="49">
        <v>876</v>
      </c>
      <c r="V18" s="51">
        <v>57</v>
      </c>
      <c r="W18" s="55">
        <v>3</v>
      </c>
      <c r="X18" s="50">
        <v>0</v>
      </c>
      <c r="Y18" s="50">
        <v>0</v>
      </c>
      <c r="Z18" s="50">
        <v>0</v>
      </c>
      <c r="AA18" s="57">
        <v>1</v>
      </c>
      <c r="AB18" s="57">
        <v>2</v>
      </c>
      <c r="AC18" s="57">
        <f>SUM(W18:AB18)</f>
        <v>6</v>
      </c>
      <c r="AD18" s="58">
        <v>6.5</v>
      </c>
      <c r="AE18" s="59">
        <v>0</v>
      </c>
      <c r="AF18" s="59">
        <v>0</v>
      </c>
      <c r="AG18" s="59">
        <v>0</v>
      </c>
      <c r="AH18" s="60">
        <v>5.5</v>
      </c>
      <c r="AI18" s="60">
        <v>5.5</v>
      </c>
      <c r="AJ18" s="54">
        <f>SUM(AD18:AI18)</f>
        <v>17.5</v>
      </c>
    </row>
    <row r="19" spans="1:36">
      <c r="A19" s="29"/>
      <c r="B19" s="76">
        <v>46308</v>
      </c>
      <c r="C19" s="49">
        <v>3</v>
      </c>
      <c r="D19" s="50">
        <v>3</v>
      </c>
      <c r="E19" s="50">
        <v>0</v>
      </c>
      <c r="F19" s="50">
        <v>3</v>
      </c>
      <c r="G19" s="51">
        <v>0</v>
      </c>
      <c r="H19" s="55">
        <v>2</v>
      </c>
      <c r="I19" s="55">
        <v>2</v>
      </c>
      <c r="J19" s="50">
        <v>1</v>
      </c>
      <c r="K19" s="50">
        <v>1</v>
      </c>
      <c r="L19" s="57">
        <v>0</v>
      </c>
      <c r="M19" s="49">
        <v>0</v>
      </c>
      <c r="N19" s="50">
        <v>0</v>
      </c>
      <c r="O19" s="50">
        <v>0</v>
      </c>
      <c r="P19" s="51">
        <v>1</v>
      </c>
      <c r="Q19" s="53">
        <v>46.3</v>
      </c>
      <c r="R19" s="54">
        <v>0</v>
      </c>
      <c r="S19" s="55">
        <v>10</v>
      </c>
      <c r="T19" s="56">
        <v>211.89</v>
      </c>
      <c r="U19" s="49">
        <v>1263</v>
      </c>
      <c r="V19" s="51">
        <v>69</v>
      </c>
      <c r="W19" s="55">
        <v>2</v>
      </c>
      <c r="X19" s="50">
        <v>1</v>
      </c>
      <c r="Y19" s="50">
        <v>1</v>
      </c>
      <c r="Z19" s="50">
        <v>2</v>
      </c>
      <c r="AA19" s="57">
        <v>2</v>
      </c>
      <c r="AB19" s="57">
        <v>3</v>
      </c>
      <c r="AC19" s="57">
        <f>SUM(W19:AB19)</f>
        <v>11</v>
      </c>
      <c r="AD19" s="58">
        <v>5.5</v>
      </c>
      <c r="AE19" s="59">
        <v>3.5</v>
      </c>
      <c r="AF19" s="59">
        <v>2.5</v>
      </c>
      <c r="AG19" s="59">
        <v>11</v>
      </c>
      <c r="AH19" s="60">
        <v>7</v>
      </c>
      <c r="AI19" s="60">
        <v>9.5</v>
      </c>
      <c r="AJ19" s="54">
        <f>SUM(AD19:AI19)</f>
        <v>39</v>
      </c>
    </row>
    <row r="20" spans="1:36">
      <c r="A20" s="29"/>
      <c r="B20" s="76">
        <v>46309</v>
      </c>
      <c r="C20" s="49">
        <v>0</v>
      </c>
      <c r="D20" s="50">
        <v>0</v>
      </c>
      <c r="E20" s="50">
        <v>0</v>
      </c>
      <c r="F20" s="50">
        <v>0</v>
      </c>
      <c r="G20" s="51">
        <v>0</v>
      </c>
      <c r="H20" s="55">
        <v>1</v>
      </c>
      <c r="I20" s="55">
        <v>1</v>
      </c>
      <c r="J20" s="50">
        <v>0</v>
      </c>
      <c r="K20" s="50">
        <v>1</v>
      </c>
      <c r="L20" s="57">
        <v>0</v>
      </c>
      <c r="M20" s="49">
        <v>2</v>
      </c>
      <c r="N20" s="50">
        <v>1</v>
      </c>
      <c r="O20" s="50">
        <v>0</v>
      </c>
      <c r="P20" s="51">
        <v>0</v>
      </c>
      <c r="Q20" s="53">
        <v>21.3</v>
      </c>
      <c r="R20" s="54">
        <v>0</v>
      </c>
      <c r="S20" s="55">
        <v>22</v>
      </c>
      <c r="T20" s="56">
        <v>283.23</v>
      </c>
      <c r="U20" s="82">
        <v>1124</v>
      </c>
      <c r="V20" s="51">
        <v>24</v>
      </c>
      <c r="W20" s="55">
        <v>4</v>
      </c>
      <c r="X20" s="50">
        <v>0</v>
      </c>
      <c r="Y20" s="50">
        <v>2</v>
      </c>
      <c r="Z20" s="50">
        <v>1</v>
      </c>
      <c r="AA20" s="57">
        <v>5</v>
      </c>
      <c r="AB20" s="57">
        <v>2</v>
      </c>
      <c r="AC20" s="57">
        <f>SUM(W20:AB20)</f>
        <v>14</v>
      </c>
      <c r="AD20" s="58">
        <v>22</v>
      </c>
      <c r="AE20" s="59">
        <v>0</v>
      </c>
      <c r="AF20" s="59">
        <v>11</v>
      </c>
      <c r="AG20" s="59">
        <v>4.5</v>
      </c>
      <c r="AH20" s="60">
        <v>12.5</v>
      </c>
      <c r="AI20" s="60">
        <v>8.5</v>
      </c>
      <c r="AJ20" s="54">
        <f>SUM(AD20:AI20)</f>
        <v>58.5</v>
      </c>
    </row>
    <row r="21" spans="1:36">
      <c r="A21" s="29"/>
      <c r="B21" s="76">
        <v>46310</v>
      </c>
      <c r="C21" s="49">
        <v>4</v>
      </c>
      <c r="D21" s="50">
        <v>4</v>
      </c>
      <c r="E21" s="50">
        <v>0</v>
      </c>
      <c r="F21" s="50">
        <v>4</v>
      </c>
      <c r="G21" s="51">
        <v>0</v>
      </c>
      <c r="H21" s="55">
        <v>1</v>
      </c>
      <c r="I21" s="55">
        <v>1</v>
      </c>
      <c r="J21" s="50">
        <v>1</v>
      </c>
      <c r="K21" s="50">
        <v>0</v>
      </c>
      <c r="L21" s="57">
        <v>0</v>
      </c>
      <c r="M21" s="49">
        <v>0</v>
      </c>
      <c r="N21" s="50">
        <v>0</v>
      </c>
      <c r="O21" s="50">
        <v>0</v>
      </c>
      <c r="P21" s="51">
        <v>0</v>
      </c>
      <c r="Q21" s="53">
        <v>58.3</v>
      </c>
      <c r="R21" s="54">
        <v>0</v>
      </c>
      <c r="S21" s="55">
        <v>12</v>
      </c>
      <c r="T21" s="56">
        <v>229.53</v>
      </c>
      <c r="U21" s="49">
        <v>1468</v>
      </c>
      <c r="V21" s="51">
        <v>232</v>
      </c>
      <c r="W21" s="55">
        <v>3</v>
      </c>
      <c r="X21" s="50">
        <v>2</v>
      </c>
      <c r="Y21" s="50">
        <v>1</v>
      </c>
      <c r="Z21" s="50">
        <v>1</v>
      </c>
      <c r="AA21" s="57">
        <v>2</v>
      </c>
      <c r="AB21" s="57">
        <v>2</v>
      </c>
      <c r="AC21" s="57">
        <f>SUM(W21:AB21)</f>
        <v>11</v>
      </c>
      <c r="AD21" s="58">
        <v>9</v>
      </c>
      <c r="AE21" s="59">
        <v>8</v>
      </c>
      <c r="AF21" s="59">
        <v>5.5</v>
      </c>
      <c r="AG21" s="59">
        <v>3.5</v>
      </c>
      <c r="AH21" s="60">
        <v>8</v>
      </c>
      <c r="AI21" s="60">
        <v>9</v>
      </c>
      <c r="AJ21" s="54">
        <f>SUM(AD21:AI21)</f>
        <v>43</v>
      </c>
    </row>
    <row r="22" spans="1:36">
      <c r="A22" s="29"/>
      <c r="B22" s="76">
        <v>46311</v>
      </c>
      <c r="C22" s="49">
        <v>0</v>
      </c>
      <c r="D22" s="50">
        <v>0</v>
      </c>
      <c r="E22" s="50">
        <v>0</v>
      </c>
      <c r="F22" s="50">
        <v>0</v>
      </c>
      <c r="G22" s="51">
        <v>0</v>
      </c>
      <c r="H22" s="55">
        <v>2</v>
      </c>
      <c r="I22" s="55">
        <v>1</v>
      </c>
      <c r="J22" s="50">
        <v>0</v>
      </c>
      <c r="K22" s="50">
        <v>1</v>
      </c>
      <c r="L22" s="57">
        <v>0</v>
      </c>
      <c r="M22" s="49">
        <v>1</v>
      </c>
      <c r="N22" s="50">
        <v>0</v>
      </c>
      <c r="O22" s="50">
        <v>0</v>
      </c>
      <c r="P22" s="51">
        <v>0</v>
      </c>
      <c r="Q22" s="77">
        <v>35.4</v>
      </c>
      <c r="R22" s="54">
        <v>13.2</v>
      </c>
      <c r="S22" s="78">
        <v>14</v>
      </c>
      <c r="T22" s="79">
        <v>197.26</v>
      </c>
      <c r="U22" s="80">
        <v>993</v>
      </c>
      <c r="V22" s="81">
        <v>27</v>
      </c>
      <c r="W22" s="55">
        <v>1</v>
      </c>
      <c r="X22" s="50">
        <v>0</v>
      </c>
      <c r="Y22" s="50">
        <v>2</v>
      </c>
      <c r="Z22" s="50">
        <v>0</v>
      </c>
      <c r="AA22" s="57">
        <v>5</v>
      </c>
      <c r="AB22" s="57">
        <v>1</v>
      </c>
      <c r="AC22" s="57">
        <f>SUM(W22:AB22)</f>
        <v>9</v>
      </c>
      <c r="AD22" s="58">
        <v>2</v>
      </c>
      <c r="AE22" s="59">
        <v>0</v>
      </c>
      <c r="AF22" s="59">
        <v>8</v>
      </c>
      <c r="AG22" s="59">
        <v>0</v>
      </c>
      <c r="AH22" s="60">
        <v>23</v>
      </c>
      <c r="AI22" s="60">
        <v>4</v>
      </c>
      <c r="AJ22" s="54">
        <f>SUM(AD22:AI22)</f>
        <v>37</v>
      </c>
    </row>
    <row r="23" spans="1:36">
      <c r="A23" s="63" t="s">
        <v>126</v>
      </c>
      <c r="B23" s="64"/>
      <c r="C23" s="65">
        <f>SUM(C18:C22)</f>
        <v>11</v>
      </c>
      <c r="D23" s="66">
        <f>SUM(D18:D22)</f>
        <v>10</v>
      </c>
      <c r="E23" s="66">
        <f>SUM(E18:E22)</f>
        <v>0</v>
      </c>
      <c r="F23" s="66">
        <f>SUM(F18:F22)</f>
        <v>10</v>
      </c>
      <c r="G23" s="67">
        <f>SUM(G18:G22)</f>
        <v>0</v>
      </c>
      <c r="H23" s="72">
        <f t="shared" ref="H23:V23" si="4">SUM(H18:H22)</f>
        <v>9</v>
      </c>
      <c r="I23" s="66">
        <f t="shared" si="4"/>
        <v>7</v>
      </c>
      <c r="J23" s="66">
        <f t="shared" si="4"/>
        <v>2</v>
      </c>
      <c r="K23" s="66">
        <f t="shared" si="4"/>
        <v>5</v>
      </c>
      <c r="L23" s="74">
        <f t="shared" si="4"/>
        <v>0</v>
      </c>
      <c r="M23" s="65">
        <f t="shared" si="4"/>
        <v>3</v>
      </c>
      <c r="N23" s="66">
        <f t="shared" si="4"/>
        <v>1</v>
      </c>
      <c r="O23" s="66">
        <f t="shared" si="4"/>
        <v>0</v>
      </c>
      <c r="P23" s="67">
        <f t="shared" si="4"/>
        <v>1</v>
      </c>
      <c r="Q23" s="70">
        <f t="shared" si="4"/>
        <v>184.2</v>
      </c>
      <c r="R23" s="71">
        <f t="shared" si="4"/>
        <v>13.2</v>
      </c>
      <c r="S23" s="72">
        <f t="shared" si="4"/>
        <v>68</v>
      </c>
      <c r="T23" s="73">
        <f t="shared" si="4"/>
        <v>1200.77</v>
      </c>
      <c r="U23" s="65">
        <f t="shared" si="4"/>
        <v>5724</v>
      </c>
      <c r="V23" s="67">
        <f t="shared" si="4"/>
        <v>409</v>
      </c>
      <c r="W23" s="68">
        <f t="shared" ref="W23:AJ23" si="5">SUM(W18:W22)</f>
        <v>13</v>
      </c>
      <c r="X23" s="74">
        <f t="shared" si="5"/>
        <v>3</v>
      </c>
      <c r="Y23" s="74">
        <f t="shared" si="5"/>
        <v>6</v>
      </c>
      <c r="Z23" s="74">
        <f t="shared" si="5"/>
        <v>4</v>
      </c>
      <c r="AA23" s="74">
        <f t="shared" si="5"/>
        <v>15</v>
      </c>
      <c r="AB23" s="74">
        <f t="shared" si="5"/>
        <v>10</v>
      </c>
      <c r="AC23" s="74">
        <f t="shared" si="5"/>
        <v>51</v>
      </c>
      <c r="AD23" s="70">
        <f t="shared" si="5"/>
        <v>45</v>
      </c>
      <c r="AE23" s="75">
        <f t="shared" si="5"/>
        <v>11.5</v>
      </c>
      <c r="AF23" s="75">
        <f t="shared" si="5"/>
        <v>27</v>
      </c>
      <c r="AG23" s="75">
        <f t="shared" si="5"/>
        <v>19</v>
      </c>
      <c r="AH23" s="75">
        <f t="shared" si="5"/>
        <v>56</v>
      </c>
      <c r="AI23" s="75">
        <f t="shared" si="5"/>
        <v>36.5</v>
      </c>
      <c r="AJ23" s="71">
        <f t="shared" si="5"/>
        <v>195</v>
      </c>
    </row>
    <row r="24" spans="1:36">
      <c r="A24" s="29" t="s">
        <v>187</v>
      </c>
      <c r="B24" s="76">
        <v>46314</v>
      </c>
      <c r="C24" s="49">
        <v>2</v>
      </c>
      <c r="D24" s="50">
        <v>2</v>
      </c>
      <c r="E24" s="50">
        <v>1</v>
      </c>
      <c r="F24" s="50">
        <v>1</v>
      </c>
      <c r="G24" s="51">
        <v>0</v>
      </c>
      <c r="H24" s="55">
        <v>3</v>
      </c>
      <c r="I24" s="55">
        <v>3</v>
      </c>
      <c r="J24" s="50">
        <v>1</v>
      </c>
      <c r="K24" s="50">
        <v>2</v>
      </c>
      <c r="L24" s="57">
        <v>0</v>
      </c>
      <c r="M24" s="49">
        <v>0</v>
      </c>
      <c r="N24" s="50">
        <v>0</v>
      </c>
      <c r="O24" s="50">
        <v>0</v>
      </c>
      <c r="P24" s="51">
        <v>1</v>
      </c>
      <c r="Q24" s="53">
        <v>54.8</v>
      </c>
      <c r="R24" s="54">
        <v>3.5</v>
      </c>
      <c r="S24" s="55">
        <v>3</v>
      </c>
      <c r="T24" s="56">
        <v>70.67</v>
      </c>
      <c r="U24" s="49">
        <v>1849</v>
      </c>
      <c r="V24" s="51">
        <v>111</v>
      </c>
      <c r="W24" s="55">
        <v>2</v>
      </c>
      <c r="X24" s="50">
        <v>2</v>
      </c>
      <c r="Y24" s="50">
        <v>2</v>
      </c>
      <c r="Z24" s="50">
        <v>2</v>
      </c>
      <c r="AA24" s="57">
        <v>4</v>
      </c>
      <c r="AB24" s="57">
        <v>3</v>
      </c>
      <c r="AC24" s="57">
        <f>SUM(W24:AB24)</f>
        <v>15</v>
      </c>
      <c r="AD24" s="58">
        <v>7</v>
      </c>
      <c r="AE24" s="59">
        <v>7</v>
      </c>
      <c r="AF24" s="59">
        <v>5</v>
      </c>
      <c r="AG24" s="59">
        <v>5</v>
      </c>
      <c r="AH24" s="60">
        <v>15.5</v>
      </c>
      <c r="AI24" s="60">
        <v>15.5</v>
      </c>
      <c r="AJ24" s="54">
        <f>SUM(AD24:AI24)</f>
        <v>55</v>
      </c>
    </row>
    <row r="25" spans="1:36">
      <c r="A25" s="29"/>
      <c r="B25" s="76">
        <v>46315</v>
      </c>
      <c r="C25" s="49">
        <v>1</v>
      </c>
      <c r="D25" s="50">
        <v>1</v>
      </c>
      <c r="E25" s="50">
        <v>0</v>
      </c>
      <c r="F25" s="50">
        <v>1</v>
      </c>
      <c r="G25" s="51">
        <v>0</v>
      </c>
      <c r="H25" s="55">
        <v>0</v>
      </c>
      <c r="I25" s="55">
        <v>0</v>
      </c>
      <c r="J25" s="50">
        <v>0</v>
      </c>
      <c r="K25" s="50">
        <v>0</v>
      </c>
      <c r="L25" s="57">
        <v>0</v>
      </c>
      <c r="M25" s="49">
        <v>1</v>
      </c>
      <c r="N25" s="50">
        <v>0</v>
      </c>
      <c r="O25" s="50">
        <v>0</v>
      </c>
      <c r="P25" s="51">
        <v>0</v>
      </c>
      <c r="Q25" s="53">
        <v>63.6</v>
      </c>
      <c r="R25" s="54">
        <v>0</v>
      </c>
      <c r="S25" s="55">
        <v>7</v>
      </c>
      <c r="T25" s="56">
        <v>156.99</v>
      </c>
      <c r="U25" s="49">
        <v>598</v>
      </c>
      <c r="V25" s="51">
        <v>50</v>
      </c>
      <c r="W25" s="55">
        <v>3</v>
      </c>
      <c r="X25" s="50">
        <v>1</v>
      </c>
      <c r="Y25" s="50">
        <v>0</v>
      </c>
      <c r="Z25" s="50">
        <v>2</v>
      </c>
      <c r="AA25" s="57">
        <v>3</v>
      </c>
      <c r="AB25" s="57">
        <v>2</v>
      </c>
      <c r="AC25" s="57">
        <f>SUM(W25:AB25)</f>
        <v>11</v>
      </c>
      <c r="AD25" s="58">
        <v>13.5</v>
      </c>
      <c r="AE25" s="59">
        <v>4.5</v>
      </c>
      <c r="AF25" s="59">
        <v>0</v>
      </c>
      <c r="AG25" s="59">
        <v>11</v>
      </c>
      <c r="AH25" s="60">
        <v>16</v>
      </c>
      <c r="AI25" s="60">
        <v>10</v>
      </c>
      <c r="AJ25" s="54">
        <f>SUM(AD25:AI25)</f>
        <v>55</v>
      </c>
    </row>
    <row r="26" spans="1:36">
      <c r="A26" s="29"/>
      <c r="B26" s="76">
        <v>46316</v>
      </c>
      <c r="C26" s="49">
        <v>0</v>
      </c>
      <c r="D26" s="50">
        <v>0</v>
      </c>
      <c r="E26" s="50">
        <v>0</v>
      </c>
      <c r="F26" s="50">
        <v>0</v>
      </c>
      <c r="G26" s="51">
        <v>0</v>
      </c>
      <c r="H26" s="55">
        <v>1</v>
      </c>
      <c r="I26" s="55">
        <v>1</v>
      </c>
      <c r="J26" s="50">
        <v>0</v>
      </c>
      <c r="K26" s="50">
        <v>1</v>
      </c>
      <c r="L26" s="57">
        <v>0</v>
      </c>
      <c r="M26" s="49">
        <v>0</v>
      </c>
      <c r="N26" s="50">
        <v>0</v>
      </c>
      <c r="O26" s="50">
        <v>1</v>
      </c>
      <c r="P26" s="51">
        <v>1</v>
      </c>
      <c r="Q26" s="53">
        <v>0</v>
      </c>
      <c r="R26" s="54">
        <v>21</v>
      </c>
      <c r="S26" s="55">
        <v>10</v>
      </c>
      <c r="T26" s="56">
        <v>248.79</v>
      </c>
      <c r="U26" s="49">
        <v>1202</v>
      </c>
      <c r="V26" s="51">
        <v>126</v>
      </c>
      <c r="W26" s="55">
        <v>4</v>
      </c>
      <c r="X26" s="50">
        <v>0</v>
      </c>
      <c r="Y26" s="50">
        <v>2</v>
      </c>
      <c r="Z26" s="50">
        <v>1</v>
      </c>
      <c r="AA26" s="57">
        <v>2</v>
      </c>
      <c r="AB26" s="57">
        <v>3</v>
      </c>
      <c r="AC26" s="57">
        <f>SUM(W26:AB26)</f>
        <v>12</v>
      </c>
      <c r="AD26" s="58">
        <v>10</v>
      </c>
      <c r="AE26" s="59">
        <v>0</v>
      </c>
      <c r="AF26" s="59">
        <v>10.5</v>
      </c>
      <c r="AG26" s="59">
        <v>3.5</v>
      </c>
      <c r="AH26" s="60">
        <v>6</v>
      </c>
      <c r="AI26" s="60">
        <v>12.5</v>
      </c>
      <c r="AJ26" s="54">
        <f>SUM(AD26:AI26)</f>
        <v>42.5</v>
      </c>
    </row>
    <row r="27" spans="1:36">
      <c r="A27" s="29"/>
      <c r="B27" s="76">
        <v>46317</v>
      </c>
      <c r="C27" s="49">
        <v>4</v>
      </c>
      <c r="D27" s="50">
        <v>4</v>
      </c>
      <c r="E27" s="50">
        <v>1</v>
      </c>
      <c r="F27" s="50">
        <v>3</v>
      </c>
      <c r="G27" s="51">
        <v>0</v>
      </c>
      <c r="H27" s="55">
        <v>0</v>
      </c>
      <c r="I27" s="55">
        <v>0</v>
      </c>
      <c r="J27" s="50">
        <v>0</v>
      </c>
      <c r="K27" s="50">
        <v>0</v>
      </c>
      <c r="L27" s="57">
        <v>0</v>
      </c>
      <c r="M27" s="49">
        <v>0</v>
      </c>
      <c r="N27" s="50">
        <v>0</v>
      </c>
      <c r="O27" s="50">
        <v>1</v>
      </c>
      <c r="P27" s="51">
        <v>0</v>
      </c>
      <c r="Q27" s="53">
        <v>39.1</v>
      </c>
      <c r="R27" s="54">
        <v>0</v>
      </c>
      <c r="S27" s="55">
        <v>11</v>
      </c>
      <c r="T27" s="56">
        <v>254.74</v>
      </c>
      <c r="U27" s="49">
        <v>1775</v>
      </c>
      <c r="V27" s="51">
        <v>170</v>
      </c>
      <c r="W27" s="55">
        <v>4</v>
      </c>
      <c r="X27" s="50">
        <v>1</v>
      </c>
      <c r="Y27" s="50">
        <v>2</v>
      </c>
      <c r="Z27" s="50">
        <v>0</v>
      </c>
      <c r="AA27" s="57">
        <v>5</v>
      </c>
      <c r="AB27" s="57">
        <v>1</v>
      </c>
      <c r="AC27" s="57">
        <f>SUM(W27:AB27)</f>
        <v>13</v>
      </c>
      <c r="AD27" s="58">
        <v>10</v>
      </c>
      <c r="AE27" s="59">
        <v>5</v>
      </c>
      <c r="AF27" s="59">
        <v>7</v>
      </c>
      <c r="AG27" s="59">
        <v>0</v>
      </c>
      <c r="AH27" s="60">
        <v>21</v>
      </c>
      <c r="AI27" s="60">
        <v>2.5</v>
      </c>
      <c r="AJ27" s="54">
        <f>SUM(AD27:AI27)</f>
        <v>45.5</v>
      </c>
    </row>
    <row r="28" spans="1:36">
      <c r="A28" s="29"/>
      <c r="B28" s="76">
        <v>46318</v>
      </c>
      <c r="C28" s="49">
        <v>4</v>
      </c>
      <c r="D28" s="50">
        <v>4</v>
      </c>
      <c r="E28" s="50">
        <v>1</v>
      </c>
      <c r="F28" s="50">
        <v>3</v>
      </c>
      <c r="G28" s="51">
        <v>0</v>
      </c>
      <c r="H28" s="55">
        <v>0</v>
      </c>
      <c r="I28" s="55">
        <v>0</v>
      </c>
      <c r="J28" s="50">
        <v>0</v>
      </c>
      <c r="K28" s="50">
        <v>0</v>
      </c>
      <c r="L28" s="57">
        <v>0</v>
      </c>
      <c r="M28" s="49">
        <v>0</v>
      </c>
      <c r="N28" s="50">
        <v>1</v>
      </c>
      <c r="O28" s="50">
        <v>1</v>
      </c>
      <c r="P28" s="51">
        <v>0</v>
      </c>
      <c r="Q28" s="77">
        <v>33.5</v>
      </c>
      <c r="R28" s="54">
        <v>0</v>
      </c>
      <c r="S28" s="78">
        <v>14</v>
      </c>
      <c r="T28" s="79">
        <v>351.57</v>
      </c>
      <c r="U28" s="80">
        <v>1849</v>
      </c>
      <c r="V28" s="81">
        <v>253</v>
      </c>
      <c r="W28" s="55">
        <v>3</v>
      </c>
      <c r="X28" s="50">
        <v>1</v>
      </c>
      <c r="Y28" s="50">
        <v>1</v>
      </c>
      <c r="Z28" s="50">
        <v>2</v>
      </c>
      <c r="AA28" s="57">
        <v>5</v>
      </c>
      <c r="AB28" s="57">
        <v>4</v>
      </c>
      <c r="AC28" s="57">
        <f>SUM(W28:AB28)</f>
        <v>16</v>
      </c>
      <c r="AD28" s="58">
        <v>13.5</v>
      </c>
      <c r="AE28" s="59">
        <v>2</v>
      </c>
      <c r="AF28" s="59">
        <v>2</v>
      </c>
      <c r="AG28" s="59">
        <v>6.5</v>
      </c>
      <c r="AH28" s="60">
        <v>26</v>
      </c>
      <c r="AI28" s="60">
        <v>18.5</v>
      </c>
      <c r="AJ28" s="54">
        <f>SUM(AD28:AI28)</f>
        <v>68.5</v>
      </c>
    </row>
    <row r="29" spans="1:36">
      <c r="A29" s="63" t="s">
        <v>126</v>
      </c>
      <c r="B29" s="64"/>
      <c r="C29" s="65">
        <f>SUM(C24:C28)</f>
        <v>11</v>
      </c>
      <c r="D29" s="66">
        <f>SUM(D24:D28)</f>
        <v>11</v>
      </c>
      <c r="E29" s="66">
        <f>SUM(E24:E28)</f>
        <v>3</v>
      </c>
      <c r="F29" s="66">
        <f>SUM(F24:F28)</f>
        <v>8</v>
      </c>
      <c r="G29" s="67">
        <f>SUM(G24:G28)</f>
        <v>0</v>
      </c>
      <c r="H29" s="72">
        <f t="shared" ref="H29:V29" si="6">SUM(H24:H28)</f>
        <v>4</v>
      </c>
      <c r="I29" s="66">
        <f t="shared" si="6"/>
        <v>4</v>
      </c>
      <c r="J29" s="66">
        <f t="shared" si="6"/>
        <v>1</v>
      </c>
      <c r="K29" s="66">
        <f t="shared" si="6"/>
        <v>3</v>
      </c>
      <c r="L29" s="74">
        <f t="shared" si="6"/>
        <v>0</v>
      </c>
      <c r="M29" s="65">
        <f t="shared" si="6"/>
        <v>1</v>
      </c>
      <c r="N29" s="66">
        <f t="shared" si="6"/>
        <v>1</v>
      </c>
      <c r="O29" s="66">
        <f t="shared" si="6"/>
        <v>3</v>
      </c>
      <c r="P29" s="67">
        <f t="shared" si="6"/>
        <v>2</v>
      </c>
      <c r="Q29" s="70">
        <f t="shared" si="6"/>
        <v>191</v>
      </c>
      <c r="R29" s="71">
        <f t="shared" si="6"/>
        <v>24.5</v>
      </c>
      <c r="S29" s="72">
        <f t="shared" si="6"/>
        <v>45</v>
      </c>
      <c r="T29" s="73">
        <f t="shared" si="6"/>
        <v>1082.76</v>
      </c>
      <c r="U29" s="65">
        <f t="shared" si="6"/>
        <v>7273</v>
      </c>
      <c r="V29" s="67">
        <f t="shared" si="6"/>
        <v>710</v>
      </c>
      <c r="W29" s="68">
        <f t="shared" ref="W29:AJ29" si="7">SUM(W24:W28)</f>
        <v>16</v>
      </c>
      <c r="X29" s="74">
        <f t="shared" si="7"/>
        <v>5</v>
      </c>
      <c r="Y29" s="74">
        <f t="shared" si="7"/>
        <v>7</v>
      </c>
      <c r="Z29" s="74">
        <f t="shared" si="7"/>
        <v>7</v>
      </c>
      <c r="AA29" s="74">
        <f t="shared" si="7"/>
        <v>19</v>
      </c>
      <c r="AB29" s="74">
        <f t="shared" si="7"/>
        <v>13</v>
      </c>
      <c r="AC29" s="74">
        <f t="shared" si="7"/>
        <v>67</v>
      </c>
      <c r="AD29" s="70">
        <f t="shared" si="7"/>
        <v>54</v>
      </c>
      <c r="AE29" s="75">
        <f t="shared" si="7"/>
        <v>18.5</v>
      </c>
      <c r="AF29" s="75">
        <f t="shared" si="7"/>
        <v>24.5</v>
      </c>
      <c r="AG29" s="75">
        <f t="shared" si="7"/>
        <v>26</v>
      </c>
      <c r="AH29" s="75">
        <f t="shared" si="7"/>
        <v>84.5</v>
      </c>
      <c r="AI29" s="75">
        <f t="shared" si="7"/>
        <v>59</v>
      </c>
      <c r="AJ29" s="71">
        <f t="shared" si="7"/>
        <v>266.5</v>
      </c>
    </row>
    <row r="30" spans="1:36">
      <c r="A30" s="29" t="s">
        <v>188</v>
      </c>
      <c r="B30" s="76">
        <v>46321</v>
      </c>
      <c r="C30" s="49">
        <v>3</v>
      </c>
      <c r="D30" s="50">
        <v>2</v>
      </c>
      <c r="E30" s="50">
        <v>0</v>
      </c>
      <c r="F30" s="50">
        <v>2</v>
      </c>
      <c r="G30" s="51">
        <v>0</v>
      </c>
      <c r="H30" s="55">
        <v>0</v>
      </c>
      <c r="I30" s="55">
        <v>0</v>
      </c>
      <c r="J30" s="50">
        <v>0</v>
      </c>
      <c r="K30" s="50">
        <v>0</v>
      </c>
      <c r="L30" s="57">
        <v>0</v>
      </c>
      <c r="M30" s="49">
        <v>0</v>
      </c>
      <c r="N30" s="50">
        <v>0</v>
      </c>
      <c r="O30" s="50">
        <v>1</v>
      </c>
      <c r="P30" s="51">
        <v>1</v>
      </c>
      <c r="Q30" s="53">
        <v>16.3</v>
      </c>
      <c r="R30" s="54">
        <v>0</v>
      </c>
      <c r="S30" s="55">
        <v>4</v>
      </c>
      <c r="T30" s="56">
        <v>100.34</v>
      </c>
      <c r="U30" s="49">
        <v>1667</v>
      </c>
      <c r="V30" s="51">
        <v>127</v>
      </c>
      <c r="W30" s="55">
        <v>1</v>
      </c>
      <c r="X30" s="50">
        <v>0</v>
      </c>
      <c r="Y30" s="50">
        <v>0</v>
      </c>
      <c r="Z30" s="50">
        <v>0</v>
      </c>
      <c r="AA30" s="57">
        <v>1</v>
      </c>
      <c r="AB30" s="57">
        <v>2</v>
      </c>
      <c r="AC30" s="57">
        <f>SUM(W30:AB30)</f>
        <v>4</v>
      </c>
      <c r="AD30" s="58">
        <v>5.5</v>
      </c>
      <c r="AE30" s="59">
        <v>0</v>
      </c>
      <c r="AF30" s="59">
        <v>0</v>
      </c>
      <c r="AG30" s="59">
        <v>0</v>
      </c>
      <c r="AH30" s="60">
        <v>4</v>
      </c>
      <c r="AI30" s="60">
        <v>10</v>
      </c>
      <c r="AJ30" s="54">
        <f>SUM(AD30:AI30)</f>
        <v>19.5</v>
      </c>
    </row>
    <row r="31" spans="1:36">
      <c r="A31" s="29"/>
      <c r="B31" s="76">
        <v>46322</v>
      </c>
      <c r="C31" s="49">
        <v>1</v>
      </c>
      <c r="D31" s="50">
        <v>0</v>
      </c>
      <c r="E31" s="50">
        <v>0</v>
      </c>
      <c r="F31" s="50">
        <v>0</v>
      </c>
      <c r="G31" s="51">
        <v>0</v>
      </c>
      <c r="H31" s="55">
        <v>2</v>
      </c>
      <c r="I31" s="55">
        <v>2</v>
      </c>
      <c r="J31" s="50">
        <v>0</v>
      </c>
      <c r="K31" s="50">
        <v>2</v>
      </c>
      <c r="L31" s="57">
        <v>0</v>
      </c>
      <c r="M31" s="49">
        <v>2</v>
      </c>
      <c r="N31" s="50">
        <v>0</v>
      </c>
      <c r="O31" s="50">
        <v>1</v>
      </c>
      <c r="P31" s="51">
        <v>0</v>
      </c>
      <c r="Q31" s="53">
        <v>30.8</v>
      </c>
      <c r="R31" s="54">
        <v>0</v>
      </c>
      <c r="S31" s="55">
        <v>22</v>
      </c>
      <c r="T31" s="56">
        <v>606.8</v>
      </c>
      <c r="U31" s="49">
        <v>2014</v>
      </c>
      <c r="V31" s="51">
        <v>262</v>
      </c>
      <c r="W31" s="55">
        <v>4</v>
      </c>
      <c r="X31" s="50">
        <v>1</v>
      </c>
      <c r="Y31" s="50">
        <v>2</v>
      </c>
      <c r="Z31" s="50">
        <v>2</v>
      </c>
      <c r="AA31" s="57">
        <v>4</v>
      </c>
      <c r="AB31" s="57">
        <v>3</v>
      </c>
      <c r="AC31" s="57">
        <f>SUM(W31:AB31)</f>
        <v>16</v>
      </c>
      <c r="AD31" s="58">
        <v>19.5</v>
      </c>
      <c r="AE31" s="59">
        <v>2.5</v>
      </c>
      <c r="AF31" s="59">
        <v>6</v>
      </c>
      <c r="AG31" s="59">
        <v>5</v>
      </c>
      <c r="AH31" s="60">
        <v>17.5</v>
      </c>
      <c r="AI31" s="60">
        <v>13</v>
      </c>
      <c r="AJ31" s="54">
        <f>SUM(AD31:AI31)</f>
        <v>63.5</v>
      </c>
    </row>
    <row r="32" spans="1:36">
      <c r="A32" s="29"/>
      <c r="B32" s="76">
        <v>46323</v>
      </c>
      <c r="C32" s="49">
        <v>3</v>
      </c>
      <c r="D32" s="50">
        <v>3</v>
      </c>
      <c r="E32" s="50">
        <v>0</v>
      </c>
      <c r="F32" s="50">
        <v>2</v>
      </c>
      <c r="G32" s="51">
        <v>1</v>
      </c>
      <c r="H32" s="55">
        <v>1</v>
      </c>
      <c r="I32" s="55">
        <v>1</v>
      </c>
      <c r="J32" s="50">
        <v>1</v>
      </c>
      <c r="K32" s="50">
        <v>0</v>
      </c>
      <c r="L32" s="57">
        <v>0</v>
      </c>
      <c r="M32" s="49">
        <v>2</v>
      </c>
      <c r="N32" s="50">
        <v>0</v>
      </c>
      <c r="O32" s="50">
        <v>0</v>
      </c>
      <c r="P32" s="51">
        <v>0</v>
      </c>
      <c r="Q32" s="53">
        <v>64.1</v>
      </c>
      <c r="R32" s="54">
        <v>20.8</v>
      </c>
      <c r="S32" s="55">
        <v>14</v>
      </c>
      <c r="T32" s="56">
        <v>269.01</v>
      </c>
      <c r="U32" s="49">
        <v>995</v>
      </c>
      <c r="V32" s="51">
        <v>152</v>
      </c>
      <c r="W32" s="55">
        <v>3</v>
      </c>
      <c r="X32" s="50">
        <v>1</v>
      </c>
      <c r="Y32" s="50">
        <v>2</v>
      </c>
      <c r="Z32" s="50">
        <v>2</v>
      </c>
      <c r="AA32" s="57">
        <v>1</v>
      </c>
      <c r="AB32" s="57">
        <v>3</v>
      </c>
      <c r="AC32" s="57">
        <f>SUM(W32:AB32)</f>
        <v>12</v>
      </c>
      <c r="AD32" s="58">
        <v>10</v>
      </c>
      <c r="AE32" s="59">
        <v>5</v>
      </c>
      <c r="AF32" s="59">
        <v>7.5</v>
      </c>
      <c r="AG32" s="59">
        <v>10.5</v>
      </c>
      <c r="AH32" s="60">
        <v>4.5</v>
      </c>
      <c r="AI32" s="60">
        <v>16.5</v>
      </c>
      <c r="AJ32" s="54">
        <f>SUM(AD32:AI32)</f>
        <v>54</v>
      </c>
    </row>
    <row r="33" spans="1:36">
      <c r="A33" s="29"/>
      <c r="B33" s="76">
        <v>46324</v>
      </c>
      <c r="C33" s="49">
        <v>3</v>
      </c>
      <c r="D33" s="50">
        <v>3</v>
      </c>
      <c r="E33" s="50">
        <v>0</v>
      </c>
      <c r="F33" s="50">
        <v>3</v>
      </c>
      <c r="G33" s="51">
        <v>0</v>
      </c>
      <c r="H33" s="55">
        <v>0</v>
      </c>
      <c r="I33" s="55">
        <v>0</v>
      </c>
      <c r="J33" s="50">
        <v>0</v>
      </c>
      <c r="K33" s="50">
        <v>0</v>
      </c>
      <c r="L33" s="57">
        <v>0</v>
      </c>
      <c r="M33" s="49">
        <v>0</v>
      </c>
      <c r="N33" s="50">
        <v>1</v>
      </c>
      <c r="O33" s="50">
        <v>0</v>
      </c>
      <c r="P33" s="51">
        <v>0</v>
      </c>
      <c r="Q33" s="53">
        <v>9.4</v>
      </c>
      <c r="R33" s="54">
        <v>0</v>
      </c>
      <c r="S33" s="55">
        <v>14</v>
      </c>
      <c r="T33" s="56">
        <v>395.88</v>
      </c>
      <c r="U33" s="49">
        <v>2091</v>
      </c>
      <c r="V33" s="51">
        <v>43</v>
      </c>
      <c r="W33" s="55">
        <v>3</v>
      </c>
      <c r="X33" s="50">
        <v>1</v>
      </c>
      <c r="Y33" s="50">
        <v>0</v>
      </c>
      <c r="Z33" s="50">
        <v>2</v>
      </c>
      <c r="AA33" s="57">
        <v>2</v>
      </c>
      <c r="AB33" s="57">
        <v>2</v>
      </c>
      <c r="AC33" s="57">
        <f>SUM(W33:AB33)</f>
        <v>10</v>
      </c>
      <c r="AD33" s="58">
        <v>11.5</v>
      </c>
      <c r="AE33" s="59">
        <v>2</v>
      </c>
      <c r="AF33" s="59">
        <v>0</v>
      </c>
      <c r="AG33" s="59">
        <v>5</v>
      </c>
      <c r="AH33" s="60">
        <v>5</v>
      </c>
      <c r="AI33" s="60">
        <v>5</v>
      </c>
      <c r="AJ33" s="54">
        <f>SUM(AD33:AI33)</f>
        <v>28.5</v>
      </c>
    </row>
    <row r="34" spans="1:36">
      <c r="A34" s="29"/>
      <c r="B34" s="76">
        <v>46325</v>
      </c>
      <c r="C34" s="49">
        <v>0</v>
      </c>
      <c r="D34" s="50">
        <v>0</v>
      </c>
      <c r="E34" s="50">
        <v>0</v>
      </c>
      <c r="F34" s="50">
        <v>0</v>
      </c>
      <c r="G34" s="51">
        <v>0</v>
      </c>
      <c r="H34" s="55">
        <v>3</v>
      </c>
      <c r="I34" s="55">
        <v>3</v>
      </c>
      <c r="J34" s="50">
        <v>1</v>
      </c>
      <c r="K34" s="50">
        <v>2</v>
      </c>
      <c r="L34" s="57">
        <v>0</v>
      </c>
      <c r="M34" s="49">
        <v>0</v>
      </c>
      <c r="N34" s="50">
        <v>1</v>
      </c>
      <c r="O34" s="50">
        <v>0</v>
      </c>
      <c r="P34" s="51">
        <v>0</v>
      </c>
      <c r="Q34" s="77">
        <v>57</v>
      </c>
      <c r="R34" s="54">
        <v>0</v>
      </c>
      <c r="S34" s="78">
        <v>18</v>
      </c>
      <c r="T34" s="79">
        <v>260.18</v>
      </c>
      <c r="U34" s="80">
        <v>1894</v>
      </c>
      <c r="V34" s="81">
        <v>137</v>
      </c>
      <c r="W34" s="55">
        <v>2</v>
      </c>
      <c r="X34" s="50">
        <v>1</v>
      </c>
      <c r="Y34" s="50">
        <v>1</v>
      </c>
      <c r="Z34" s="50">
        <v>2</v>
      </c>
      <c r="AA34" s="57">
        <v>4</v>
      </c>
      <c r="AB34" s="57">
        <v>3</v>
      </c>
      <c r="AC34" s="57">
        <f>SUM(W34:AB34)</f>
        <v>13</v>
      </c>
      <c r="AD34" s="58">
        <v>9</v>
      </c>
      <c r="AE34" s="59">
        <v>3</v>
      </c>
      <c r="AF34" s="59">
        <v>3.5</v>
      </c>
      <c r="AG34" s="59">
        <v>7.5</v>
      </c>
      <c r="AH34" s="60">
        <v>11</v>
      </c>
      <c r="AI34" s="60">
        <v>10</v>
      </c>
      <c r="AJ34" s="54">
        <f>SUM(AD34:AI34)</f>
        <v>44</v>
      </c>
    </row>
    <row r="35" ht="17.55" spans="1:36">
      <c r="A35" s="83" t="s">
        <v>126</v>
      </c>
      <c r="B35" s="84"/>
      <c r="C35" s="85">
        <f>SUM(C30:C34)</f>
        <v>10</v>
      </c>
      <c r="D35" s="86">
        <f>SUM(D30:D34)</f>
        <v>8</v>
      </c>
      <c r="E35" s="86">
        <f>SUM(E30:E34)</f>
        <v>0</v>
      </c>
      <c r="F35" s="86">
        <f>SUM(F30:F34)</f>
        <v>7</v>
      </c>
      <c r="G35" s="87">
        <f>SUM(G30:G34)</f>
        <v>1</v>
      </c>
      <c r="H35" s="88">
        <f t="shared" ref="H35:V35" si="8">SUM(H30:H34)</f>
        <v>6</v>
      </c>
      <c r="I35" s="86">
        <f t="shared" si="8"/>
        <v>6</v>
      </c>
      <c r="J35" s="86">
        <f t="shared" si="8"/>
        <v>2</v>
      </c>
      <c r="K35" s="86">
        <f t="shared" si="8"/>
        <v>4</v>
      </c>
      <c r="L35" s="89">
        <f t="shared" si="8"/>
        <v>0</v>
      </c>
      <c r="M35" s="90">
        <f t="shared" si="8"/>
        <v>4</v>
      </c>
      <c r="N35" s="91">
        <f t="shared" si="8"/>
        <v>2</v>
      </c>
      <c r="O35" s="91">
        <f t="shared" si="8"/>
        <v>2</v>
      </c>
      <c r="P35" s="92">
        <f t="shared" si="8"/>
        <v>1</v>
      </c>
      <c r="Q35" s="93">
        <f t="shared" si="8"/>
        <v>177.6</v>
      </c>
      <c r="R35" s="94">
        <f t="shared" si="8"/>
        <v>20.8</v>
      </c>
      <c r="S35" s="95">
        <f t="shared" si="8"/>
        <v>72</v>
      </c>
      <c r="T35" s="96">
        <f t="shared" si="8"/>
        <v>1632.21</v>
      </c>
      <c r="U35" s="85">
        <f t="shared" si="8"/>
        <v>8661</v>
      </c>
      <c r="V35" s="87">
        <f t="shared" si="8"/>
        <v>721</v>
      </c>
      <c r="W35" s="97">
        <f t="shared" ref="W35:AJ35" si="9">SUM(W30:W34)</f>
        <v>13</v>
      </c>
      <c r="X35" s="98">
        <f t="shared" si="9"/>
        <v>4</v>
      </c>
      <c r="Y35" s="98">
        <f t="shared" si="9"/>
        <v>5</v>
      </c>
      <c r="Z35" s="98">
        <f t="shared" si="9"/>
        <v>8</v>
      </c>
      <c r="AA35" s="98">
        <f t="shared" si="9"/>
        <v>12</v>
      </c>
      <c r="AB35" s="98">
        <f t="shared" si="9"/>
        <v>13</v>
      </c>
      <c r="AC35" s="98">
        <f t="shared" si="9"/>
        <v>55</v>
      </c>
      <c r="AD35" s="99">
        <f t="shared" si="9"/>
        <v>55.5</v>
      </c>
      <c r="AE35" s="100">
        <f t="shared" si="9"/>
        <v>12.5</v>
      </c>
      <c r="AF35" s="100">
        <f t="shared" si="9"/>
        <v>17</v>
      </c>
      <c r="AG35" s="100">
        <f t="shared" si="9"/>
        <v>28</v>
      </c>
      <c r="AH35" s="100">
        <f t="shared" si="9"/>
        <v>42</v>
      </c>
      <c r="AI35" s="100">
        <f t="shared" si="9"/>
        <v>54.5</v>
      </c>
      <c r="AJ35" s="101">
        <f t="shared" si="9"/>
        <v>209.5</v>
      </c>
    </row>
    <row r="36" s="4" customFormat="1" ht="37.2" customHeight="1" spans="1:36">
      <c r="A36" s="102" t="s">
        <v>209</v>
      </c>
      <c r="B36" s="103"/>
      <c r="C36" s="104">
        <f>C11+C17+C23+C29+C35</f>
        <v>48</v>
      </c>
      <c r="D36" s="105">
        <f>D11+D17+D23+D29+D35</f>
        <v>44</v>
      </c>
      <c r="E36" s="105">
        <f>E11+E17+E23+E29+E35</f>
        <v>7</v>
      </c>
      <c r="F36" s="105">
        <f>F11+F17+F23+F29+F35</f>
        <v>36</v>
      </c>
      <c r="G36" s="106">
        <f>G11+G17+G23+G29+G35</f>
        <v>1</v>
      </c>
      <c r="H36" s="107">
        <f t="shared" ref="H36:V36" si="10">H11+H17+H23+H29+H35</f>
        <v>27</v>
      </c>
      <c r="I36" s="105">
        <f t="shared" si="10"/>
        <v>23</v>
      </c>
      <c r="J36" s="105">
        <f t="shared" si="10"/>
        <v>8</v>
      </c>
      <c r="K36" s="105">
        <f t="shared" si="10"/>
        <v>15</v>
      </c>
      <c r="L36" s="108">
        <f t="shared" si="10"/>
        <v>0</v>
      </c>
      <c r="M36" s="109">
        <f t="shared" si="10"/>
        <v>13</v>
      </c>
      <c r="N36" s="110">
        <f t="shared" si="10"/>
        <v>6</v>
      </c>
      <c r="O36" s="110">
        <f t="shared" si="10"/>
        <v>7</v>
      </c>
      <c r="P36" s="111">
        <f t="shared" si="10"/>
        <v>5</v>
      </c>
      <c r="Q36" s="112">
        <f t="shared" si="10"/>
        <v>751.4</v>
      </c>
      <c r="R36" s="113">
        <f t="shared" si="10"/>
        <v>96.6</v>
      </c>
      <c r="S36" s="114">
        <f t="shared" si="10"/>
        <v>288</v>
      </c>
      <c r="T36" s="115">
        <f t="shared" si="10"/>
        <v>6152.84</v>
      </c>
      <c r="U36" s="105">
        <f t="shared" si="10"/>
        <v>27642</v>
      </c>
      <c r="V36" s="105">
        <f t="shared" si="10"/>
        <v>2235</v>
      </c>
      <c r="W36" s="116">
        <f t="shared" ref="W36:AJ36" si="11">W11+W17+W23+W29+W35</f>
        <v>61</v>
      </c>
      <c r="X36" s="116">
        <f t="shared" si="11"/>
        <v>15</v>
      </c>
      <c r="Y36" s="116">
        <f t="shared" si="11"/>
        <v>26</v>
      </c>
      <c r="Z36" s="116">
        <f t="shared" si="11"/>
        <v>24</v>
      </c>
      <c r="AA36" s="116">
        <f t="shared" si="11"/>
        <v>64</v>
      </c>
      <c r="AB36" s="116">
        <f t="shared" si="11"/>
        <v>58</v>
      </c>
      <c r="AC36" s="116">
        <f t="shared" si="11"/>
        <v>248</v>
      </c>
      <c r="AD36" s="117">
        <f t="shared" si="11"/>
        <v>220</v>
      </c>
      <c r="AE36" s="118">
        <f t="shared" si="11"/>
        <v>53.5</v>
      </c>
      <c r="AF36" s="118">
        <f t="shared" si="11"/>
        <v>96.5</v>
      </c>
      <c r="AG36" s="118">
        <f t="shared" si="11"/>
        <v>86.5</v>
      </c>
      <c r="AH36" s="118">
        <f t="shared" si="11"/>
        <v>246</v>
      </c>
      <c r="AI36" s="118">
        <f t="shared" si="11"/>
        <v>236.5</v>
      </c>
      <c r="AJ36" s="113">
        <f t="shared" si="11"/>
        <v>939</v>
      </c>
    </row>
    <row r="41" spans="1:36">
      <c r="T41" s="5"/>
      <c r="W41" s="2"/>
    </row>
    <row r="42" spans="1:36">
      <c r="T42" s="5"/>
      <c r="W42" s="2"/>
    </row>
    <row r="43" spans="1:36">
      <c r="T43" s="5"/>
      <c r="W43" s="2"/>
    </row>
    <row r="44" spans="1:36">
      <c r="T44" s="5"/>
      <c r="W44" s="2"/>
    </row>
    <row r="45" spans="1:36">
      <c r="T45" s="5"/>
      <c r="W45" s="2"/>
    </row>
    <row r="46" spans="1:36">
      <c r="T46" s="5"/>
      <c r="W46" s="2"/>
    </row>
    <row r="47" spans="1:36">
      <c r="T47" s="5"/>
      <c r="W47" s="2"/>
    </row>
    <row r="48" spans="1:36">
      <c r="T48" s="5"/>
      <c r="W48" s="2"/>
    </row>
    <row r="49" spans="20:23">
      <c r="T49" s="5"/>
      <c r="W49" s="2"/>
    </row>
    <row r="50" spans="20:23">
      <c r="T50" s="5"/>
      <c r="W50" s="2"/>
    </row>
    <row r="51" spans="20:23">
      <c r="T51" s="5"/>
      <c r="W51" s="2"/>
    </row>
    <row r="52" spans="20:23">
      <c r="T52" s="5"/>
      <c r="W52" s="2"/>
    </row>
    <row r="53" spans="20:23">
      <c r="T53" s="5"/>
      <c r="W53" s="2"/>
    </row>
    <row r="54" spans="20:23">
      <c r="T54" s="5"/>
      <c r="W54" s="2"/>
    </row>
    <row r="55" spans="20:23">
      <c r="T55" s="5"/>
      <c r="W55" s="2"/>
    </row>
    <row r="56" spans="20:23">
      <c r="T56" s="5"/>
      <c r="W56" s="2"/>
    </row>
    <row r="57" spans="20:23">
      <c r="T57" s="5"/>
      <c r="W57" s="2"/>
    </row>
    <row r="58" spans="20:23">
      <c r="T58" s="5"/>
      <c r="W58" s="2"/>
    </row>
    <row r="59" spans="20:23">
      <c r="T59" s="5"/>
      <c r="W59" s="2"/>
    </row>
    <row r="60" spans="20:23">
      <c r="T60" s="5"/>
      <c r="W60" s="2"/>
    </row>
    <row r="61" spans="20:23">
      <c r="T61" s="5"/>
      <c r="W61" s="2"/>
    </row>
    <row r="62" spans="20:23">
      <c r="T62" s="5"/>
      <c r="W62" s="2"/>
    </row>
    <row r="63" spans="20:23">
      <c r="T63" s="5"/>
      <c r="W63" s="2"/>
    </row>
    <row r="64" spans="20:23">
      <c r="T64" s="5"/>
      <c r="W64" s="2"/>
    </row>
    <row r="65" spans="20:23">
      <c r="T65" s="5"/>
      <c r="W65" s="2"/>
    </row>
    <row r="66" spans="20:23">
      <c r="T66" s="5"/>
      <c r="W66" s="2"/>
    </row>
    <row r="67" spans="20:23">
      <c r="T67" s="5"/>
      <c r="W67" s="2"/>
    </row>
    <row r="68" spans="20:23">
      <c r="T68" s="5"/>
      <c r="W68" s="2"/>
    </row>
    <row r="69" spans="20:23">
      <c r="T69" s="5"/>
      <c r="W69" s="2"/>
    </row>
    <row r="70" spans="20:23">
      <c r="T70" s="5"/>
      <c r="W70" s="2"/>
    </row>
    <row r="71" spans="20:23">
      <c r="T71" s="5"/>
      <c r="W71" s="2"/>
    </row>
    <row r="72" spans="20:23">
      <c r="T72" s="5"/>
      <c r="W72" s="2"/>
    </row>
    <row r="73" spans="20:23">
      <c r="T73" s="5"/>
      <c r="W73" s="2"/>
    </row>
    <row r="74" spans="20:23">
      <c r="T74" s="5"/>
      <c r="W74" s="2"/>
    </row>
  </sheetData>
  <mergeCells count="20">
    <mergeCell ref="C4:G4"/>
    <mergeCell ref="H4:L4"/>
    <mergeCell ref="M4:P4"/>
    <mergeCell ref="Q4:R4"/>
    <mergeCell ref="S4:T4"/>
    <mergeCell ref="U4:V4"/>
    <mergeCell ref="W4:AC4"/>
    <mergeCell ref="AD4:AJ4"/>
    <mergeCell ref="A11:B11"/>
    <mergeCell ref="A17:B17"/>
    <mergeCell ref="A23:B23"/>
    <mergeCell ref="A29:B29"/>
    <mergeCell ref="A35:B35"/>
    <mergeCell ref="A36:B36"/>
    <mergeCell ref="A6:A10"/>
    <mergeCell ref="A12:A16"/>
    <mergeCell ref="A18:A22"/>
    <mergeCell ref="A24:A28"/>
    <mergeCell ref="A30:A34"/>
    <mergeCell ref="E1:AA2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74"/>
  <sheetViews>
    <sheetView workbookViewId="0">
      <selection activeCell="A1" sqref="A1"/>
    </sheetView>
  </sheetViews>
  <sheetFormatPr defaultColWidth="13.6923076923077" defaultRowHeight="16.8"/>
  <cols>
    <col min="1" max="1" width="3.68269230769231" style="2" customWidth="1"/>
    <col min="2" max="22" width="13.6923076923077" style="2" customWidth="1"/>
    <col min="23" max="23" width="13.6923076923077" style="5" customWidth="1"/>
    <col min="24" max="16384" width="13.6923076923077" style="2" customWidth="1"/>
  </cols>
  <sheetData>
    <row r="1" spans="1:36">
      <c r="E1" s="6" t="s">
        <v>104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36"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17.55"/>
    <row r="4" s="1" customFormat="1" ht="17.55" spans="1:36">
      <c r="C4" s="8" t="s">
        <v>105</v>
      </c>
      <c r="D4" s="9"/>
      <c r="E4" s="9"/>
      <c r="F4" s="9"/>
      <c r="G4" s="10"/>
      <c r="H4" s="9" t="s">
        <v>106</v>
      </c>
      <c r="I4" s="9"/>
      <c r="J4" s="9"/>
      <c r="K4" s="9"/>
      <c r="L4" s="9"/>
      <c r="M4" s="8" t="s">
        <v>107</v>
      </c>
      <c r="N4" s="9"/>
      <c r="O4" s="9"/>
      <c r="P4" s="11"/>
      <c r="Q4" s="12" t="s">
        <v>124</v>
      </c>
      <c r="R4" s="10"/>
      <c r="S4" s="9" t="s">
        <v>109</v>
      </c>
      <c r="T4" s="11"/>
      <c r="U4" s="13" t="s">
        <v>110</v>
      </c>
      <c r="V4" s="14"/>
      <c r="W4" s="12" t="s">
        <v>111</v>
      </c>
      <c r="X4" s="15"/>
      <c r="Y4" s="15"/>
      <c r="Z4" s="15"/>
      <c r="AA4" s="15"/>
      <c r="AB4" s="15"/>
      <c r="AC4" s="15"/>
      <c r="AD4" s="12" t="s">
        <v>112</v>
      </c>
      <c r="AE4" s="15"/>
      <c r="AF4" s="15"/>
      <c r="AG4" s="15"/>
      <c r="AH4" s="15"/>
      <c r="AI4" s="15"/>
      <c r="AJ4" s="10"/>
    </row>
    <row r="5" s="2" customFormat="1" ht="17.55" spans="1:36">
      <c r="A5" s="16" t="s">
        <v>210</v>
      </c>
      <c r="B5" s="17" t="s">
        <v>55</v>
      </c>
      <c r="C5" s="18" t="s">
        <v>47</v>
      </c>
      <c r="D5" s="19" t="s">
        <v>114</v>
      </c>
      <c r="E5" s="20" t="s">
        <v>40</v>
      </c>
      <c r="F5" s="19" t="s">
        <v>41</v>
      </c>
      <c r="G5" s="21" t="s">
        <v>42</v>
      </c>
      <c r="H5" s="22" t="s">
        <v>47</v>
      </c>
      <c r="I5" s="22" t="s">
        <v>114</v>
      </c>
      <c r="J5" s="23" t="s">
        <v>40</v>
      </c>
      <c r="K5" s="23" t="s">
        <v>41</v>
      </c>
      <c r="L5" s="24" t="s">
        <v>42</v>
      </c>
      <c r="M5" s="25" t="s">
        <v>47</v>
      </c>
      <c r="N5" s="23" t="s">
        <v>48</v>
      </c>
      <c r="O5" s="23" t="s">
        <v>49</v>
      </c>
      <c r="P5" s="26" t="s">
        <v>50</v>
      </c>
      <c r="Q5" s="25" t="s">
        <v>115</v>
      </c>
      <c r="R5" s="26" t="s">
        <v>116</v>
      </c>
      <c r="S5" s="22" t="s">
        <v>72</v>
      </c>
      <c r="T5" s="27" t="s">
        <v>73</v>
      </c>
      <c r="U5" s="19" t="s">
        <v>74</v>
      </c>
      <c r="V5" s="28" t="s">
        <v>75</v>
      </c>
      <c r="W5" s="25" t="s">
        <v>117</v>
      </c>
      <c r="X5" s="23" t="s">
        <v>118</v>
      </c>
      <c r="Y5" s="23" t="s">
        <v>119</v>
      </c>
      <c r="Z5" s="23" t="s">
        <v>110</v>
      </c>
      <c r="AA5" s="24" t="s">
        <v>120</v>
      </c>
      <c r="AB5" s="24" t="s">
        <v>121</v>
      </c>
      <c r="AC5" s="24" t="s">
        <v>39</v>
      </c>
      <c r="AD5" s="25" t="s">
        <v>117</v>
      </c>
      <c r="AE5" s="23" t="s">
        <v>118</v>
      </c>
      <c r="AF5" s="23" t="s">
        <v>122</v>
      </c>
      <c r="AG5" s="23" t="s">
        <v>110</v>
      </c>
      <c r="AH5" s="24" t="s">
        <v>120</v>
      </c>
      <c r="AI5" s="24" t="s">
        <v>121</v>
      </c>
      <c r="AJ5" s="26" t="s">
        <v>39</v>
      </c>
    </row>
    <row r="6" spans="1:36">
      <c r="A6" s="29" t="s">
        <v>184</v>
      </c>
      <c r="B6" s="48">
        <v>46328</v>
      </c>
      <c r="C6" s="31">
        <v>1</v>
      </c>
      <c r="D6" s="32">
        <v>1</v>
      </c>
      <c r="E6" s="32">
        <v>1</v>
      </c>
      <c r="F6" s="32">
        <v>0</v>
      </c>
      <c r="G6" s="33">
        <v>0</v>
      </c>
      <c r="H6" s="34">
        <v>3</v>
      </c>
      <c r="I6" s="34">
        <v>2</v>
      </c>
      <c r="J6" s="32">
        <v>0</v>
      </c>
      <c r="K6" s="32">
        <v>2</v>
      </c>
      <c r="L6" s="35">
        <v>0</v>
      </c>
      <c r="M6" s="36">
        <v>0</v>
      </c>
      <c r="N6" s="37">
        <v>1</v>
      </c>
      <c r="O6" s="37">
        <v>0</v>
      </c>
      <c r="P6" s="38">
        <v>0</v>
      </c>
      <c r="Q6" s="39">
        <v>0</v>
      </c>
      <c r="R6" s="40">
        <v>0</v>
      </c>
      <c r="S6" s="41">
        <v>21</v>
      </c>
      <c r="T6" s="42">
        <v>374.21</v>
      </c>
      <c r="U6" s="31">
        <v>1930</v>
      </c>
      <c r="V6" s="33">
        <v>108</v>
      </c>
      <c r="W6" s="41">
        <v>3</v>
      </c>
      <c r="X6" s="37">
        <v>1</v>
      </c>
      <c r="Y6" s="37">
        <v>1</v>
      </c>
      <c r="Z6" s="37">
        <v>1</v>
      </c>
      <c r="AA6" s="43">
        <v>5</v>
      </c>
      <c r="AB6" s="43">
        <v>2</v>
      </c>
      <c r="AC6" s="43">
        <f>SUM(W6:AB6)</f>
        <v>13</v>
      </c>
      <c r="AD6" s="44">
        <v>7.5</v>
      </c>
      <c r="AE6" s="45">
        <v>4.5</v>
      </c>
      <c r="AF6" s="45">
        <v>3.5</v>
      </c>
      <c r="AG6" s="45">
        <v>3.5</v>
      </c>
      <c r="AH6" s="46">
        <v>14.5</v>
      </c>
      <c r="AI6" s="46">
        <v>7.5</v>
      </c>
      <c r="AJ6" s="47">
        <f>SUM(AD6:AI6)</f>
        <v>41</v>
      </c>
    </row>
    <row r="7" spans="1:36">
      <c r="A7" s="29"/>
      <c r="B7" s="48">
        <v>46329</v>
      </c>
      <c r="C7" s="49">
        <v>4</v>
      </c>
      <c r="D7" s="50">
        <v>4</v>
      </c>
      <c r="E7" s="50">
        <v>1</v>
      </c>
      <c r="F7" s="50">
        <v>3</v>
      </c>
      <c r="G7" s="51">
        <v>0</v>
      </c>
      <c r="H7" s="52">
        <v>3</v>
      </c>
      <c r="I7" s="50">
        <v>3</v>
      </c>
      <c r="J7" s="50">
        <v>1</v>
      </c>
      <c r="K7" s="50">
        <v>2</v>
      </c>
      <c r="L7" s="52">
        <v>0</v>
      </c>
      <c r="M7" s="49">
        <v>1</v>
      </c>
      <c r="N7" s="50">
        <v>0</v>
      </c>
      <c r="O7" s="50">
        <v>1</v>
      </c>
      <c r="P7" s="51">
        <v>0</v>
      </c>
      <c r="Q7" s="53">
        <v>0</v>
      </c>
      <c r="R7" s="54">
        <v>0</v>
      </c>
      <c r="S7" s="55">
        <v>22</v>
      </c>
      <c r="T7" s="56">
        <v>553.41</v>
      </c>
      <c r="U7" s="49">
        <v>1183</v>
      </c>
      <c r="V7" s="51">
        <v>100</v>
      </c>
      <c r="W7" s="55">
        <v>3</v>
      </c>
      <c r="X7" s="50">
        <v>0</v>
      </c>
      <c r="Y7" s="50">
        <v>2</v>
      </c>
      <c r="Z7" s="50">
        <v>1</v>
      </c>
      <c r="AA7" s="57">
        <v>2</v>
      </c>
      <c r="AB7" s="57">
        <v>3</v>
      </c>
      <c r="AC7" s="57">
        <f>SUM(W7:AB7)</f>
        <v>11</v>
      </c>
      <c r="AD7" s="58">
        <v>7</v>
      </c>
      <c r="AE7" s="59">
        <v>0</v>
      </c>
      <c r="AF7" s="59">
        <v>6.5</v>
      </c>
      <c r="AG7" s="59">
        <v>3</v>
      </c>
      <c r="AH7" s="60">
        <v>5</v>
      </c>
      <c r="AI7" s="60">
        <v>8</v>
      </c>
      <c r="AJ7" s="54">
        <f>SUM(AD7:AI7)</f>
        <v>29.5</v>
      </c>
    </row>
    <row r="8" spans="1:36">
      <c r="A8" s="29"/>
      <c r="B8" s="48">
        <v>46330</v>
      </c>
      <c r="C8" s="49">
        <v>3</v>
      </c>
      <c r="D8" s="50">
        <v>2</v>
      </c>
      <c r="E8" s="50">
        <v>1</v>
      </c>
      <c r="F8" s="50">
        <v>1</v>
      </c>
      <c r="G8" s="51">
        <v>0</v>
      </c>
      <c r="H8" s="52">
        <v>1</v>
      </c>
      <c r="I8" s="50">
        <v>1</v>
      </c>
      <c r="J8" s="50">
        <v>0</v>
      </c>
      <c r="K8" s="50">
        <v>1</v>
      </c>
      <c r="L8" s="52">
        <v>0</v>
      </c>
      <c r="M8" s="61">
        <v>0</v>
      </c>
      <c r="N8" s="50">
        <v>0</v>
      </c>
      <c r="O8" s="50">
        <v>1</v>
      </c>
      <c r="P8" s="51">
        <v>0</v>
      </c>
      <c r="Q8" s="53">
        <v>63.1</v>
      </c>
      <c r="R8" s="54">
        <v>0</v>
      </c>
      <c r="S8" s="55">
        <v>12</v>
      </c>
      <c r="T8" s="56">
        <v>151.4</v>
      </c>
      <c r="U8" s="49">
        <v>1139</v>
      </c>
      <c r="V8" s="51">
        <v>127</v>
      </c>
      <c r="W8" s="55">
        <v>1</v>
      </c>
      <c r="X8" s="50">
        <v>0</v>
      </c>
      <c r="Y8" s="50">
        <v>1</v>
      </c>
      <c r="Z8" s="50">
        <v>2</v>
      </c>
      <c r="AA8" s="57">
        <v>2</v>
      </c>
      <c r="AB8" s="57">
        <v>4</v>
      </c>
      <c r="AC8" s="57">
        <f>SUM(W8:AB8)</f>
        <v>10</v>
      </c>
      <c r="AD8" s="58">
        <v>2</v>
      </c>
      <c r="AE8" s="59">
        <v>0</v>
      </c>
      <c r="AF8" s="59">
        <v>5</v>
      </c>
      <c r="AG8" s="59">
        <v>4.5</v>
      </c>
      <c r="AH8" s="60">
        <v>4.5</v>
      </c>
      <c r="AI8" s="60">
        <v>16.5</v>
      </c>
      <c r="AJ8" s="54">
        <f>SUM(AD8:AI8)</f>
        <v>32.5</v>
      </c>
    </row>
    <row r="9" spans="1:36">
      <c r="A9" s="29"/>
      <c r="B9" s="48">
        <v>46331</v>
      </c>
      <c r="C9" s="49">
        <v>1</v>
      </c>
      <c r="D9" s="50">
        <v>1</v>
      </c>
      <c r="E9" s="50">
        <v>0</v>
      </c>
      <c r="F9" s="50">
        <v>1</v>
      </c>
      <c r="G9" s="51">
        <v>0</v>
      </c>
      <c r="H9" s="52">
        <v>0</v>
      </c>
      <c r="I9" s="50">
        <v>0</v>
      </c>
      <c r="J9" s="50">
        <v>0</v>
      </c>
      <c r="K9" s="50">
        <v>0</v>
      </c>
      <c r="L9" s="52">
        <v>0</v>
      </c>
      <c r="M9" s="61">
        <v>0</v>
      </c>
      <c r="N9" s="50">
        <v>0</v>
      </c>
      <c r="O9" s="50">
        <v>0</v>
      </c>
      <c r="P9" s="51">
        <v>0</v>
      </c>
      <c r="Q9" s="53">
        <v>0</v>
      </c>
      <c r="R9" s="54">
        <v>0</v>
      </c>
      <c r="S9" s="55">
        <v>6</v>
      </c>
      <c r="T9" s="56">
        <v>138.13</v>
      </c>
      <c r="U9" s="49">
        <v>1619</v>
      </c>
      <c r="V9" s="51">
        <v>220</v>
      </c>
      <c r="W9" s="55">
        <v>3</v>
      </c>
      <c r="X9" s="50">
        <v>2</v>
      </c>
      <c r="Y9" s="50">
        <v>2</v>
      </c>
      <c r="Z9" s="50">
        <v>1</v>
      </c>
      <c r="AA9" s="57">
        <v>1</v>
      </c>
      <c r="AB9" s="57">
        <v>2</v>
      </c>
      <c r="AC9" s="57">
        <f>SUM(W9:AB9)</f>
        <v>11</v>
      </c>
      <c r="AD9" s="58">
        <v>16.5</v>
      </c>
      <c r="AE9" s="59">
        <v>10.5</v>
      </c>
      <c r="AF9" s="59">
        <v>10.5</v>
      </c>
      <c r="AG9" s="59">
        <v>3</v>
      </c>
      <c r="AH9" s="60">
        <v>4.5</v>
      </c>
      <c r="AI9" s="60">
        <v>5</v>
      </c>
      <c r="AJ9" s="54">
        <f>SUM(AD9:AI9)</f>
        <v>50</v>
      </c>
    </row>
    <row r="10" spans="1:36">
      <c r="A10" s="62"/>
      <c r="B10" s="48">
        <v>46332</v>
      </c>
      <c r="C10" s="49">
        <v>4</v>
      </c>
      <c r="D10" s="50">
        <v>4</v>
      </c>
      <c r="E10" s="50">
        <v>1</v>
      </c>
      <c r="F10" s="50">
        <v>3</v>
      </c>
      <c r="G10" s="51">
        <v>0</v>
      </c>
      <c r="H10" s="52">
        <v>0</v>
      </c>
      <c r="I10" s="50">
        <v>0</v>
      </c>
      <c r="J10" s="50">
        <v>0</v>
      </c>
      <c r="K10" s="50">
        <v>0</v>
      </c>
      <c r="L10" s="52">
        <v>0</v>
      </c>
      <c r="M10" s="61">
        <v>1</v>
      </c>
      <c r="N10" s="50">
        <v>0</v>
      </c>
      <c r="O10" s="50">
        <v>0</v>
      </c>
      <c r="P10" s="51">
        <v>0</v>
      </c>
      <c r="Q10" s="53">
        <v>25.4</v>
      </c>
      <c r="R10" s="54">
        <v>0</v>
      </c>
      <c r="S10" s="55">
        <v>9</v>
      </c>
      <c r="T10" s="56">
        <v>195.72</v>
      </c>
      <c r="U10" s="49">
        <v>1010</v>
      </c>
      <c r="V10" s="51">
        <v>84</v>
      </c>
      <c r="W10" s="55">
        <v>4</v>
      </c>
      <c r="X10" s="50">
        <v>2</v>
      </c>
      <c r="Y10" s="50">
        <v>0</v>
      </c>
      <c r="Z10" s="50">
        <v>1</v>
      </c>
      <c r="AA10" s="57">
        <v>1</v>
      </c>
      <c r="AB10" s="57">
        <v>4</v>
      </c>
      <c r="AC10" s="57">
        <f>SUM(W10:AB10)</f>
        <v>12</v>
      </c>
      <c r="AD10" s="58">
        <v>12</v>
      </c>
      <c r="AE10" s="59">
        <v>9</v>
      </c>
      <c r="AF10" s="59">
        <v>0</v>
      </c>
      <c r="AG10" s="59">
        <v>4.5</v>
      </c>
      <c r="AH10" s="60">
        <v>2.5</v>
      </c>
      <c r="AI10" s="60">
        <v>13.5</v>
      </c>
      <c r="AJ10" s="54">
        <f>SUM(AD10:AI10)</f>
        <v>41.5</v>
      </c>
    </row>
    <row r="11" s="3" customFormat="1" spans="1:36">
      <c r="A11" s="63" t="s">
        <v>126</v>
      </c>
      <c r="B11" s="64"/>
      <c r="C11" s="65">
        <f>SUM(C6:C10)</f>
        <v>13</v>
      </c>
      <c r="D11" s="66">
        <f>SUM(D6:D10)</f>
        <v>12</v>
      </c>
      <c r="E11" s="66">
        <f>SUM(E6:E10)</f>
        <v>4</v>
      </c>
      <c r="F11" s="66">
        <f>SUM(F6:F10)</f>
        <v>8</v>
      </c>
      <c r="G11" s="67">
        <f>SUM(G6:G10)</f>
        <v>0</v>
      </c>
      <c r="H11" s="68">
        <f t="shared" ref="H11:V11" si="0">SUM(H6:H10)</f>
        <v>7</v>
      </c>
      <c r="I11" s="66">
        <f t="shared" si="0"/>
        <v>6</v>
      </c>
      <c r="J11" s="66">
        <f t="shared" si="0"/>
        <v>1</v>
      </c>
      <c r="K11" s="66">
        <f t="shared" si="0"/>
        <v>5</v>
      </c>
      <c r="L11" s="68">
        <f t="shared" si="0"/>
        <v>0</v>
      </c>
      <c r="M11" s="69">
        <f t="shared" si="0"/>
        <v>2</v>
      </c>
      <c r="N11" s="66">
        <f t="shared" si="0"/>
        <v>1</v>
      </c>
      <c r="O11" s="66">
        <f t="shared" si="0"/>
        <v>2</v>
      </c>
      <c r="P11" s="67">
        <f t="shared" si="0"/>
        <v>0</v>
      </c>
      <c r="Q11" s="70">
        <f t="shared" si="0"/>
        <v>88.5</v>
      </c>
      <c r="R11" s="71">
        <f t="shared" si="0"/>
        <v>0</v>
      </c>
      <c r="S11" s="72">
        <f t="shared" si="0"/>
        <v>70</v>
      </c>
      <c r="T11" s="73">
        <f t="shared" si="0"/>
        <v>1412.87</v>
      </c>
      <c r="U11" s="65">
        <f t="shared" si="0"/>
        <v>6881</v>
      </c>
      <c r="V11" s="67">
        <f t="shared" si="0"/>
        <v>639</v>
      </c>
      <c r="W11" s="68">
        <f t="shared" ref="W11:AJ11" si="1">SUM(W6:W10)</f>
        <v>14</v>
      </c>
      <c r="X11" s="74">
        <f t="shared" si="1"/>
        <v>5</v>
      </c>
      <c r="Y11" s="74">
        <f t="shared" si="1"/>
        <v>6</v>
      </c>
      <c r="Z11" s="74">
        <f t="shared" si="1"/>
        <v>6</v>
      </c>
      <c r="AA11" s="74">
        <f t="shared" si="1"/>
        <v>11</v>
      </c>
      <c r="AB11" s="74">
        <f t="shared" si="1"/>
        <v>15</v>
      </c>
      <c r="AC11" s="74">
        <f t="shared" si="1"/>
        <v>57</v>
      </c>
      <c r="AD11" s="70">
        <f t="shared" si="1"/>
        <v>45</v>
      </c>
      <c r="AE11" s="75">
        <f t="shared" si="1"/>
        <v>24</v>
      </c>
      <c r="AF11" s="75">
        <f t="shared" si="1"/>
        <v>25.5</v>
      </c>
      <c r="AG11" s="75">
        <f t="shared" si="1"/>
        <v>18.5</v>
      </c>
      <c r="AH11" s="75">
        <f t="shared" si="1"/>
        <v>31</v>
      </c>
      <c r="AI11" s="75">
        <f t="shared" si="1"/>
        <v>50.5</v>
      </c>
      <c r="AJ11" s="71">
        <f t="shared" si="1"/>
        <v>194.5</v>
      </c>
    </row>
    <row r="12" spans="1:36">
      <c r="A12" s="29" t="s">
        <v>185</v>
      </c>
      <c r="B12" s="76">
        <v>46335</v>
      </c>
      <c r="C12" s="49">
        <v>0</v>
      </c>
      <c r="D12" s="50">
        <v>0</v>
      </c>
      <c r="E12" s="50">
        <v>0</v>
      </c>
      <c r="F12" s="50">
        <v>0</v>
      </c>
      <c r="G12" s="51">
        <v>0</v>
      </c>
      <c r="H12" s="52">
        <v>0</v>
      </c>
      <c r="I12" s="50">
        <v>0</v>
      </c>
      <c r="J12" s="50">
        <v>0</v>
      </c>
      <c r="K12" s="50">
        <v>0</v>
      </c>
      <c r="L12" s="52">
        <v>0</v>
      </c>
      <c r="M12" s="61">
        <v>0</v>
      </c>
      <c r="N12" s="50">
        <v>0</v>
      </c>
      <c r="O12" s="50">
        <v>0</v>
      </c>
      <c r="P12" s="51">
        <v>0</v>
      </c>
      <c r="Q12" s="53">
        <v>61.9</v>
      </c>
      <c r="R12" s="54">
        <v>0</v>
      </c>
      <c r="S12" s="55">
        <v>6</v>
      </c>
      <c r="T12" s="56">
        <v>108.31</v>
      </c>
      <c r="U12" s="49">
        <v>1306</v>
      </c>
      <c r="V12" s="51">
        <v>191</v>
      </c>
      <c r="W12" s="55">
        <v>2</v>
      </c>
      <c r="X12" s="50">
        <v>1</v>
      </c>
      <c r="Y12" s="50">
        <v>1</v>
      </c>
      <c r="Z12" s="50">
        <v>0</v>
      </c>
      <c r="AA12" s="57">
        <v>3</v>
      </c>
      <c r="AB12" s="57">
        <v>3</v>
      </c>
      <c r="AC12" s="57">
        <f>SUM(W12:AB12)</f>
        <v>10</v>
      </c>
      <c r="AD12" s="58">
        <v>4.5</v>
      </c>
      <c r="AE12" s="59">
        <v>2.5</v>
      </c>
      <c r="AF12" s="59">
        <v>5</v>
      </c>
      <c r="AG12" s="59">
        <v>0</v>
      </c>
      <c r="AH12" s="60">
        <v>14</v>
      </c>
      <c r="AI12" s="60">
        <v>12</v>
      </c>
      <c r="AJ12" s="54">
        <f>SUM(AD12:AI12)</f>
        <v>38</v>
      </c>
    </row>
    <row r="13" spans="1:36">
      <c r="A13" s="29"/>
      <c r="B13" s="76">
        <v>46336</v>
      </c>
      <c r="C13" s="49">
        <v>2</v>
      </c>
      <c r="D13" s="50">
        <v>1</v>
      </c>
      <c r="E13" s="50">
        <v>1</v>
      </c>
      <c r="F13" s="50">
        <v>0</v>
      </c>
      <c r="G13" s="51">
        <v>0</v>
      </c>
      <c r="H13" s="52">
        <v>1</v>
      </c>
      <c r="I13" s="50">
        <v>0</v>
      </c>
      <c r="J13" s="50">
        <v>0</v>
      </c>
      <c r="K13" s="50">
        <v>0</v>
      </c>
      <c r="L13" s="52">
        <v>0</v>
      </c>
      <c r="M13" s="61">
        <v>0</v>
      </c>
      <c r="N13" s="50">
        <v>0</v>
      </c>
      <c r="O13" s="50">
        <v>0</v>
      </c>
      <c r="P13" s="51">
        <v>0</v>
      </c>
      <c r="Q13" s="53">
        <v>22.8</v>
      </c>
      <c r="R13" s="54">
        <v>0</v>
      </c>
      <c r="S13" s="55">
        <v>16</v>
      </c>
      <c r="T13" s="56">
        <v>301.39</v>
      </c>
      <c r="U13" s="49">
        <v>2100</v>
      </c>
      <c r="V13" s="51">
        <v>182</v>
      </c>
      <c r="W13" s="55">
        <v>2</v>
      </c>
      <c r="X13" s="50">
        <v>2</v>
      </c>
      <c r="Y13" s="50">
        <v>1</v>
      </c>
      <c r="Z13" s="50">
        <v>1</v>
      </c>
      <c r="AA13" s="57">
        <v>2</v>
      </c>
      <c r="AB13" s="57">
        <v>1</v>
      </c>
      <c r="AC13" s="57">
        <f>SUM(W13:AB13)</f>
        <v>9</v>
      </c>
      <c r="AD13" s="58">
        <v>9</v>
      </c>
      <c r="AE13" s="59">
        <v>8</v>
      </c>
      <c r="AF13" s="59">
        <v>4</v>
      </c>
      <c r="AG13" s="59">
        <v>2</v>
      </c>
      <c r="AH13" s="60">
        <v>8</v>
      </c>
      <c r="AI13" s="60">
        <v>4.5</v>
      </c>
      <c r="AJ13" s="54">
        <f>SUM(AD13:AI13)</f>
        <v>35.5</v>
      </c>
    </row>
    <row r="14" spans="1:36">
      <c r="A14" s="29"/>
      <c r="B14" s="76">
        <v>46337</v>
      </c>
      <c r="C14" s="49">
        <v>2</v>
      </c>
      <c r="D14" s="50">
        <v>1</v>
      </c>
      <c r="E14" s="50">
        <v>1</v>
      </c>
      <c r="F14" s="50">
        <v>0</v>
      </c>
      <c r="G14" s="51">
        <v>0</v>
      </c>
      <c r="H14" s="52">
        <v>3</v>
      </c>
      <c r="I14" s="50">
        <v>3</v>
      </c>
      <c r="J14" s="50">
        <v>0</v>
      </c>
      <c r="K14" s="50">
        <v>3</v>
      </c>
      <c r="L14" s="52">
        <v>0</v>
      </c>
      <c r="M14" s="61">
        <v>0</v>
      </c>
      <c r="N14" s="50">
        <v>1</v>
      </c>
      <c r="O14" s="50">
        <v>0</v>
      </c>
      <c r="P14" s="51">
        <v>1</v>
      </c>
      <c r="Q14" s="53">
        <v>41.1</v>
      </c>
      <c r="R14" s="54">
        <v>10.3</v>
      </c>
      <c r="S14" s="55">
        <v>19</v>
      </c>
      <c r="T14" s="56">
        <v>328.02</v>
      </c>
      <c r="U14" s="49">
        <v>582</v>
      </c>
      <c r="V14" s="51">
        <v>73</v>
      </c>
      <c r="W14" s="55">
        <v>4</v>
      </c>
      <c r="X14" s="50">
        <v>0</v>
      </c>
      <c r="Y14" s="50">
        <v>1</v>
      </c>
      <c r="Z14" s="50">
        <v>1</v>
      </c>
      <c r="AA14" s="57">
        <v>3</v>
      </c>
      <c r="AB14" s="57">
        <v>4</v>
      </c>
      <c r="AC14" s="57">
        <f>SUM(W14:AB14)</f>
        <v>13</v>
      </c>
      <c r="AD14" s="58">
        <v>12.5</v>
      </c>
      <c r="AE14" s="59">
        <v>0</v>
      </c>
      <c r="AF14" s="59">
        <v>4.5</v>
      </c>
      <c r="AG14" s="59">
        <v>5</v>
      </c>
      <c r="AH14" s="60">
        <v>14</v>
      </c>
      <c r="AI14" s="60">
        <v>15</v>
      </c>
      <c r="AJ14" s="54">
        <f>SUM(AD14:AI14)</f>
        <v>51</v>
      </c>
    </row>
    <row r="15" spans="1:36">
      <c r="A15" s="29"/>
      <c r="B15" s="76">
        <v>46338</v>
      </c>
      <c r="C15" s="49">
        <v>0</v>
      </c>
      <c r="D15" s="50">
        <v>0</v>
      </c>
      <c r="E15" s="50">
        <v>0</v>
      </c>
      <c r="F15" s="50">
        <v>0</v>
      </c>
      <c r="G15" s="51">
        <v>0</v>
      </c>
      <c r="H15" s="55">
        <v>1</v>
      </c>
      <c r="I15" s="55">
        <v>1</v>
      </c>
      <c r="J15" s="50">
        <v>1</v>
      </c>
      <c r="K15" s="50">
        <v>0</v>
      </c>
      <c r="L15" s="57">
        <v>0</v>
      </c>
      <c r="M15" s="49">
        <v>1</v>
      </c>
      <c r="N15" s="50">
        <v>0</v>
      </c>
      <c r="O15" s="50">
        <v>1</v>
      </c>
      <c r="P15" s="51">
        <v>0</v>
      </c>
      <c r="Q15" s="53">
        <v>22.1</v>
      </c>
      <c r="R15" s="54">
        <v>0</v>
      </c>
      <c r="S15" s="55">
        <v>9</v>
      </c>
      <c r="T15" s="56">
        <v>223.27</v>
      </c>
      <c r="U15" s="49">
        <v>412</v>
      </c>
      <c r="V15" s="51">
        <v>48</v>
      </c>
      <c r="W15" s="55">
        <v>1</v>
      </c>
      <c r="X15" s="50">
        <v>0</v>
      </c>
      <c r="Y15" s="50">
        <v>2</v>
      </c>
      <c r="Z15" s="50">
        <v>0</v>
      </c>
      <c r="AA15" s="57">
        <v>4</v>
      </c>
      <c r="AB15" s="57">
        <v>3</v>
      </c>
      <c r="AC15" s="57">
        <f>SUM(W15:AB15)</f>
        <v>10</v>
      </c>
      <c r="AD15" s="58">
        <v>4.5</v>
      </c>
      <c r="AE15" s="59">
        <v>0</v>
      </c>
      <c r="AF15" s="59">
        <v>5</v>
      </c>
      <c r="AG15" s="59">
        <v>0</v>
      </c>
      <c r="AH15" s="60">
        <v>17</v>
      </c>
      <c r="AI15" s="60">
        <v>14</v>
      </c>
      <c r="AJ15" s="54">
        <f>SUM(AD15:AI15)</f>
        <v>40.5</v>
      </c>
    </row>
    <row r="16" spans="1:36">
      <c r="A16" s="29"/>
      <c r="B16" s="76">
        <v>46339</v>
      </c>
      <c r="C16" s="49">
        <v>2</v>
      </c>
      <c r="D16" s="50">
        <v>2</v>
      </c>
      <c r="E16" s="50">
        <v>0</v>
      </c>
      <c r="F16" s="50">
        <v>2</v>
      </c>
      <c r="G16" s="51">
        <v>0</v>
      </c>
      <c r="H16" s="55">
        <v>2</v>
      </c>
      <c r="I16" s="55">
        <v>2</v>
      </c>
      <c r="J16" s="50">
        <v>1</v>
      </c>
      <c r="K16" s="50">
        <v>1</v>
      </c>
      <c r="L16" s="57">
        <v>0</v>
      </c>
      <c r="M16" s="49">
        <v>2</v>
      </c>
      <c r="N16" s="50">
        <v>0</v>
      </c>
      <c r="O16" s="50">
        <v>0</v>
      </c>
      <c r="P16" s="51">
        <v>0</v>
      </c>
      <c r="Q16" s="77">
        <v>53.1</v>
      </c>
      <c r="R16" s="54">
        <v>15.3</v>
      </c>
      <c r="S16" s="78">
        <v>6</v>
      </c>
      <c r="T16" s="79">
        <v>131.94</v>
      </c>
      <c r="U16" s="80">
        <v>870</v>
      </c>
      <c r="V16" s="81">
        <v>133</v>
      </c>
      <c r="W16" s="55">
        <v>2</v>
      </c>
      <c r="X16" s="50">
        <v>0</v>
      </c>
      <c r="Y16" s="50">
        <v>0</v>
      </c>
      <c r="Z16" s="50">
        <v>0</v>
      </c>
      <c r="AA16" s="57">
        <v>4</v>
      </c>
      <c r="AB16" s="57">
        <v>3</v>
      </c>
      <c r="AC16" s="57">
        <f>SUM(W16:AB16)</f>
        <v>9</v>
      </c>
      <c r="AD16" s="58">
        <v>7.5</v>
      </c>
      <c r="AE16" s="59">
        <v>0</v>
      </c>
      <c r="AF16" s="59">
        <v>0</v>
      </c>
      <c r="AG16" s="59">
        <v>0</v>
      </c>
      <c r="AH16" s="60">
        <v>13.5</v>
      </c>
      <c r="AI16" s="60">
        <v>8.5</v>
      </c>
      <c r="AJ16" s="54">
        <f>SUM(AD16:AI16)</f>
        <v>29.5</v>
      </c>
    </row>
    <row r="17" spans="1:36">
      <c r="A17" s="63" t="s">
        <v>126</v>
      </c>
      <c r="B17" s="64"/>
      <c r="C17" s="65">
        <f>SUM(C12:C16)</f>
        <v>6</v>
      </c>
      <c r="D17" s="66">
        <f>SUM(D12:D16)</f>
        <v>4</v>
      </c>
      <c r="E17" s="66">
        <f>SUM(E12:E16)</f>
        <v>2</v>
      </c>
      <c r="F17" s="66">
        <f>SUM(F12:F16)</f>
        <v>2</v>
      </c>
      <c r="G17" s="67">
        <f>SUM(G12:G16)</f>
        <v>0</v>
      </c>
      <c r="H17" s="72">
        <f t="shared" ref="H17:V17" si="2">SUM(H12:H16)</f>
        <v>7</v>
      </c>
      <c r="I17" s="66">
        <f t="shared" si="2"/>
        <v>6</v>
      </c>
      <c r="J17" s="66">
        <f t="shared" si="2"/>
        <v>2</v>
      </c>
      <c r="K17" s="66">
        <f t="shared" si="2"/>
        <v>4</v>
      </c>
      <c r="L17" s="74">
        <f t="shared" si="2"/>
        <v>0</v>
      </c>
      <c r="M17" s="65">
        <f t="shared" si="2"/>
        <v>3</v>
      </c>
      <c r="N17" s="66">
        <f t="shared" si="2"/>
        <v>1</v>
      </c>
      <c r="O17" s="66">
        <f t="shared" si="2"/>
        <v>1</v>
      </c>
      <c r="P17" s="67">
        <f t="shared" si="2"/>
        <v>1</v>
      </c>
      <c r="Q17" s="70">
        <f t="shared" si="2"/>
        <v>201</v>
      </c>
      <c r="R17" s="71">
        <f t="shared" si="2"/>
        <v>25.6</v>
      </c>
      <c r="S17" s="72">
        <f t="shared" si="2"/>
        <v>56</v>
      </c>
      <c r="T17" s="73">
        <f t="shared" si="2"/>
        <v>1092.93</v>
      </c>
      <c r="U17" s="65">
        <f t="shared" si="2"/>
        <v>5270</v>
      </c>
      <c r="V17" s="67">
        <f t="shared" si="2"/>
        <v>627</v>
      </c>
      <c r="W17" s="68">
        <f t="shared" ref="W17:AJ17" si="3">SUM(W12:W16)</f>
        <v>11</v>
      </c>
      <c r="X17" s="74">
        <f t="shared" si="3"/>
        <v>3</v>
      </c>
      <c r="Y17" s="74">
        <f t="shared" si="3"/>
        <v>5</v>
      </c>
      <c r="Z17" s="74">
        <f t="shared" si="3"/>
        <v>2</v>
      </c>
      <c r="AA17" s="74">
        <f t="shared" si="3"/>
        <v>16</v>
      </c>
      <c r="AB17" s="74">
        <f t="shared" si="3"/>
        <v>14</v>
      </c>
      <c r="AC17" s="74">
        <f t="shared" si="3"/>
        <v>51</v>
      </c>
      <c r="AD17" s="70">
        <f t="shared" si="3"/>
        <v>38</v>
      </c>
      <c r="AE17" s="75">
        <f t="shared" si="3"/>
        <v>10.5</v>
      </c>
      <c r="AF17" s="75">
        <f t="shared" si="3"/>
        <v>18.5</v>
      </c>
      <c r="AG17" s="75">
        <f t="shared" si="3"/>
        <v>7</v>
      </c>
      <c r="AH17" s="75">
        <f t="shared" si="3"/>
        <v>66.5</v>
      </c>
      <c r="AI17" s="75">
        <f t="shared" si="3"/>
        <v>54</v>
      </c>
      <c r="AJ17" s="71">
        <f t="shared" si="3"/>
        <v>194.5</v>
      </c>
    </row>
    <row r="18" spans="1:36">
      <c r="A18" s="29" t="s">
        <v>186</v>
      </c>
      <c r="B18" s="76">
        <v>46342</v>
      </c>
      <c r="C18" s="49">
        <v>3</v>
      </c>
      <c r="D18" s="50">
        <v>2</v>
      </c>
      <c r="E18" s="50">
        <v>1</v>
      </c>
      <c r="F18" s="50">
        <v>1</v>
      </c>
      <c r="G18" s="51">
        <v>0</v>
      </c>
      <c r="H18" s="55">
        <v>2</v>
      </c>
      <c r="I18" s="55">
        <v>1</v>
      </c>
      <c r="J18" s="50">
        <v>0</v>
      </c>
      <c r="K18" s="50">
        <v>1</v>
      </c>
      <c r="L18" s="57">
        <v>0</v>
      </c>
      <c r="M18" s="49">
        <v>0</v>
      </c>
      <c r="N18" s="50">
        <v>0</v>
      </c>
      <c r="O18" s="50">
        <v>0</v>
      </c>
      <c r="P18" s="51">
        <v>0</v>
      </c>
      <c r="Q18" s="53">
        <v>17.5</v>
      </c>
      <c r="R18" s="54">
        <v>0</v>
      </c>
      <c r="S18" s="55">
        <v>7</v>
      </c>
      <c r="T18" s="56">
        <v>193.9</v>
      </c>
      <c r="U18" s="49">
        <v>1389</v>
      </c>
      <c r="V18" s="51">
        <v>182</v>
      </c>
      <c r="W18" s="55">
        <v>1</v>
      </c>
      <c r="X18" s="50">
        <v>1</v>
      </c>
      <c r="Y18" s="50">
        <v>1</v>
      </c>
      <c r="Z18" s="50">
        <v>0</v>
      </c>
      <c r="AA18" s="57">
        <v>2</v>
      </c>
      <c r="AB18" s="57">
        <v>4</v>
      </c>
      <c r="AC18" s="57">
        <f>SUM(W18:AB18)</f>
        <v>9</v>
      </c>
      <c r="AD18" s="58">
        <v>5</v>
      </c>
      <c r="AE18" s="59">
        <v>5.5</v>
      </c>
      <c r="AF18" s="59">
        <v>2.5</v>
      </c>
      <c r="AG18" s="59">
        <v>0</v>
      </c>
      <c r="AH18" s="60">
        <v>9.5</v>
      </c>
      <c r="AI18" s="60">
        <v>17.5</v>
      </c>
      <c r="AJ18" s="54">
        <f>SUM(AD18:AI18)</f>
        <v>40</v>
      </c>
    </row>
    <row r="19" spans="1:36">
      <c r="A19" s="29"/>
      <c r="B19" s="76">
        <v>46343</v>
      </c>
      <c r="C19" s="49">
        <v>0</v>
      </c>
      <c r="D19" s="50">
        <v>0</v>
      </c>
      <c r="E19" s="50">
        <v>0</v>
      </c>
      <c r="F19" s="50">
        <v>0</v>
      </c>
      <c r="G19" s="51">
        <v>0</v>
      </c>
      <c r="H19" s="55">
        <v>0</v>
      </c>
      <c r="I19" s="55">
        <v>0</v>
      </c>
      <c r="J19" s="50">
        <v>0</v>
      </c>
      <c r="K19" s="50">
        <v>0</v>
      </c>
      <c r="L19" s="57">
        <v>0</v>
      </c>
      <c r="M19" s="49">
        <v>2</v>
      </c>
      <c r="N19" s="50">
        <v>0</v>
      </c>
      <c r="O19" s="50">
        <v>0</v>
      </c>
      <c r="P19" s="51">
        <v>1</v>
      </c>
      <c r="Q19" s="53">
        <v>40.8</v>
      </c>
      <c r="R19" s="54">
        <v>5</v>
      </c>
      <c r="S19" s="55">
        <v>7</v>
      </c>
      <c r="T19" s="56">
        <v>156.59</v>
      </c>
      <c r="U19" s="49">
        <v>1777</v>
      </c>
      <c r="V19" s="51">
        <v>122</v>
      </c>
      <c r="W19" s="55">
        <v>1</v>
      </c>
      <c r="X19" s="50">
        <v>2</v>
      </c>
      <c r="Y19" s="50">
        <v>2</v>
      </c>
      <c r="Z19" s="50">
        <v>1</v>
      </c>
      <c r="AA19" s="57">
        <v>3</v>
      </c>
      <c r="AB19" s="57">
        <v>3</v>
      </c>
      <c r="AC19" s="57">
        <f>SUM(W19:AB19)</f>
        <v>12</v>
      </c>
      <c r="AD19" s="58">
        <v>4.5</v>
      </c>
      <c r="AE19" s="59">
        <v>5</v>
      </c>
      <c r="AF19" s="59">
        <v>5.5</v>
      </c>
      <c r="AG19" s="59">
        <v>5</v>
      </c>
      <c r="AH19" s="60">
        <v>10</v>
      </c>
      <c r="AI19" s="60">
        <v>15</v>
      </c>
      <c r="AJ19" s="54">
        <f>SUM(AD19:AI19)</f>
        <v>45</v>
      </c>
    </row>
    <row r="20" spans="1:36">
      <c r="A20" s="29"/>
      <c r="B20" s="76">
        <v>46344</v>
      </c>
      <c r="C20" s="49">
        <v>0</v>
      </c>
      <c r="D20" s="50">
        <v>0</v>
      </c>
      <c r="E20" s="50">
        <v>0</v>
      </c>
      <c r="F20" s="50">
        <v>0</v>
      </c>
      <c r="G20" s="51">
        <v>0</v>
      </c>
      <c r="H20" s="55">
        <v>2</v>
      </c>
      <c r="I20" s="55">
        <v>1</v>
      </c>
      <c r="J20" s="50">
        <v>0</v>
      </c>
      <c r="K20" s="50">
        <v>1</v>
      </c>
      <c r="L20" s="57">
        <v>0</v>
      </c>
      <c r="M20" s="49">
        <v>0</v>
      </c>
      <c r="N20" s="50">
        <v>0</v>
      </c>
      <c r="O20" s="50">
        <v>0</v>
      </c>
      <c r="P20" s="51">
        <v>0</v>
      </c>
      <c r="Q20" s="53">
        <v>37.3</v>
      </c>
      <c r="R20" s="54">
        <v>17.3</v>
      </c>
      <c r="S20" s="55">
        <v>11</v>
      </c>
      <c r="T20" s="56">
        <v>206.2</v>
      </c>
      <c r="U20" s="82">
        <v>2054</v>
      </c>
      <c r="V20" s="51">
        <v>149</v>
      </c>
      <c r="W20" s="55">
        <v>4</v>
      </c>
      <c r="X20" s="50">
        <v>0</v>
      </c>
      <c r="Y20" s="50">
        <v>2</v>
      </c>
      <c r="Z20" s="50">
        <v>0</v>
      </c>
      <c r="AA20" s="57">
        <v>5</v>
      </c>
      <c r="AB20" s="57">
        <v>1</v>
      </c>
      <c r="AC20" s="57">
        <f>SUM(W20:AB20)</f>
        <v>12</v>
      </c>
      <c r="AD20" s="58">
        <v>17</v>
      </c>
      <c r="AE20" s="59">
        <v>0</v>
      </c>
      <c r="AF20" s="59">
        <v>7</v>
      </c>
      <c r="AG20" s="59">
        <v>0</v>
      </c>
      <c r="AH20" s="60">
        <v>14.5</v>
      </c>
      <c r="AI20" s="60">
        <v>3.5</v>
      </c>
      <c r="AJ20" s="54">
        <f>SUM(AD20:AI20)</f>
        <v>42</v>
      </c>
    </row>
    <row r="21" spans="1:36">
      <c r="A21" s="29"/>
      <c r="B21" s="76">
        <v>46345</v>
      </c>
      <c r="C21" s="49">
        <v>0</v>
      </c>
      <c r="D21" s="50">
        <v>0</v>
      </c>
      <c r="E21" s="50">
        <v>0</v>
      </c>
      <c r="F21" s="50">
        <v>0</v>
      </c>
      <c r="G21" s="51">
        <v>0</v>
      </c>
      <c r="H21" s="55">
        <v>1</v>
      </c>
      <c r="I21" s="55">
        <v>1</v>
      </c>
      <c r="J21" s="50">
        <v>1</v>
      </c>
      <c r="K21" s="50">
        <v>0</v>
      </c>
      <c r="L21" s="57">
        <v>0</v>
      </c>
      <c r="M21" s="49">
        <v>0</v>
      </c>
      <c r="N21" s="50">
        <v>0</v>
      </c>
      <c r="O21" s="50">
        <v>0</v>
      </c>
      <c r="P21" s="51">
        <v>0</v>
      </c>
      <c r="Q21" s="53">
        <v>47.4</v>
      </c>
      <c r="R21" s="54">
        <v>0</v>
      </c>
      <c r="S21" s="55">
        <v>8</v>
      </c>
      <c r="T21" s="56">
        <v>145.13</v>
      </c>
      <c r="U21" s="49">
        <v>1867</v>
      </c>
      <c r="V21" s="51">
        <v>93</v>
      </c>
      <c r="W21" s="55">
        <v>2</v>
      </c>
      <c r="X21" s="50">
        <v>1</v>
      </c>
      <c r="Y21" s="50">
        <v>1</v>
      </c>
      <c r="Z21" s="50">
        <v>1</v>
      </c>
      <c r="AA21" s="57">
        <v>3</v>
      </c>
      <c r="AB21" s="57">
        <v>1</v>
      </c>
      <c r="AC21" s="57">
        <f>SUM(W21:AB21)</f>
        <v>9</v>
      </c>
      <c r="AD21" s="58">
        <v>8.5</v>
      </c>
      <c r="AE21" s="59">
        <v>3.5</v>
      </c>
      <c r="AF21" s="59">
        <v>2.5</v>
      </c>
      <c r="AG21" s="59">
        <v>2</v>
      </c>
      <c r="AH21" s="60">
        <v>8.5</v>
      </c>
      <c r="AI21" s="60">
        <v>3</v>
      </c>
      <c r="AJ21" s="54">
        <f>SUM(AD21:AI21)</f>
        <v>28</v>
      </c>
    </row>
    <row r="22" spans="1:36">
      <c r="A22" s="29"/>
      <c r="B22" s="76">
        <v>46346</v>
      </c>
      <c r="C22" s="49">
        <v>1</v>
      </c>
      <c r="D22" s="50">
        <v>1</v>
      </c>
      <c r="E22" s="50">
        <v>0</v>
      </c>
      <c r="F22" s="50">
        <v>1</v>
      </c>
      <c r="G22" s="51">
        <v>0</v>
      </c>
      <c r="H22" s="55">
        <v>1</v>
      </c>
      <c r="I22" s="55">
        <v>1</v>
      </c>
      <c r="J22" s="50">
        <v>0</v>
      </c>
      <c r="K22" s="50">
        <v>1</v>
      </c>
      <c r="L22" s="57">
        <v>0</v>
      </c>
      <c r="M22" s="49">
        <v>0</v>
      </c>
      <c r="N22" s="50">
        <v>1</v>
      </c>
      <c r="O22" s="50">
        <v>1</v>
      </c>
      <c r="P22" s="51">
        <v>1</v>
      </c>
      <c r="Q22" s="77">
        <v>32.6</v>
      </c>
      <c r="R22" s="54">
        <v>19.7</v>
      </c>
      <c r="S22" s="78">
        <v>16</v>
      </c>
      <c r="T22" s="79">
        <v>383.48</v>
      </c>
      <c r="U22" s="80">
        <v>495</v>
      </c>
      <c r="V22" s="81">
        <v>77</v>
      </c>
      <c r="W22" s="55">
        <v>2</v>
      </c>
      <c r="X22" s="50">
        <v>0</v>
      </c>
      <c r="Y22" s="50">
        <v>2</v>
      </c>
      <c r="Z22" s="50">
        <v>2</v>
      </c>
      <c r="AA22" s="57">
        <v>1</v>
      </c>
      <c r="AB22" s="57">
        <v>3</v>
      </c>
      <c r="AC22" s="57">
        <f>SUM(W22:AB22)</f>
        <v>10</v>
      </c>
      <c r="AD22" s="58">
        <v>7</v>
      </c>
      <c r="AE22" s="59">
        <v>0</v>
      </c>
      <c r="AF22" s="59">
        <v>9</v>
      </c>
      <c r="AG22" s="59">
        <v>10.5</v>
      </c>
      <c r="AH22" s="60">
        <v>4</v>
      </c>
      <c r="AI22" s="60">
        <v>9</v>
      </c>
      <c r="AJ22" s="54">
        <f>SUM(AD22:AI22)</f>
        <v>39.5</v>
      </c>
    </row>
    <row r="23" spans="1:36">
      <c r="A23" s="63" t="s">
        <v>126</v>
      </c>
      <c r="B23" s="64"/>
      <c r="C23" s="65">
        <f>SUM(C18:C22)</f>
        <v>4</v>
      </c>
      <c r="D23" s="66">
        <f>SUM(D18:D22)</f>
        <v>3</v>
      </c>
      <c r="E23" s="66">
        <f>SUM(E18:E22)</f>
        <v>1</v>
      </c>
      <c r="F23" s="66">
        <f>SUM(F18:F22)</f>
        <v>2</v>
      </c>
      <c r="G23" s="67">
        <f>SUM(G18:G22)</f>
        <v>0</v>
      </c>
      <c r="H23" s="72">
        <f t="shared" ref="H23:V23" si="4">SUM(H18:H22)</f>
        <v>6</v>
      </c>
      <c r="I23" s="66">
        <f t="shared" si="4"/>
        <v>4</v>
      </c>
      <c r="J23" s="66">
        <f t="shared" si="4"/>
        <v>1</v>
      </c>
      <c r="K23" s="66">
        <f t="shared" si="4"/>
        <v>3</v>
      </c>
      <c r="L23" s="74">
        <f t="shared" si="4"/>
        <v>0</v>
      </c>
      <c r="M23" s="65">
        <f t="shared" si="4"/>
        <v>2</v>
      </c>
      <c r="N23" s="66">
        <f t="shared" si="4"/>
        <v>1</v>
      </c>
      <c r="O23" s="66">
        <f t="shared" si="4"/>
        <v>1</v>
      </c>
      <c r="P23" s="67">
        <f t="shared" si="4"/>
        <v>2</v>
      </c>
      <c r="Q23" s="70">
        <f t="shared" si="4"/>
        <v>175.6</v>
      </c>
      <c r="R23" s="71">
        <f t="shared" si="4"/>
        <v>42</v>
      </c>
      <c r="S23" s="72">
        <f t="shared" si="4"/>
        <v>49</v>
      </c>
      <c r="T23" s="73">
        <f t="shared" si="4"/>
        <v>1085.3</v>
      </c>
      <c r="U23" s="65">
        <f t="shared" si="4"/>
        <v>7582</v>
      </c>
      <c r="V23" s="67">
        <f t="shared" si="4"/>
        <v>623</v>
      </c>
      <c r="W23" s="68">
        <f t="shared" ref="W23:AJ23" si="5">SUM(W18:W22)</f>
        <v>10</v>
      </c>
      <c r="X23" s="74">
        <f t="shared" si="5"/>
        <v>4</v>
      </c>
      <c r="Y23" s="74">
        <f t="shared" si="5"/>
        <v>8</v>
      </c>
      <c r="Z23" s="74">
        <f t="shared" si="5"/>
        <v>4</v>
      </c>
      <c r="AA23" s="74">
        <f t="shared" si="5"/>
        <v>14</v>
      </c>
      <c r="AB23" s="74">
        <f t="shared" si="5"/>
        <v>12</v>
      </c>
      <c r="AC23" s="74">
        <f t="shared" si="5"/>
        <v>52</v>
      </c>
      <c r="AD23" s="70">
        <f t="shared" si="5"/>
        <v>42</v>
      </c>
      <c r="AE23" s="75">
        <f t="shared" si="5"/>
        <v>14</v>
      </c>
      <c r="AF23" s="75">
        <f t="shared" si="5"/>
        <v>26.5</v>
      </c>
      <c r="AG23" s="75">
        <f t="shared" si="5"/>
        <v>17.5</v>
      </c>
      <c r="AH23" s="75">
        <f t="shared" si="5"/>
        <v>46.5</v>
      </c>
      <c r="AI23" s="75">
        <f t="shared" si="5"/>
        <v>48</v>
      </c>
      <c r="AJ23" s="71">
        <f t="shared" si="5"/>
        <v>194.5</v>
      </c>
    </row>
    <row r="24" spans="1:36">
      <c r="A24" s="29" t="s">
        <v>187</v>
      </c>
      <c r="B24" s="76">
        <v>46349</v>
      </c>
      <c r="C24" s="49">
        <v>2</v>
      </c>
      <c r="D24" s="50">
        <v>1</v>
      </c>
      <c r="E24" s="50">
        <v>0</v>
      </c>
      <c r="F24" s="50">
        <v>1</v>
      </c>
      <c r="G24" s="51">
        <v>0</v>
      </c>
      <c r="H24" s="55">
        <v>0</v>
      </c>
      <c r="I24" s="55">
        <v>0</v>
      </c>
      <c r="J24" s="50">
        <v>0</v>
      </c>
      <c r="K24" s="50">
        <v>0</v>
      </c>
      <c r="L24" s="57">
        <v>0</v>
      </c>
      <c r="M24" s="49">
        <v>0</v>
      </c>
      <c r="N24" s="50">
        <v>1</v>
      </c>
      <c r="O24" s="50">
        <v>0</v>
      </c>
      <c r="P24" s="51">
        <v>1</v>
      </c>
      <c r="Q24" s="53">
        <v>0</v>
      </c>
      <c r="R24" s="54">
        <v>0</v>
      </c>
      <c r="S24" s="55">
        <v>13</v>
      </c>
      <c r="T24" s="56">
        <v>376.57</v>
      </c>
      <c r="U24" s="49">
        <v>1792</v>
      </c>
      <c r="V24" s="51">
        <v>243</v>
      </c>
      <c r="W24" s="55">
        <v>4</v>
      </c>
      <c r="X24" s="50">
        <v>0</v>
      </c>
      <c r="Y24" s="50">
        <v>1</v>
      </c>
      <c r="Z24" s="50">
        <v>0</v>
      </c>
      <c r="AA24" s="57">
        <v>3</v>
      </c>
      <c r="AB24" s="57">
        <v>4</v>
      </c>
      <c r="AC24" s="57">
        <f>SUM(W24:AB24)</f>
        <v>12</v>
      </c>
      <c r="AD24" s="58">
        <v>15</v>
      </c>
      <c r="AE24" s="59">
        <v>0</v>
      </c>
      <c r="AF24" s="59">
        <v>5</v>
      </c>
      <c r="AG24" s="59">
        <v>0</v>
      </c>
      <c r="AH24" s="60">
        <v>12</v>
      </c>
      <c r="AI24" s="60">
        <v>8.5</v>
      </c>
      <c r="AJ24" s="54">
        <f>SUM(AD24:AI24)</f>
        <v>40.5</v>
      </c>
    </row>
    <row r="25" spans="1:36">
      <c r="A25" s="29"/>
      <c r="B25" s="76">
        <v>46350</v>
      </c>
      <c r="C25" s="49">
        <v>2</v>
      </c>
      <c r="D25" s="50">
        <v>2</v>
      </c>
      <c r="E25" s="50">
        <v>0</v>
      </c>
      <c r="F25" s="50">
        <v>2</v>
      </c>
      <c r="G25" s="51">
        <v>0</v>
      </c>
      <c r="H25" s="55">
        <v>0</v>
      </c>
      <c r="I25" s="55">
        <v>0</v>
      </c>
      <c r="J25" s="50">
        <v>0</v>
      </c>
      <c r="K25" s="50">
        <v>0</v>
      </c>
      <c r="L25" s="57">
        <v>0</v>
      </c>
      <c r="M25" s="49">
        <v>1</v>
      </c>
      <c r="N25" s="50">
        <v>0</v>
      </c>
      <c r="O25" s="50">
        <v>0</v>
      </c>
      <c r="P25" s="51">
        <v>0</v>
      </c>
      <c r="Q25" s="53">
        <v>9.9</v>
      </c>
      <c r="R25" s="54">
        <v>17.7</v>
      </c>
      <c r="S25" s="55">
        <v>13</v>
      </c>
      <c r="T25" s="56">
        <v>224.83</v>
      </c>
      <c r="U25" s="49">
        <v>1517</v>
      </c>
      <c r="V25" s="51">
        <v>206</v>
      </c>
      <c r="W25" s="55">
        <v>4</v>
      </c>
      <c r="X25" s="50">
        <v>1</v>
      </c>
      <c r="Y25" s="50">
        <v>0</v>
      </c>
      <c r="Z25" s="50">
        <v>2</v>
      </c>
      <c r="AA25" s="57">
        <v>4</v>
      </c>
      <c r="AB25" s="57">
        <v>2</v>
      </c>
      <c r="AC25" s="57">
        <f>SUM(W25:AB25)</f>
        <v>13</v>
      </c>
      <c r="AD25" s="58">
        <v>17</v>
      </c>
      <c r="AE25" s="59">
        <v>4.5</v>
      </c>
      <c r="AF25" s="59">
        <v>0</v>
      </c>
      <c r="AG25" s="59">
        <v>5.5</v>
      </c>
      <c r="AH25" s="60">
        <v>14</v>
      </c>
      <c r="AI25" s="60">
        <v>5.5</v>
      </c>
      <c r="AJ25" s="54">
        <f>SUM(AD25:AI25)</f>
        <v>46.5</v>
      </c>
    </row>
    <row r="26" spans="1:36">
      <c r="A26" s="29"/>
      <c r="B26" s="76">
        <v>46351</v>
      </c>
      <c r="C26" s="49">
        <v>4</v>
      </c>
      <c r="D26" s="50">
        <v>4</v>
      </c>
      <c r="E26" s="50">
        <v>1</v>
      </c>
      <c r="F26" s="50">
        <v>3</v>
      </c>
      <c r="G26" s="51">
        <v>0</v>
      </c>
      <c r="H26" s="55">
        <v>2</v>
      </c>
      <c r="I26" s="55">
        <v>1</v>
      </c>
      <c r="J26" s="50">
        <v>1</v>
      </c>
      <c r="K26" s="50">
        <v>0</v>
      </c>
      <c r="L26" s="57">
        <v>0</v>
      </c>
      <c r="M26" s="49">
        <v>1</v>
      </c>
      <c r="N26" s="50">
        <v>0</v>
      </c>
      <c r="O26" s="50">
        <v>1</v>
      </c>
      <c r="P26" s="51">
        <v>1</v>
      </c>
      <c r="Q26" s="53">
        <v>0</v>
      </c>
      <c r="R26" s="54">
        <v>0</v>
      </c>
      <c r="S26" s="55">
        <v>18</v>
      </c>
      <c r="T26" s="56">
        <v>281.96</v>
      </c>
      <c r="U26" s="49">
        <v>404</v>
      </c>
      <c r="V26" s="51">
        <v>20</v>
      </c>
      <c r="W26" s="55">
        <v>1</v>
      </c>
      <c r="X26" s="50">
        <v>0</v>
      </c>
      <c r="Y26" s="50">
        <v>1</v>
      </c>
      <c r="Z26" s="50">
        <v>2</v>
      </c>
      <c r="AA26" s="57">
        <v>1</v>
      </c>
      <c r="AB26" s="57">
        <v>4</v>
      </c>
      <c r="AC26" s="57">
        <f>SUM(W26:AB26)</f>
        <v>9</v>
      </c>
      <c r="AD26" s="58">
        <v>4</v>
      </c>
      <c r="AE26" s="59">
        <v>0</v>
      </c>
      <c r="AF26" s="59">
        <v>4.5</v>
      </c>
      <c r="AG26" s="59">
        <v>10.5</v>
      </c>
      <c r="AH26" s="60">
        <v>3</v>
      </c>
      <c r="AI26" s="60">
        <v>17</v>
      </c>
      <c r="AJ26" s="54">
        <f>SUM(AD26:AI26)</f>
        <v>39</v>
      </c>
    </row>
    <row r="27" spans="1:36">
      <c r="A27" s="29"/>
      <c r="B27" s="76">
        <v>46352</v>
      </c>
      <c r="C27" s="49">
        <v>0</v>
      </c>
      <c r="D27" s="50">
        <v>0</v>
      </c>
      <c r="E27" s="50">
        <v>0</v>
      </c>
      <c r="F27" s="50">
        <v>0</v>
      </c>
      <c r="G27" s="51">
        <v>0</v>
      </c>
      <c r="H27" s="55">
        <v>2</v>
      </c>
      <c r="I27" s="55">
        <v>2</v>
      </c>
      <c r="J27" s="50">
        <v>1</v>
      </c>
      <c r="K27" s="50">
        <v>1</v>
      </c>
      <c r="L27" s="57">
        <v>0</v>
      </c>
      <c r="M27" s="49">
        <v>2</v>
      </c>
      <c r="N27" s="50">
        <v>0</v>
      </c>
      <c r="O27" s="50">
        <v>0</v>
      </c>
      <c r="P27" s="51">
        <v>0</v>
      </c>
      <c r="Q27" s="53">
        <v>38.1</v>
      </c>
      <c r="R27" s="54">
        <v>21.9</v>
      </c>
      <c r="S27" s="55">
        <v>11</v>
      </c>
      <c r="T27" s="56">
        <v>274.07</v>
      </c>
      <c r="U27" s="49">
        <v>925</v>
      </c>
      <c r="V27" s="51">
        <v>54</v>
      </c>
      <c r="W27" s="55">
        <v>2</v>
      </c>
      <c r="X27" s="50">
        <v>1</v>
      </c>
      <c r="Y27" s="50">
        <v>2</v>
      </c>
      <c r="Z27" s="50">
        <v>0</v>
      </c>
      <c r="AA27" s="57">
        <v>1</v>
      </c>
      <c r="AB27" s="57">
        <v>3</v>
      </c>
      <c r="AC27" s="57">
        <f>SUM(W27:AB27)</f>
        <v>9</v>
      </c>
      <c r="AD27" s="58">
        <v>7</v>
      </c>
      <c r="AE27" s="59">
        <v>3</v>
      </c>
      <c r="AF27" s="59">
        <v>8.5</v>
      </c>
      <c r="AG27" s="59">
        <v>0</v>
      </c>
      <c r="AH27" s="60">
        <v>3.5</v>
      </c>
      <c r="AI27" s="60">
        <v>11</v>
      </c>
      <c r="AJ27" s="54">
        <f>SUM(AD27:AI27)</f>
        <v>33</v>
      </c>
    </row>
    <row r="28" spans="1:36">
      <c r="A28" s="29"/>
      <c r="B28" s="76">
        <v>46353</v>
      </c>
      <c r="C28" s="49">
        <v>3</v>
      </c>
      <c r="D28" s="50">
        <v>2</v>
      </c>
      <c r="E28" s="50">
        <v>1</v>
      </c>
      <c r="F28" s="50">
        <v>1</v>
      </c>
      <c r="G28" s="51">
        <v>0</v>
      </c>
      <c r="H28" s="55">
        <v>3</v>
      </c>
      <c r="I28" s="55">
        <v>3</v>
      </c>
      <c r="J28" s="50">
        <v>1</v>
      </c>
      <c r="K28" s="50">
        <v>2</v>
      </c>
      <c r="L28" s="57">
        <v>0</v>
      </c>
      <c r="M28" s="49">
        <v>2</v>
      </c>
      <c r="N28" s="50">
        <v>0</v>
      </c>
      <c r="O28" s="50">
        <v>0</v>
      </c>
      <c r="P28" s="51">
        <v>0</v>
      </c>
      <c r="Q28" s="77">
        <v>16.6</v>
      </c>
      <c r="R28" s="54">
        <v>9.6</v>
      </c>
      <c r="S28" s="78">
        <v>21</v>
      </c>
      <c r="T28" s="79">
        <v>353.66</v>
      </c>
      <c r="U28" s="80">
        <v>1645</v>
      </c>
      <c r="V28" s="81">
        <v>87</v>
      </c>
      <c r="W28" s="55">
        <v>4</v>
      </c>
      <c r="X28" s="50">
        <v>1</v>
      </c>
      <c r="Y28" s="50">
        <v>2</v>
      </c>
      <c r="Z28" s="50">
        <v>0</v>
      </c>
      <c r="AA28" s="57">
        <v>1</v>
      </c>
      <c r="AB28" s="57">
        <v>3</v>
      </c>
      <c r="AC28" s="57">
        <f>SUM(W28:AB28)</f>
        <v>11</v>
      </c>
      <c r="AD28" s="58">
        <v>13</v>
      </c>
      <c r="AE28" s="59">
        <v>4.5</v>
      </c>
      <c r="AF28" s="59">
        <v>11</v>
      </c>
      <c r="AG28" s="59">
        <v>0</v>
      </c>
      <c r="AH28" s="60">
        <v>3</v>
      </c>
      <c r="AI28" s="60">
        <v>10</v>
      </c>
      <c r="AJ28" s="54">
        <f>SUM(AD28:AI28)</f>
        <v>41.5</v>
      </c>
    </row>
    <row r="29" spans="1:36">
      <c r="A29" s="63" t="s">
        <v>126</v>
      </c>
      <c r="B29" s="64"/>
      <c r="C29" s="65">
        <f>SUM(C24:C28)</f>
        <v>11</v>
      </c>
      <c r="D29" s="66">
        <f>SUM(D24:D28)</f>
        <v>9</v>
      </c>
      <c r="E29" s="66">
        <f>SUM(E24:E28)</f>
        <v>2</v>
      </c>
      <c r="F29" s="66">
        <f>SUM(F24:F28)</f>
        <v>7</v>
      </c>
      <c r="G29" s="67">
        <f>SUM(G24:G28)</f>
        <v>0</v>
      </c>
      <c r="H29" s="72">
        <f t="shared" ref="H29:V29" si="6">SUM(H24:H28)</f>
        <v>7</v>
      </c>
      <c r="I29" s="66">
        <f t="shared" si="6"/>
        <v>6</v>
      </c>
      <c r="J29" s="66">
        <f t="shared" si="6"/>
        <v>3</v>
      </c>
      <c r="K29" s="66">
        <f t="shared" si="6"/>
        <v>3</v>
      </c>
      <c r="L29" s="74">
        <f t="shared" si="6"/>
        <v>0</v>
      </c>
      <c r="M29" s="65">
        <f t="shared" si="6"/>
        <v>6</v>
      </c>
      <c r="N29" s="66">
        <f t="shared" si="6"/>
        <v>1</v>
      </c>
      <c r="O29" s="66">
        <f t="shared" si="6"/>
        <v>1</v>
      </c>
      <c r="P29" s="67">
        <f t="shared" si="6"/>
        <v>2</v>
      </c>
      <c r="Q29" s="70">
        <f t="shared" si="6"/>
        <v>64.6</v>
      </c>
      <c r="R29" s="71">
        <f t="shared" si="6"/>
        <v>49.2</v>
      </c>
      <c r="S29" s="72">
        <f t="shared" si="6"/>
        <v>76</v>
      </c>
      <c r="T29" s="73">
        <f t="shared" si="6"/>
        <v>1511.09</v>
      </c>
      <c r="U29" s="65">
        <f t="shared" si="6"/>
        <v>6283</v>
      </c>
      <c r="V29" s="67">
        <f t="shared" si="6"/>
        <v>610</v>
      </c>
      <c r="W29" s="68">
        <f t="shared" ref="W29:AJ29" si="7">SUM(W24:W28)</f>
        <v>15</v>
      </c>
      <c r="X29" s="74">
        <f t="shared" si="7"/>
        <v>3</v>
      </c>
      <c r="Y29" s="74">
        <f t="shared" si="7"/>
        <v>6</v>
      </c>
      <c r="Z29" s="74">
        <f t="shared" si="7"/>
        <v>4</v>
      </c>
      <c r="AA29" s="74">
        <f t="shared" si="7"/>
        <v>10</v>
      </c>
      <c r="AB29" s="74">
        <f t="shared" si="7"/>
        <v>16</v>
      </c>
      <c r="AC29" s="74">
        <f t="shared" si="7"/>
        <v>54</v>
      </c>
      <c r="AD29" s="70">
        <f t="shared" si="7"/>
        <v>56</v>
      </c>
      <c r="AE29" s="75">
        <f t="shared" si="7"/>
        <v>12</v>
      </c>
      <c r="AF29" s="75">
        <f t="shared" si="7"/>
        <v>29</v>
      </c>
      <c r="AG29" s="75">
        <f t="shared" si="7"/>
        <v>16</v>
      </c>
      <c r="AH29" s="75">
        <f t="shared" si="7"/>
        <v>35.5</v>
      </c>
      <c r="AI29" s="75">
        <f t="shared" si="7"/>
        <v>52</v>
      </c>
      <c r="AJ29" s="71">
        <f t="shared" si="7"/>
        <v>200.5</v>
      </c>
    </row>
    <row r="30" spans="1:36">
      <c r="A30" s="29" t="s">
        <v>188</v>
      </c>
      <c r="B30" s="76">
        <v>46356</v>
      </c>
      <c r="C30" s="49">
        <v>1</v>
      </c>
      <c r="D30" s="50">
        <v>1</v>
      </c>
      <c r="E30" s="50">
        <v>0</v>
      </c>
      <c r="F30" s="50">
        <v>1</v>
      </c>
      <c r="G30" s="51">
        <v>0</v>
      </c>
      <c r="H30" s="55">
        <v>0</v>
      </c>
      <c r="I30" s="55">
        <v>0</v>
      </c>
      <c r="J30" s="50">
        <v>0</v>
      </c>
      <c r="K30" s="50">
        <v>0</v>
      </c>
      <c r="L30" s="57">
        <v>0</v>
      </c>
      <c r="M30" s="49">
        <v>1</v>
      </c>
      <c r="N30" s="50">
        <v>0</v>
      </c>
      <c r="O30" s="50">
        <v>0</v>
      </c>
      <c r="P30" s="51">
        <v>0</v>
      </c>
      <c r="Q30" s="53">
        <v>0</v>
      </c>
      <c r="R30" s="54">
        <v>0</v>
      </c>
      <c r="S30" s="55">
        <v>13</v>
      </c>
      <c r="T30" s="56">
        <v>219.3</v>
      </c>
      <c r="U30" s="49">
        <v>450</v>
      </c>
      <c r="V30" s="51">
        <v>46</v>
      </c>
      <c r="W30" s="55">
        <v>4</v>
      </c>
      <c r="X30" s="50">
        <v>1</v>
      </c>
      <c r="Y30" s="50">
        <v>0</v>
      </c>
      <c r="Z30" s="50">
        <v>0</v>
      </c>
      <c r="AA30" s="57">
        <v>5</v>
      </c>
      <c r="AB30" s="57">
        <v>1</v>
      </c>
      <c r="AC30" s="57">
        <f>SUM(W30:AB30)</f>
        <v>11</v>
      </c>
      <c r="AD30" s="58">
        <v>17.5</v>
      </c>
      <c r="AE30" s="59">
        <v>2.5</v>
      </c>
      <c r="AF30" s="59">
        <v>0</v>
      </c>
      <c r="AG30" s="59">
        <v>0</v>
      </c>
      <c r="AH30" s="60">
        <v>23</v>
      </c>
      <c r="AI30" s="60">
        <v>5</v>
      </c>
      <c r="AJ30" s="54">
        <f>SUM(AD30:AI30)</f>
        <v>48</v>
      </c>
    </row>
    <row r="31" spans="1:36">
      <c r="A31" s="29"/>
      <c r="B31" s="76"/>
      <c r="C31" s="49"/>
      <c r="D31" s="50"/>
      <c r="E31" s="50"/>
      <c r="F31" s="50"/>
      <c r="G31" s="51"/>
      <c r="H31" s="55"/>
      <c r="I31" s="55"/>
      <c r="J31" s="50"/>
      <c r="K31" s="50"/>
      <c r="L31" s="57"/>
      <c r="M31" s="49"/>
      <c r="N31" s="50"/>
      <c r="O31" s="50"/>
      <c r="P31" s="51"/>
      <c r="Q31" s="53"/>
      <c r="R31" s="54"/>
      <c r="S31" s="55"/>
      <c r="T31" s="56"/>
      <c r="U31" s="49"/>
      <c r="V31" s="51"/>
      <c r="W31" s="55"/>
      <c r="X31" s="50"/>
      <c r="Y31" s="50"/>
      <c r="Z31" s="50"/>
      <c r="AA31" s="57"/>
      <c r="AB31" s="57"/>
      <c r="AC31" s="57">
        <f>SUM(W31:AB31)</f>
        <v>0</v>
      </c>
      <c r="AD31" s="58"/>
      <c r="AE31" s="59"/>
      <c r="AF31" s="59"/>
      <c r="AG31" s="59"/>
      <c r="AH31" s="60"/>
      <c r="AI31" s="60"/>
      <c r="AJ31" s="54">
        <f>SUM(AD31:AI31)</f>
        <v>0</v>
      </c>
    </row>
    <row r="32" spans="1:36">
      <c r="A32" s="29"/>
      <c r="B32" s="61"/>
      <c r="C32" s="49"/>
      <c r="D32" s="50"/>
      <c r="E32" s="50"/>
      <c r="F32" s="50"/>
      <c r="G32" s="51"/>
      <c r="H32" s="55"/>
      <c r="I32" s="55"/>
      <c r="J32" s="50"/>
      <c r="K32" s="50"/>
      <c r="L32" s="57"/>
      <c r="M32" s="49"/>
      <c r="N32" s="50"/>
      <c r="O32" s="50"/>
      <c r="P32" s="51"/>
      <c r="Q32" s="53"/>
      <c r="R32" s="54"/>
      <c r="S32" s="55"/>
      <c r="T32" s="56"/>
      <c r="U32" s="49"/>
      <c r="V32" s="51"/>
      <c r="W32" s="55"/>
      <c r="X32" s="50"/>
      <c r="Y32" s="50"/>
      <c r="Z32" s="50"/>
      <c r="AA32" s="57"/>
      <c r="AB32" s="57"/>
      <c r="AC32" s="57">
        <f>SUM(W32:AB32)</f>
        <v>0</v>
      </c>
      <c r="AD32" s="58"/>
      <c r="AE32" s="59"/>
      <c r="AF32" s="59"/>
      <c r="AG32" s="59"/>
      <c r="AH32" s="60"/>
      <c r="AI32" s="60"/>
      <c r="AJ32" s="54">
        <f>SUM(AD32:AI32)</f>
        <v>0</v>
      </c>
    </row>
    <row r="33" spans="1:36">
      <c r="A33" s="29"/>
      <c r="B33" s="61"/>
      <c r="C33" s="49"/>
      <c r="D33" s="50"/>
      <c r="E33" s="50"/>
      <c r="F33" s="50"/>
      <c r="G33" s="51"/>
      <c r="H33" s="55"/>
      <c r="I33" s="55"/>
      <c r="J33" s="50"/>
      <c r="K33" s="50"/>
      <c r="L33" s="57"/>
      <c r="M33" s="49"/>
      <c r="N33" s="50"/>
      <c r="O33" s="50"/>
      <c r="P33" s="51"/>
      <c r="Q33" s="53"/>
      <c r="R33" s="54"/>
      <c r="S33" s="55"/>
      <c r="T33" s="56"/>
      <c r="U33" s="49"/>
      <c r="V33" s="51"/>
      <c r="W33" s="55"/>
      <c r="X33" s="50"/>
      <c r="Y33" s="50"/>
      <c r="Z33" s="50"/>
      <c r="AA33" s="57"/>
      <c r="AB33" s="57"/>
      <c r="AC33" s="57">
        <f>SUM(W33:AB33)</f>
        <v>0</v>
      </c>
      <c r="AD33" s="58"/>
      <c r="AE33" s="59"/>
      <c r="AF33" s="59"/>
      <c r="AG33" s="59"/>
      <c r="AH33" s="60"/>
      <c r="AI33" s="60"/>
      <c r="AJ33" s="54">
        <f>SUM(AD33:AI33)</f>
        <v>0</v>
      </c>
    </row>
    <row r="34" spans="1:36">
      <c r="A34" s="29"/>
      <c r="B34" s="61"/>
      <c r="C34" s="49"/>
      <c r="D34" s="50"/>
      <c r="E34" s="50"/>
      <c r="F34" s="50"/>
      <c r="G34" s="51"/>
      <c r="H34" s="55"/>
      <c r="I34" s="55"/>
      <c r="J34" s="50"/>
      <c r="K34" s="50"/>
      <c r="L34" s="57"/>
      <c r="M34" s="49"/>
      <c r="N34" s="50"/>
      <c r="O34" s="50"/>
      <c r="P34" s="51"/>
      <c r="Q34" s="77"/>
      <c r="R34" s="54"/>
      <c r="S34" s="78"/>
      <c r="T34" s="79"/>
      <c r="U34" s="80"/>
      <c r="V34" s="81"/>
      <c r="W34" s="55"/>
      <c r="X34" s="50"/>
      <c r="Y34" s="50"/>
      <c r="Z34" s="50"/>
      <c r="AA34" s="57"/>
      <c r="AB34" s="57"/>
      <c r="AC34" s="57">
        <f>SUM(W34:AB34)</f>
        <v>0</v>
      </c>
      <c r="AD34" s="58"/>
      <c r="AE34" s="59"/>
      <c r="AF34" s="59"/>
      <c r="AG34" s="59"/>
      <c r="AH34" s="60"/>
      <c r="AI34" s="60"/>
      <c r="AJ34" s="54">
        <f>SUM(AD34:AI34)</f>
        <v>0</v>
      </c>
    </row>
    <row r="35" ht="17.55" spans="1:36">
      <c r="A35" s="83" t="s">
        <v>126</v>
      </c>
      <c r="B35" s="84"/>
      <c r="C35" s="85">
        <f>SUM(C30:C30)</f>
        <v>1</v>
      </c>
      <c r="D35" s="86">
        <f>SUM(D30:D30)</f>
        <v>1</v>
      </c>
      <c r="E35" s="86">
        <f>SUM(E30:E30)</f>
        <v>0</v>
      </c>
      <c r="F35" s="86">
        <f>SUM(F30:F30)</f>
        <v>1</v>
      </c>
      <c r="G35" s="87">
        <f>SUM(G30:G30)</f>
        <v>0</v>
      </c>
      <c r="H35" s="88">
        <f t="shared" ref="H35:V35" si="8">SUM(H30:H30)</f>
        <v>0</v>
      </c>
      <c r="I35" s="86">
        <f t="shared" si="8"/>
        <v>0</v>
      </c>
      <c r="J35" s="86">
        <f t="shared" si="8"/>
        <v>0</v>
      </c>
      <c r="K35" s="86">
        <f t="shared" si="8"/>
        <v>0</v>
      </c>
      <c r="L35" s="89">
        <f t="shared" si="8"/>
        <v>0</v>
      </c>
      <c r="M35" s="90">
        <f t="shared" si="8"/>
        <v>1</v>
      </c>
      <c r="N35" s="91">
        <f t="shared" si="8"/>
        <v>0</v>
      </c>
      <c r="O35" s="91">
        <f t="shared" si="8"/>
        <v>0</v>
      </c>
      <c r="P35" s="92">
        <f t="shared" si="8"/>
        <v>0</v>
      </c>
      <c r="Q35" s="93">
        <f t="shared" si="8"/>
        <v>0</v>
      </c>
      <c r="R35" s="94">
        <f t="shared" si="8"/>
        <v>0</v>
      </c>
      <c r="S35" s="95">
        <f t="shared" si="8"/>
        <v>13</v>
      </c>
      <c r="T35" s="96">
        <f t="shared" si="8"/>
        <v>219.3</v>
      </c>
      <c r="U35" s="85">
        <f t="shared" si="8"/>
        <v>450</v>
      </c>
      <c r="V35" s="87">
        <f t="shared" si="8"/>
        <v>46</v>
      </c>
      <c r="W35" s="97">
        <f t="shared" ref="W35:AJ35" si="9">SUM(W30:W30)</f>
        <v>4</v>
      </c>
      <c r="X35" s="98">
        <f t="shared" si="9"/>
        <v>1</v>
      </c>
      <c r="Y35" s="98">
        <f t="shared" si="9"/>
        <v>0</v>
      </c>
      <c r="Z35" s="98">
        <f t="shared" si="9"/>
        <v>0</v>
      </c>
      <c r="AA35" s="98">
        <f t="shared" si="9"/>
        <v>5</v>
      </c>
      <c r="AB35" s="98">
        <f t="shared" si="9"/>
        <v>1</v>
      </c>
      <c r="AC35" s="98">
        <f t="shared" si="9"/>
        <v>11</v>
      </c>
      <c r="AD35" s="99">
        <f t="shared" si="9"/>
        <v>17.5</v>
      </c>
      <c r="AE35" s="100">
        <f t="shared" si="9"/>
        <v>2.5</v>
      </c>
      <c r="AF35" s="100">
        <f t="shared" si="9"/>
        <v>0</v>
      </c>
      <c r="AG35" s="100">
        <f t="shared" si="9"/>
        <v>0</v>
      </c>
      <c r="AH35" s="100">
        <f t="shared" si="9"/>
        <v>23</v>
      </c>
      <c r="AI35" s="100">
        <f t="shared" si="9"/>
        <v>5</v>
      </c>
      <c r="AJ35" s="101">
        <f t="shared" si="9"/>
        <v>48</v>
      </c>
    </row>
    <row r="36" s="4" customFormat="1" ht="37.2" customHeight="1" spans="1:36">
      <c r="A36" s="102" t="s">
        <v>211</v>
      </c>
      <c r="B36" s="103"/>
      <c r="C36" s="104">
        <f>C11+C17+C23+C29+C35</f>
        <v>35</v>
      </c>
      <c r="D36" s="105">
        <f>D11+D17+D23+D29+D35</f>
        <v>29</v>
      </c>
      <c r="E36" s="105">
        <f>E11+E17+E23+E29+E35</f>
        <v>9</v>
      </c>
      <c r="F36" s="105">
        <f>F11+F17+F23+F29+F35</f>
        <v>20</v>
      </c>
      <c r="G36" s="106">
        <f>G11+G17+G23+G29+G35</f>
        <v>0</v>
      </c>
      <c r="H36" s="107">
        <f t="shared" ref="H36:V36" si="10">H11+H17+H23+H29+H35</f>
        <v>27</v>
      </c>
      <c r="I36" s="105">
        <f t="shared" si="10"/>
        <v>22</v>
      </c>
      <c r="J36" s="105">
        <f t="shared" si="10"/>
        <v>7</v>
      </c>
      <c r="K36" s="105">
        <f t="shared" si="10"/>
        <v>15</v>
      </c>
      <c r="L36" s="108">
        <f t="shared" si="10"/>
        <v>0</v>
      </c>
      <c r="M36" s="109">
        <f t="shared" si="10"/>
        <v>14</v>
      </c>
      <c r="N36" s="110">
        <f t="shared" si="10"/>
        <v>4</v>
      </c>
      <c r="O36" s="110">
        <f t="shared" si="10"/>
        <v>5</v>
      </c>
      <c r="P36" s="111">
        <f t="shared" si="10"/>
        <v>5</v>
      </c>
      <c r="Q36" s="112">
        <f t="shared" si="10"/>
        <v>529.7</v>
      </c>
      <c r="R36" s="113">
        <f t="shared" si="10"/>
        <v>116.8</v>
      </c>
      <c r="S36" s="114">
        <f t="shared" si="10"/>
        <v>264</v>
      </c>
      <c r="T36" s="115">
        <f t="shared" si="10"/>
        <v>5321.49</v>
      </c>
      <c r="U36" s="105">
        <f t="shared" si="10"/>
        <v>26466</v>
      </c>
      <c r="V36" s="105">
        <f t="shared" si="10"/>
        <v>2545</v>
      </c>
      <c r="W36" s="116">
        <f t="shared" ref="W36:AJ36" si="11">W11+W17+W23+W29+W35</f>
        <v>54</v>
      </c>
      <c r="X36" s="116">
        <f t="shared" si="11"/>
        <v>16</v>
      </c>
      <c r="Y36" s="116">
        <f t="shared" si="11"/>
        <v>25</v>
      </c>
      <c r="Z36" s="116">
        <f t="shared" si="11"/>
        <v>16</v>
      </c>
      <c r="AA36" s="116">
        <f t="shared" si="11"/>
        <v>56</v>
      </c>
      <c r="AB36" s="116">
        <f t="shared" si="11"/>
        <v>58</v>
      </c>
      <c r="AC36" s="116">
        <f t="shared" si="11"/>
        <v>225</v>
      </c>
      <c r="AD36" s="117">
        <f t="shared" si="11"/>
        <v>198.5</v>
      </c>
      <c r="AE36" s="118">
        <f t="shared" si="11"/>
        <v>63</v>
      </c>
      <c r="AF36" s="118">
        <f t="shared" si="11"/>
        <v>99.5</v>
      </c>
      <c r="AG36" s="118">
        <f t="shared" si="11"/>
        <v>59</v>
      </c>
      <c r="AH36" s="118">
        <f t="shared" si="11"/>
        <v>202.5</v>
      </c>
      <c r="AI36" s="118">
        <f t="shared" si="11"/>
        <v>209.5</v>
      </c>
      <c r="AJ36" s="113">
        <f t="shared" si="11"/>
        <v>832</v>
      </c>
    </row>
    <row r="41" spans="1:36">
      <c r="T41" s="5"/>
      <c r="W41" s="2"/>
    </row>
    <row r="42" spans="1:36">
      <c r="T42" s="5"/>
      <c r="W42" s="2"/>
    </row>
    <row r="43" spans="1:36">
      <c r="T43" s="5"/>
      <c r="W43" s="2"/>
    </row>
    <row r="44" spans="1:36">
      <c r="T44" s="5"/>
      <c r="W44" s="2"/>
    </row>
    <row r="45" spans="1:36">
      <c r="T45" s="5"/>
      <c r="W45" s="2"/>
    </row>
    <row r="46" spans="1:36">
      <c r="T46" s="5"/>
      <c r="W46" s="2"/>
    </row>
    <row r="47" spans="1:36">
      <c r="T47" s="5"/>
      <c r="W47" s="2"/>
    </row>
    <row r="48" spans="1:36">
      <c r="T48" s="5"/>
      <c r="W48" s="2"/>
    </row>
    <row r="49" spans="20:23">
      <c r="T49" s="5"/>
      <c r="W49" s="2"/>
    </row>
    <row r="50" spans="20:23">
      <c r="T50" s="5"/>
      <c r="W50" s="2"/>
    </row>
    <row r="51" spans="20:23">
      <c r="T51" s="5"/>
      <c r="W51" s="2"/>
    </row>
    <row r="52" spans="20:23">
      <c r="T52" s="5"/>
      <c r="W52" s="2"/>
    </row>
    <row r="53" spans="20:23">
      <c r="T53" s="5"/>
      <c r="W53" s="2"/>
    </row>
    <row r="54" spans="20:23">
      <c r="T54" s="5"/>
      <c r="W54" s="2"/>
    </row>
    <row r="55" spans="20:23">
      <c r="T55" s="5"/>
      <c r="W55" s="2"/>
    </row>
    <row r="56" spans="20:23">
      <c r="T56" s="5"/>
      <c r="W56" s="2"/>
    </row>
    <row r="57" spans="20:23">
      <c r="T57" s="5"/>
      <c r="W57" s="2"/>
    </row>
    <row r="58" spans="20:23">
      <c r="T58" s="5"/>
      <c r="W58" s="2"/>
    </row>
    <row r="59" spans="20:23">
      <c r="T59" s="5"/>
      <c r="W59" s="2"/>
    </row>
    <row r="60" spans="20:23">
      <c r="T60" s="5"/>
      <c r="W60" s="2"/>
    </row>
    <row r="61" spans="20:23">
      <c r="T61" s="5"/>
      <c r="W61" s="2"/>
    </row>
    <row r="62" spans="20:23">
      <c r="T62" s="5"/>
      <c r="W62" s="2"/>
    </row>
    <row r="63" spans="20:23">
      <c r="T63" s="5"/>
      <c r="W63" s="2"/>
    </row>
    <row r="64" spans="20:23">
      <c r="T64" s="5"/>
      <c r="W64" s="2"/>
    </row>
    <row r="65" spans="20:23">
      <c r="T65" s="5"/>
      <c r="W65" s="2"/>
    </row>
    <row r="66" spans="20:23">
      <c r="T66" s="5"/>
      <c r="W66" s="2"/>
    </row>
    <row r="67" spans="20:23">
      <c r="T67" s="5"/>
      <c r="W67" s="2"/>
    </row>
    <row r="68" spans="20:23">
      <c r="T68" s="5"/>
      <c r="W68" s="2"/>
    </row>
    <row r="69" spans="20:23">
      <c r="T69" s="5"/>
      <c r="W69" s="2"/>
    </row>
    <row r="70" spans="20:23">
      <c r="T70" s="5"/>
      <c r="W70" s="2"/>
    </row>
    <row r="71" spans="20:23">
      <c r="T71" s="5"/>
      <c r="W71" s="2"/>
    </row>
    <row r="72" spans="20:23">
      <c r="T72" s="5"/>
      <c r="W72" s="2"/>
    </row>
    <row r="73" spans="20:23">
      <c r="T73" s="5"/>
      <c r="W73" s="2"/>
    </row>
    <row r="74" spans="20:23">
      <c r="T74" s="5"/>
      <c r="W74" s="2"/>
    </row>
  </sheetData>
  <mergeCells count="20">
    <mergeCell ref="C4:G4"/>
    <mergeCell ref="H4:L4"/>
    <mergeCell ref="M4:P4"/>
    <mergeCell ref="Q4:R4"/>
    <mergeCell ref="S4:T4"/>
    <mergeCell ref="U4:V4"/>
    <mergeCell ref="W4:AC4"/>
    <mergeCell ref="AD4:AJ4"/>
    <mergeCell ref="A11:B11"/>
    <mergeCell ref="A17:B17"/>
    <mergeCell ref="A23:B23"/>
    <mergeCell ref="A29:B29"/>
    <mergeCell ref="A35:B35"/>
    <mergeCell ref="A36:B36"/>
    <mergeCell ref="A6:A10"/>
    <mergeCell ref="A12:A16"/>
    <mergeCell ref="A18:A22"/>
    <mergeCell ref="A24:A28"/>
    <mergeCell ref="A30:A34"/>
    <mergeCell ref="E1:AA2"/>
  </mergeCell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74"/>
  <sheetViews>
    <sheetView workbookViewId="0">
      <selection activeCell="A1" sqref="A1"/>
    </sheetView>
  </sheetViews>
  <sheetFormatPr defaultColWidth="13.6923076923077" defaultRowHeight="16.8"/>
  <cols>
    <col min="1" max="1" width="3.68269230769231" style="2" customWidth="1"/>
    <col min="2" max="22" width="13.6923076923077" style="2" customWidth="1"/>
    <col min="23" max="23" width="13.6923076923077" style="5" customWidth="1"/>
    <col min="24" max="16384" width="13.6923076923077" style="2" customWidth="1"/>
  </cols>
  <sheetData>
    <row r="1" spans="1:36">
      <c r="E1" s="6" t="s">
        <v>104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36"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17.55"/>
    <row r="4" s="1" customFormat="1" ht="17.55" spans="1:36">
      <c r="C4" s="8" t="s">
        <v>105</v>
      </c>
      <c r="D4" s="9"/>
      <c r="E4" s="9"/>
      <c r="F4" s="9"/>
      <c r="G4" s="10"/>
      <c r="H4" s="9" t="s">
        <v>106</v>
      </c>
      <c r="I4" s="9"/>
      <c r="J4" s="9"/>
      <c r="K4" s="9"/>
      <c r="L4" s="9"/>
      <c r="M4" s="8" t="s">
        <v>107</v>
      </c>
      <c r="N4" s="9"/>
      <c r="O4" s="9"/>
      <c r="P4" s="11"/>
      <c r="Q4" s="12" t="s">
        <v>124</v>
      </c>
      <c r="R4" s="10"/>
      <c r="S4" s="9" t="s">
        <v>109</v>
      </c>
      <c r="T4" s="11"/>
      <c r="U4" s="13" t="s">
        <v>110</v>
      </c>
      <c r="V4" s="14"/>
      <c r="W4" s="12" t="s">
        <v>111</v>
      </c>
      <c r="X4" s="15"/>
      <c r="Y4" s="15"/>
      <c r="Z4" s="15"/>
      <c r="AA4" s="15"/>
      <c r="AB4" s="15"/>
      <c r="AC4" s="15"/>
      <c r="AD4" s="12" t="s">
        <v>112</v>
      </c>
      <c r="AE4" s="15"/>
      <c r="AF4" s="15"/>
      <c r="AG4" s="15"/>
      <c r="AH4" s="15"/>
      <c r="AI4" s="15"/>
      <c r="AJ4" s="10"/>
    </row>
    <row r="5" s="2" customFormat="1" ht="17.55" spans="1:36">
      <c r="A5" s="16" t="s">
        <v>212</v>
      </c>
      <c r="B5" s="17" t="s">
        <v>55</v>
      </c>
      <c r="C5" s="18" t="s">
        <v>47</v>
      </c>
      <c r="D5" s="19" t="s">
        <v>114</v>
      </c>
      <c r="E5" s="20" t="s">
        <v>40</v>
      </c>
      <c r="F5" s="19" t="s">
        <v>41</v>
      </c>
      <c r="G5" s="21" t="s">
        <v>42</v>
      </c>
      <c r="H5" s="22" t="s">
        <v>47</v>
      </c>
      <c r="I5" s="22" t="s">
        <v>114</v>
      </c>
      <c r="J5" s="23" t="s">
        <v>40</v>
      </c>
      <c r="K5" s="23" t="s">
        <v>41</v>
      </c>
      <c r="L5" s="24" t="s">
        <v>42</v>
      </c>
      <c r="M5" s="25" t="s">
        <v>47</v>
      </c>
      <c r="N5" s="23" t="s">
        <v>48</v>
      </c>
      <c r="O5" s="23" t="s">
        <v>49</v>
      </c>
      <c r="P5" s="26" t="s">
        <v>50</v>
      </c>
      <c r="Q5" s="25" t="s">
        <v>115</v>
      </c>
      <c r="R5" s="26" t="s">
        <v>116</v>
      </c>
      <c r="S5" s="22" t="s">
        <v>72</v>
      </c>
      <c r="T5" s="27" t="s">
        <v>73</v>
      </c>
      <c r="U5" s="19" t="s">
        <v>74</v>
      </c>
      <c r="V5" s="28" t="s">
        <v>75</v>
      </c>
      <c r="W5" s="25" t="s">
        <v>117</v>
      </c>
      <c r="X5" s="23" t="s">
        <v>118</v>
      </c>
      <c r="Y5" s="23" t="s">
        <v>119</v>
      </c>
      <c r="Z5" s="23" t="s">
        <v>110</v>
      </c>
      <c r="AA5" s="24" t="s">
        <v>120</v>
      </c>
      <c r="AB5" s="24" t="s">
        <v>121</v>
      </c>
      <c r="AC5" s="24" t="s">
        <v>39</v>
      </c>
      <c r="AD5" s="25" t="s">
        <v>117</v>
      </c>
      <c r="AE5" s="23" t="s">
        <v>118</v>
      </c>
      <c r="AF5" s="23" t="s">
        <v>122</v>
      </c>
      <c r="AG5" s="23" t="s">
        <v>110</v>
      </c>
      <c r="AH5" s="24" t="s">
        <v>120</v>
      </c>
      <c r="AI5" s="24" t="s">
        <v>121</v>
      </c>
      <c r="AJ5" s="26" t="s">
        <v>39</v>
      </c>
    </row>
    <row r="6" spans="1:36">
      <c r="A6" s="29" t="s">
        <v>184</v>
      </c>
      <c r="B6" s="30"/>
      <c r="C6" s="31"/>
      <c r="D6" s="32"/>
      <c r="E6" s="32"/>
      <c r="F6" s="32"/>
      <c r="G6" s="33"/>
      <c r="H6" s="34"/>
      <c r="I6" s="34"/>
      <c r="J6" s="32"/>
      <c r="K6" s="32"/>
      <c r="L6" s="35"/>
      <c r="M6" s="36"/>
      <c r="N6" s="37"/>
      <c r="O6" s="37"/>
      <c r="P6" s="38"/>
      <c r="Q6" s="39"/>
      <c r="R6" s="40"/>
      <c r="S6" s="41"/>
      <c r="T6" s="42"/>
      <c r="U6" s="31"/>
      <c r="V6" s="33"/>
      <c r="W6" s="41"/>
      <c r="X6" s="37"/>
      <c r="Y6" s="37"/>
      <c r="Z6" s="37"/>
      <c r="AA6" s="43"/>
      <c r="AB6" s="43"/>
      <c r="AC6" s="43">
        <f>SUM(W6:AB6)</f>
        <v>0</v>
      </c>
      <c r="AD6" s="44"/>
      <c r="AE6" s="45"/>
      <c r="AF6" s="45"/>
      <c r="AG6" s="45"/>
      <c r="AH6" s="46"/>
      <c r="AI6" s="46"/>
      <c r="AJ6" s="47">
        <f>SUM(AD6:AI6)</f>
        <v>0</v>
      </c>
    </row>
    <row r="7" spans="1:36">
      <c r="A7" s="29"/>
      <c r="B7" s="48">
        <v>46357</v>
      </c>
      <c r="C7" s="49">
        <v>2</v>
      </c>
      <c r="D7" s="50">
        <v>1</v>
      </c>
      <c r="E7" s="50">
        <v>1</v>
      </c>
      <c r="F7" s="50">
        <v>0</v>
      </c>
      <c r="G7" s="51">
        <v>0</v>
      </c>
      <c r="H7" s="52">
        <v>2</v>
      </c>
      <c r="I7" s="50">
        <v>2</v>
      </c>
      <c r="J7" s="50">
        <v>0</v>
      </c>
      <c r="K7" s="50">
        <v>2</v>
      </c>
      <c r="L7" s="52">
        <v>0</v>
      </c>
      <c r="M7" s="49">
        <v>2</v>
      </c>
      <c r="N7" s="50">
        <v>1</v>
      </c>
      <c r="O7" s="50">
        <v>0</v>
      </c>
      <c r="P7" s="51">
        <v>0</v>
      </c>
      <c r="Q7" s="53">
        <v>36.2</v>
      </c>
      <c r="R7" s="54">
        <v>15.9</v>
      </c>
      <c r="S7" s="55">
        <v>14</v>
      </c>
      <c r="T7" s="56">
        <v>282.41</v>
      </c>
      <c r="U7" s="49">
        <v>1561</v>
      </c>
      <c r="V7" s="51">
        <v>224</v>
      </c>
      <c r="W7" s="55">
        <v>3</v>
      </c>
      <c r="X7" s="50">
        <v>1</v>
      </c>
      <c r="Y7" s="50">
        <v>0</v>
      </c>
      <c r="Z7" s="50">
        <v>0</v>
      </c>
      <c r="AA7" s="57">
        <v>4</v>
      </c>
      <c r="AB7" s="57">
        <v>4</v>
      </c>
      <c r="AC7" s="57">
        <f>SUM(W7:AB7)</f>
        <v>12</v>
      </c>
      <c r="AD7" s="58">
        <v>6.5</v>
      </c>
      <c r="AE7" s="59">
        <v>2.5</v>
      </c>
      <c r="AF7" s="59">
        <v>0</v>
      </c>
      <c r="AG7" s="59">
        <v>0</v>
      </c>
      <c r="AH7" s="60">
        <v>13.5</v>
      </c>
      <c r="AI7" s="60">
        <v>12</v>
      </c>
      <c r="AJ7" s="54">
        <f>SUM(AD7:AI7)</f>
        <v>34.5</v>
      </c>
    </row>
    <row r="8" spans="1:36">
      <c r="A8" s="29"/>
      <c r="B8" s="48">
        <v>46358</v>
      </c>
      <c r="C8" s="49">
        <v>1</v>
      </c>
      <c r="D8" s="50">
        <v>1</v>
      </c>
      <c r="E8" s="50">
        <v>0</v>
      </c>
      <c r="F8" s="50">
        <v>1</v>
      </c>
      <c r="G8" s="51">
        <v>0</v>
      </c>
      <c r="H8" s="52">
        <v>2</v>
      </c>
      <c r="I8" s="50">
        <v>2</v>
      </c>
      <c r="J8" s="50">
        <v>0</v>
      </c>
      <c r="K8" s="50">
        <v>2</v>
      </c>
      <c r="L8" s="52">
        <v>0</v>
      </c>
      <c r="M8" s="61">
        <v>0</v>
      </c>
      <c r="N8" s="50">
        <v>1</v>
      </c>
      <c r="O8" s="50">
        <v>1</v>
      </c>
      <c r="P8" s="51">
        <v>0</v>
      </c>
      <c r="Q8" s="53">
        <v>0</v>
      </c>
      <c r="R8" s="54">
        <v>9.6</v>
      </c>
      <c r="S8" s="55">
        <v>12</v>
      </c>
      <c r="T8" s="56">
        <v>311.49</v>
      </c>
      <c r="U8" s="49">
        <v>799</v>
      </c>
      <c r="V8" s="51">
        <v>44</v>
      </c>
      <c r="W8" s="55">
        <v>3</v>
      </c>
      <c r="X8" s="50">
        <v>0</v>
      </c>
      <c r="Y8" s="50">
        <v>2</v>
      </c>
      <c r="Z8" s="50">
        <v>2</v>
      </c>
      <c r="AA8" s="57">
        <v>2</v>
      </c>
      <c r="AB8" s="57">
        <v>2</v>
      </c>
      <c r="AC8" s="57">
        <f>SUM(W8:AB8)</f>
        <v>11</v>
      </c>
      <c r="AD8" s="58">
        <v>7.5</v>
      </c>
      <c r="AE8" s="59">
        <v>0</v>
      </c>
      <c r="AF8" s="59">
        <v>7</v>
      </c>
      <c r="AG8" s="59">
        <v>7.5</v>
      </c>
      <c r="AH8" s="60">
        <v>10.5</v>
      </c>
      <c r="AI8" s="60">
        <v>7.5</v>
      </c>
      <c r="AJ8" s="54">
        <f>SUM(AD8:AI8)</f>
        <v>40</v>
      </c>
    </row>
    <row r="9" spans="1:36">
      <c r="A9" s="29"/>
      <c r="B9" s="48">
        <v>46359</v>
      </c>
      <c r="C9" s="49">
        <v>2</v>
      </c>
      <c r="D9" s="50">
        <v>1</v>
      </c>
      <c r="E9" s="50">
        <v>0</v>
      </c>
      <c r="F9" s="50">
        <v>1</v>
      </c>
      <c r="G9" s="51">
        <v>0</v>
      </c>
      <c r="H9" s="52">
        <v>3</v>
      </c>
      <c r="I9" s="50">
        <v>3</v>
      </c>
      <c r="J9" s="50">
        <v>0</v>
      </c>
      <c r="K9" s="50">
        <v>3</v>
      </c>
      <c r="L9" s="52">
        <v>0</v>
      </c>
      <c r="M9" s="61">
        <v>1</v>
      </c>
      <c r="N9" s="50">
        <v>1</v>
      </c>
      <c r="O9" s="50">
        <v>0</v>
      </c>
      <c r="P9" s="51">
        <v>1</v>
      </c>
      <c r="Q9" s="53">
        <v>9.6</v>
      </c>
      <c r="R9" s="54">
        <v>18.5</v>
      </c>
      <c r="S9" s="55">
        <v>17</v>
      </c>
      <c r="T9" s="56">
        <v>369.54</v>
      </c>
      <c r="U9" s="49">
        <v>1178</v>
      </c>
      <c r="V9" s="51">
        <v>78</v>
      </c>
      <c r="W9" s="55">
        <v>3</v>
      </c>
      <c r="X9" s="50">
        <v>1</v>
      </c>
      <c r="Y9" s="50">
        <v>1</v>
      </c>
      <c r="Z9" s="50">
        <v>1</v>
      </c>
      <c r="AA9" s="57">
        <v>5</v>
      </c>
      <c r="AB9" s="57">
        <v>2</v>
      </c>
      <c r="AC9" s="57">
        <f>SUM(W9:AB9)</f>
        <v>13</v>
      </c>
      <c r="AD9" s="58">
        <v>14</v>
      </c>
      <c r="AE9" s="59">
        <v>2.5</v>
      </c>
      <c r="AF9" s="59">
        <v>4.5</v>
      </c>
      <c r="AG9" s="59">
        <v>4</v>
      </c>
      <c r="AH9" s="60">
        <v>11.5</v>
      </c>
      <c r="AI9" s="60">
        <v>7.5</v>
      </c>
      <c r="AJ9" s="54">
        <f>SUM(AD9:AI9)</f>
        <v>44</v>
      </c>
    </row>
    <row r="10" spans="1:36">
      <c r="A10" s="62"/>
      <c r="B10" s="48">
        <v>46360</v>
      </c>
      <c r="C10" s="49">
        <v>1</v>
      </c>
      <c r="D10" s="50">
        <v>1</v>
      </c>
      <c r="E10" s="50">
        <v>0</v>
      </c>
      <c r="F10" s="50">
        <v>1</v>
      </c>
      <c r="G10" s="51">
        <v>0</v>
      </c>
      <c r="H10" s="52">
        <v>2</v>
      </c>
      <c r="I10" s="50">
        <v>2</v>
      </c>
      <c r="J10" s="50">
        <v>1</v>
      </c>
      <c r="K10" s="50">
        <v>1</v>
      </c>
      <c r="L10" s="52">
        <v>0</v>
      </c>
      <c r="M10" s="61">
        <v>1</v>
      </c>
      <c r="N10" s="50">
        <v>0</v>
      </c>
      <c r="O10" s="50">
        <v>1</v>
      </c>
      <c r="P10" s="51">
        <v>0</v>
      </c>
      <c r="Q10" s="53">
        <v>32.4</v>
      </c>
      <c r="R10" s="54">
        <v>0</v>
      </c>
      <c r="S10" s="55">
        <v>8</v>
      </c>
      <c r="T10" s="56">
        <v>109.64</v>
      </c>
      <c r="U10" s="49">
        <v>1277</v>
      </c>
      <c r="V10" s="51">
        <v>138</v>
      </c>
      <c r="W10" s="55">
        <v>4</v>
      </c>
      <c r="X10" s="50">
        <v>0</v>
      </c>
      <c r="Y10" s="50">
        <v>1</v>
      </c>
      <c r="Z10" s="50">
        <v>0</v>
      </c>
      <c r="AA10" s="57">
        <v>1</v>
      </c>
      <c r="AB10" s="57">
        <v>2</v>
      </c>
      <c r="AC10" s="57">
        <f>SUM(W10:AB10)</f>
        <v>8</v>
      </c>
      <c r="AD10" s="58">
        <v>17</v>
      </c>
      <c r="AE10" s="59">
        <v>0</v>
      </c>
      <c r="AF10" s="59">
        <v>4</v>
      </c>
      <c r="AG10" s="59">
        <v>0</v>
      </c>
      <c r="AH10" s="60">
        <v>5</v>
      </c>
      <c r="AI10" s="60">
        <v>10</v>
      </c>
      <c r="AJ10" s="54">
        <f>SUM(AD10:AI10)</f>
        <v>36</v>
      </c>
    </row>
    <row r="11" s="3" customFormat="1" spans="1:36">
      <c r="A11" s="63" t="s">
        <v>126</v>
      </c>
      <c r="B11" s="64"/>
      <c r="C11" s="65">
        <f>SUM(C7:C10)</f>
        <v>6</v>
      </c>
      <c r="D11" s="66">
        <f>SUM(D7:D10)</f>
        <v>4</v>
      </c>
      <c r="E11" s="66">
        <f>SUM(E7:E10)</f>
        <v>1</v>
      </c>
      <c r="F11" s="66">
        <f>SUM(F7:F10)</f>
        <v>3</v>
      </c>
      <c r="G11" s="67">
        <f>SUM(G7:G10)</f>
        <v>0</v>
      </c>
      <c r="H11" s="68">
        <f t="shared" ref="H11:V11" si="0">SUM(H7:H10)</f>
        <v>9</v>
      </c>
      <c r="I11" s="66">
        <f t="shared" si="0"/>
        <v>9</v>
      </c>
      <c r="J11" s="66">
        <f t="shared" si="0"/>
        <v>1</v>
      </c>
      <c r="K11" s="66">
        <f t="shared" si="0"/>
        <v>8</v>
      </c>
      <c r="L11" s="68">
        <f t="shared" si="0"/>
        <v>0</v>
      </c>
      <c r="M11" s="69">
        <f t="shared" si="0"/>
        <v>4</v>
      </c>
      <c r="N11" s="66">
        <f t="shared" si="0"/>
        <v>3</v>
      </c>
      <c r="O11" s="66">
        <f t="shared" si="0"/>
        <v>2</v>
      </c>
      <c r="P11" s="67">
        <f t="shared" si="0"/>
        <v>1</v>
      </c>
      <c r="Q11" s="70">
        <f t="shared" si="0"/>
        <v>78.2</v>
      </c>
      <c r="R11" s="71">
        <f t="shared" si="0"/>
        <v>44</v>
      </c>
      <c r="S11" s="72">
        <f t="shared" si="0"/>
        <v>51</v>
      </c>
      <c r="T11" s="73">
        <f t="shared" si="0"/>
        <v>1073.08</v>
      </c>
      <c r="U11" s="65">
        <f t="shared" si="0"/>
        <v>4815</v>
      </c>
      <c r="V11" s="67">
        <f t="shared" si="0"/>
        <v>484</v>
      </c>
      <c r="W11" s="68">
        <f t="shared" ref="W11:AJ11" si="1">SUM(W7:W10)</f>
        <v>13</v>
      </c>
      <c r="X11" s="74">
        <f t="shared" si="1"/>
        <v>2</v>
      </c>
      <c r="Y11" s="74">
        <f t="shared" si="1"/>
        <v>4</v>
      </c>
      <c r="Z11" s="74">
        <f t="shared" si="1"/>
        <v>3</v>
      </c>
      <c r="AA11" s="74">
        <f t="shared" si="1"/>
        <v>12</v>
      </c>
      <c r="AB11" s="74">
        <f t="shared" si="1"/>
        <v>10</v>
      </c>
      <c r="AC11" s="74">
        <f t="shared" si="1"/>
        <v>44</v>
      </c>
      <c r="AD11" s="70">
        <f t="shared" si="1"/>
        <v>45</v>
      </c>
      <c r="AE11" s="75">
        <f t="shared" si="1"/>
        <v>5</v>
      </c>
      <c r="AF11" s="75">
        <f t="shared" si="1"/>
        <v>15.5</v>
      </c>
      <c r="AG11" s="75">
        <f t="shared" si="1"/>
        <v>11.5</v>
      </c>
      <c r="AH11" s="75">
        <f t="shared" si="1"/>
        <v>40.5</v>
      </c>
      <c r="AI11" s="75">
        <f t="shared" si="1"/>
        <v>37</v>
      </c>
      <c r="AJ11" s="71">
        <f t="shared" si="1"/>
        <v>154.5</v>
      </c>
    </row>
    <row r="12" spans="1:36">
      <c r="A12" s="29" t="s">
        <v>185</v>
      </c>
      <c r="B12" s="76">
        <v>46363</v>
      </c>
      <c r="C12" s="49">
        <v>0</v>
      </c>
      <c r="D12" s="50">
        <v>0</v>
      </c>
      <c r="E12" s="50">
        <v>0</v>
      </c>
      <c r="F12" s="50">
        <v>0</v>
      </c>
      <c r="G12" s="51">
        <v>0</v>
      </c>
      <c r="H12" s="52">
        <v>3</v>
      </c>
      <c r="I12" s="50">
        <v>3</v>
      </c>
      <c r="J12" s="50">
        <v>0</v>
      </c>
      <c r="K12" s="50">
        <v>3</v>
      </c>
      <c r="L12" s="52">
        <v>0</v>
      </c>
      <c r="M12" s="61">
        <v>0</v>
      </c>
      <c r="N12" s="50">
        <v>0</v>
      </c>
      <c r="O12" s="50">
        <v>0</v>
      </c>
      <c r="P12" s="51">
        <v>0</v>
      </c>
      <c r="Q12" s="53">
        <v>48.4</v>
      </c>
      <c r="R12" s="54">
        <v>0</v>
      </c>
      <c r="S12" s="55">
        <v>15</v>
      </c>
      <c r="T12" s="56">
        <v>246.52</v>
      </c>
      <c r="U12" s="49">
        <v>1471</v>
      </c>
      <c r="V12" s="51">
        <v>121</v>
      </c>
      <c r="W12" s="55">
        <v>2</v>
      </c>
      <c r="X12" s="50">
        <v>2</v>
      </c>
      <c r="Y12" s="50">
        <v>2</v>
      </c>
      <c r="Z12" s="50">
        <v>1</v>
      </c>
      <c r="AA12" s="57">
        <v>3</v>
      </c>
      <c r="AB12" s="57">
        <v>3</v>
      </c>
      <c r="AC12" s="57">
        <f>SUM(W12:AB12)</f>
        <v>13</v>
      </c>
      <c r="AD12" s="58">
        <v>10.5</v>
      </c>
      <c r="AE12" s="59">
        <v>4.5</v>
      </c>
      <c r="AF12" s="59">
        <v>7.5</v>
      </c>
      <c r="AG12" s="59">
        <v>3.5</v>
      </c>
      <c r="AH12" s="60">
        <v>15</v>
      </c>
      <c r="AI12" s="60">
        <v>9</v>
      </c>
      <c r="AJ12" s="54">
        <f>SUM(AD12:AI12)</f>
        <v>50</v>
      </c>
    </row>
    <row r="13" spans="1:36">
      <c r="A13" s="29"/>
      <c r="B13" s="76">
        <v>46364</v>
      </c>
      <c r="C13" s="49">
        <v>0</v>
      </c>
      <c r="D13" s="50">
        <v>0</v>
      </c>
      <c r="E13" s="50">
        <v>0</v>
      </c>
      <c r="F13" s="50">
        <v>0</v>
      </c>
      <c r="G13" s="51">
        <v>0</v>
      </c>
      <c r="H13" s="52">
        <v>2</v>
      </c>
      <c r="I13" s="50">
        <v>1</v>
      </c>
      <c r="J13" s="50">
        <v>1</v>
      </c>
      <c r="K13" s="50">
        <v>0</v>
      </c>
      <c r="L13" s="52">
        <v>0</v>
      </c>
      <c r="M13" s="61">
        <v>1</v>
      </c>
      <c r="N13" s="50">
        <v>1</v>
      </c>
      <c r="O13" s="50">
        <v>0</v>
      </c>
      <c r="P13" s="51">
        <v>0</v>
      </c>
      <c r="Q13" s="53">
        <v>23</v>
      </c>
      <c r="R13" s="54">
        <v>0</v>
      </c>
      <c r="S13" s="55">
        <v>4</v>
      </c>
      <c r="T13" s="56">
        <v>90.23</v>
      </c>
      <c r="U13" s="49">
        <v>1110</v>
      </c>
      <c r="V13" s="51">
        <v>83</v>
      </c>
      <c r="W13" s="55">
        <v>2</v>
      </c>
      <c r="X13" s="50">
        <v>1</v>
      </c>
      <c r="Y13" s="50">
        <v>1</v>
      </c>
      <c r="Z13" s="50">
        <v>0</v>
      </c>
      <c r="AA13" s="57">
        <v>2</v>
      </c>
      <c r="AB13" s="57">
        <v>1</v>
      </c>
      <c r="AC13" s="57">
        <f>SUM(W13:AB13)</f>
        <v>7</v>
      </c>
      <c r="AD13" s="58">
        <v>9</v>
      </c>
      <c r="AE13" s="59">
        <v>5.5</v>
      </c>
      <c r="AF13" s="59">
        <v>2</v>
      </c>
      <c r="AG13" s="59">
        <v>0</v>
      </c>
      <c r="AH13" s="60">
        <v>5.5</v>
      </c>
      <c r="AI13" s="60">
        <v>2</v>
      </c>
      <c r="AJ13" s="54">
        <f>SUM(AD13:AI13)</f>
        <v>24</v>
      </c>
    </row>
    <row r="14" spans="1:36">
      <c r="A14" s="29"/>
      <c r="B14" s="76">
        <v>46365</v>
      </c>
      <c r="C14" s="49">
        <v>1</v>
      </c>
      <c r="D14" s="50">
        <v>1</v>
      </c>
      <c r="E14" s="50">
        <v>1</v>
      </c>
      <c r="F14" s="50">
        <v>0</v>
      </c>
      <c r="G14" s="51">
        <v>0</v>
      </c>
      <c r="H14" s="52">
        <v>2</v>
      </c>
      <c r="I14" s="50">
        <v>2</v>
      </c>
      <c r="J14" s="50">
        <v>0</v>
      </c>
      <c r="K14" s="50">
        <v>2</v>
      </c>
      <c r="L14" s="52">
        <v>0</v>
      </c>
      <c r="M14" s="61">
        <v>0</v>
      </c>
      <c r="N14" s="50">
        <v>0</v>
      </c>
      <c r="O14" s="50">
        <v>0</v>
      </c>
      <c r="P14" s="51">
        <v>0</v>
      </c>
      <c r="Q14" s="53">
        <v>39.5</v>
      </c>
      <c r="R14" s="54">
        <v>0</v>
      </c>
      <c r="S14" s="55">
        <v>5</v>
      </c>
      <c r="T14" s="56">
        <v>170.77</v>
      </c>
      <c r="U14" s="49">
        <v>735</v>
      </c>
      <c r="V14" s="51">
        <v>92</v>
      </c>
      <c r="W14" s="55">
        <v>2</v>
      </c>
      <c r="X14" s="50">
        <v>0</v>
      </c>
      <c r="Y14" s="50">
        <v>2</v>
      </c>
      <c r="Z14" s="50">
        <v>0</v>
      </c>
      <c r="AA14" s="57">
        <v>3</v>
      </c>
      <c r="AB14" s="57">
        <v>4</v>
      </c>
      <c r="AC14" s="57">
        <f>SUM(W14:AB14)</f>
        <v>11</v>
      </c>
      <c r="AD14" s="58">
        <v>7</v>
      </c>
      <c r="AE14" s="59">
        <v>0</v>
      </c>
      <c r="AF14" s="59">
        <v>10.5</v>
      </c>
      <c r="AG14" s="59">
        <v>0</v>
      </c>
      <c r="AH14" s="60">
        <v>6</v>
      </c>
      <c r="AI14" s="60">
        <v>10</v>
      </c>
      <c r="AJ14" s="54">
        <f>SUM(AD14:AI14)</f>
        <v>33.5</v>
      </c>
    </row>
    <row r="15" spans="1:36">
      <c r="A15" s="29"/>
      <c r="B15" s="76">
        <v>46366</v>
      </c>
      <c r="C15" s="49">
        <v>2</v>
      </c>
      <c r="D15" s="50">
        <v>1</v>
      </c>
      <c r="E15" s="50">
        <v>0</v>
      </c>
      <c r="F15" s="50">
        <v>1</v>
      </c>
      <c r="G15" s="51">
        <v>0</v>
      </c>
      <c r="H15" s="55">
        <v>3</v>
      </c>
      <c r="I15" s="55">
        <v>2</v>
      </c>
      <c r="J15" s="50">
        <v>1</v>
      </c>
      <c r="K15" s="50">
        <v>1</v>
      </c>
      <c r="L15" s="57">
        <v>0</v>
      </c>
      <c r="M15" s="49">
        <v>1</v>
      </c>
      <c r="N15" s="50">
        <v>1</v>
      </c>
      <c r="O15" s="50">
        <v>0</v>
      </c>
      <c r="P15" s="51">
        <v>0</v>
      </c>
      <c r="Q15" s="53">
        <v>25.7</v>
      </c>
      <c r="R15" s="54">
        <v>0</v>
      </c>
      <c r="S15" s="55">
        <v>10</v>
      </c>
      <c r="T15" s="56">
        <v>201.51</v>
      </c>
      <c r="U15" s="49">
        <v>431</v>
      </c>
      <c r="V15" s="51">
        <v>9</v>
      </c>
      <c r="W15" s="55">
        <v>2</v>
      </c>
      <c r="X15" s="50">
        <v>2</v>
      </c>
      <c r="Y15" s="50">
        <v>1</v>
      </c>
      <c r="Z15" s="50">
        <v>0</v>
      </c>
      <c r="AA15" s="57">
        <v>4</v>
      </c>
      <c r="AB15" s="57">
        <v>3</v>
      </c>
      <c r="AC15" s="57">
        <f>SUM(W15:AB15)</f>
        <v>12</v>
      </c>
      <c r="AD15" s="58">
        <v>8.5</v>
      </c>
      <c r="AE15" s="59">
        <v>8.5</v>
      </c>
      <c r="AF15" s="59">
        <v>3</v>
      </c>
      <c r="AG15" s="59">
        <v>0</v>
      </c>
      <c r="AH15" s="60">
        <v>19</v>
      </c>
      <c r="AI15" s="60">
        <v>13.5</v>
      </c>
      <c r="AJ15" s="54">
        <f>SUM(AD15:AI15)</f>
        <v>52.5</v>
      </c>
    </row>
    <row r="16" spans="1:36">
      <c r="A16" s="29"/>
      <c r="B16" s="76">
        <v>46367</v>
      </c>
      <c r="C16" s="49">
        <v>1</v>
      </c>
      <c r="D16" s="50">
        <v>1</v>
      </c>
      <c r="E16" s="50">
        <v>1</v>
      </c>
      <c r="F16" s="50">
        <v>0</v>
      </c>
      <c r="G16" s="51">
        <v>0</v>
      </c>
      <c r="H16" s="55">
        <v>2</v>
      </c>
      <c r="I16" s="55">
        <v>2</v>
      </c>
      <c r="J16" s="50">
        <v>0</v>
      </c>
      <c r="K16" s="50">
        <v>2</v>
      </c>
      <c r="L16" s="57">
        <v>0</v>
      </c>
      <c r="M16" s="49">
        <v>1</v>
      </c>
      <c r="N16" s="50">
        <v>0</v>
      </c>
      <c r="O16" s="50">
        <v>0</v>
      </c>
      <c r="P16" s="51">
        <v>0</v>
      </c>
      <c r="Q16" s="77">
        <v>17.1</v>
      </c>
      <c r="R16" s="54">
        <v>0</v>
      </c>
      <c r="S16" s="78">
        <v>13</v>
      </c>
      <c r="T16" s="79">
        <v>164.24</v>
      </c>
      <c r="U16" s="80">
        <v>1204</v>
      </c>
      <c r="V16" s="81">
        <v>155</v>
      </c>
      <c r="W16" s="55">
        <v>3</v>
      </c>
      <c r="X16" s="50">
        <v>1</v>
      </c>
      <c r="Y16" s="50">
        <v>2</v>
      </c>
      <c r="Z16" s="50">
        <v>1</v>
      </c>
      <c r="AA16" s="57">
        <v>4</v>
      </c>
      <c r="AB16" s="57">
        <v>2</v>
      </c>
      <c r="AC16" s="57">
        <f>SUM(W16:AB16)</f>
        <v>13</v>
      </c>
      <c r="AD16" s="58">
        <v>7.5</v>
      </c>
      <c r="AE16" s="59">
        <v>5.5</v>
      </c>
      <c r="AF16" s="59">
        <v>6</v>
      </c>
      <c r="AG16" s="59">
        <v>3</v>
      </c>
      <c r="AH16" s="60">
        <v>13</v>
      </c>
      <c r="AI16" s="60">
        <v>10.5</v>
      </c>
      <c r="AJ16" s="54">
        <f>SUM(AD16:AI16)</f>
        <v>45.5</v>
      </c>
    </row>
    <row r="17" spans="1:36">
      <c r="A17" s="63" t="s">
        <v>126</v>
      </c>
      <c r="B17" s="64"/>
      <c r="C17" s="65">
        <f>SUM(C12:C16)</f>
        <v>4</v>
      </c>
      <c r="D17" s="66">
        <f>SUM(D12:D16)</f>
        <v>3</v>
      </c>
      <c r="E17" s="66">
        <f>SUM(E12:E16)</f>
        <v>2</v>
      </c>
      <c r="F17" s="66">
        <f>SUM(F12:F16)</f>
        <v>1</v>
      </c>
      <c r="G17" s="67">
        <f>SUM(G12:G16)</f>
        <v>0</v>
      </c>
      <c r="H17" s="72">
        <f t="shared" ref="H17:V17" si="2">SUM(H12:H16)</f>
        <v>12</v>
      </c>
      <c r="I17" s="66">
        <f t="shared" si="2"/>
        <v>10</v>
      </c>
      <c r="J17" s="66">
        <f t="shared" si="2"/>
        <v>2</v>
      </c>
      <c r="K17" s="66">
        <f t="shared" si="2"/>
        <v>8</v>
      </c>
      <c r="L17" s="74">
        <f t="shared" si="2"/>
        <v>0</v>
      </c>
      <c r="M17" s="65">
        <f t="shared" si="2"/>
        <v>3</v>
      </c>
      <c r="N17" s="66">
        <f t="shared" si="2"/>
        <v>2</v>
      </c>
      <c r="O17" s="66">
        <f t="shared" si="2"/>
        <v>0</v>
      </c>
      <c r="P17" s="67">
        <f t="shared" si="2"/>
        <v>0</v>
      </c>
      <c r="Q17" s="70">
        <f t="shared" si="2"/>
        <v>153.7</v>
      </c>
      <c r="R17" s="71">
        <f t="shared" si="2"/>
        <v>0</v>
      </c>
      <c r="S17" s="72">
        <f t="shared" si="2"/>
        <v>47</v>
      </c>
      <c r="T17" s="73">
        <f t="shared" si="2"/>
        <v>873.27</v>
      </c>
      <c r="U17" s="65">
        <f t="shared" si="2"/>
        <v>4951</v>
      </c>
      <c r="V17" s="67">
        <f t="shared" si="2"/>
        <v>460</v>
      </c>
      <c r="W17" s="68">
        <f t="shared" ref="W17:AJ17" si="3">SUM(W12:W16)</f>
        <v>11</v>
      </c>
      <c r="X17" s="74">
        <f t="shared" si="3"/>
        <v>6</v>
      </c>
      <c r="Y17" s="74">
        <f t="shared" si="3"/>
        <v>8</v>
      </c>
      <c r="Z17" s="74">
        <f t="shared" si="3"/>
        <v>2</v>
      </c>
      <c r="AA17" s="74">
        <f t="shared" si="3"/>
        <v>16</v>
      </c>
      <c r="AB17" s="74">
        <f t="shared" si="3"/>
        <v>13</v>
      </c>
      <c r="AC17" s="74">
        <f t="shared" si="3"/>
        <v>56</v>
      </c>
      <c r="AD17" s="70">
        <f t="shared" si="3"/>
        <v>42.5</v>
      </c>
      <c r="AE17" s="75">
        <f t="shared" si="3"/>
        <v>24</v>
      </c>
      <c r="AF17" s="75">
        <f t="shared" si="3"/>
        <v>29</v>
      </c>
      <c r="AG17" s="75">
        <f t="shared" si="3"/>
        <v>6.5</v>
      </c>
      <c r="AH17" s="75">
        <f t="shared" si="3"/>
        <v>58.5</v>
      </c>
      <c r="AI17" s="75">
        <f t="shared" si="3"/>
        <v>45</v>
      </c>
      <c r="AJ17" s="71">
        <f t="shared" si="3"/>
        <v>205.5</v>
      </c>
    </row>
    <row r="18" spans="1:36">
      <c r="A18" s="29" t="s">
        <v>186</v>
      </c>
      <c r="B18" s="76">
        <v>46370</v>
      </c>
      <c r="C18" s="49">
        <v>2</v>
      </c>
      <c r="D18" s="50">
        <v>2</v>
      </c>
      <c r="E18" s="50">
        <v>1</v>
      </c>
      <c r="F18" s="50">
        <v>1</v>
      </c>
      <c r="G18" s="51">
        <v>0</v>
      </c>
      <c r="H18" s="55">
        <v>0</v>
      </c>
      <c r="I18" s="55">
        <v>0</v>
      </c>
      <c r="J18" s="50">
        <v>0</v>
      </c>
      <c r="K18" s="50">
        <v>0</v>
      </c>
      <c r="L18" s="57">
        <v>0</v>
      </c>
      <c r="M18" s="49">
        <v>0</v>
      </c>
      <c r="N18" s="50">
        <v>0</v>
      </c>
      <c r="O18" s="50">
        <v>1</v>
      </c>
      <c r="P18" s="51">
        <v>0</v>
      </c>
      <c r="Q18" s="53">
        <v>36.5</v>
      </c>
      <c r="R18" s="54">
        <v>0</v>
      </c>
      <c r="S18" s="55">
        <v>15</v>
      </c>
      <c r="T18" s="56">
        <v>389.66</v>
      </c>
      <c r="U18" s="49">
        <v>1085</v>
      </c>
      <c r="V18" s="51">
        <v>109</v>
      </c>
      <c r="W18" s="55">
        <v>3</v>
      </c>
      <c r="X18" s="50">
        <v>1</v>
      </c>
      <c r="Y18" s="50">
        <v>0</v>
      </c>
      <c r="Z18" s="50">
        <v>0</v>
      </c>
      <c r="AA18" s="57">
        <v>2</v>
      </c>
      <c r="AB18" s="57">
        <v>1</v>
      </c>
      <c r="AC18" s="57">
        <f>SUM(W18:AB18)</f>
        <v>7</v>
      </c>
      <c r="AD18" s="58">
        <v>10.5</v>
      </c>
      <c r="AE18" s="59">
        <v>3.5</v>
      </c>
      <c r="AF18" s="59">
        <v>0</v>
      </c>
      <c r="AG18" s="59">
        <v>0</v>
      </c>
      <c r="AH18" s="60">
        <v>8</v>
      </c>
      <c r="AI18" s="60">
        <v>3</v>
      </c>
      <c r="AJ18" s="54">
        <f>SUM(AD18:AI18)</f>
        <v>25</v>
      </c>
    </row>
    <row r="19" spans="1:36">
      <c r="A19" s="29"/>
      <c r="B19" s="76">
        <v>46371</v>
      </c>
      <c r="C19" s="49">
        <v>0</v>
      </c>
      <c r="D19" s="50">
        <v>0</v>
      </c>
      <c r="E19" s="50">
        <v>0</v>
      </c>
      <c r="F19" s="50">
        <v>0</v>
      </c>
      <c r="G19" s="51">
        <v>0</v>
      </c>
      <c r="H19" s="55">
        <v>1</v>
      </c>
      <c r="I19" s="55">
        <v>0</v>
      </c>
      <c r="J19" s="50">
        <v>0</v>
      </c>
      <c r="K19" s="50">
        <v>0</v>
      </c>
      <c r="L19" s="57">
        <v>0</v>
      </c>
      <c r="M19" s="49">
        <v>0</v>
      </c>
      <c r="N19" s="50">
        <v>0</v>
      </c>
      <c r="O19" s="50">
        <v>0</v>
      </c>
      <c r="P19" s="51">
        <v>0</v>
      </c>
      <c r="Q19" s="53">
        <v>18.6</v>
      </c>
      <c r="R19" s="54">
        <v>3.2</v>
      </c>
      <c r="S19" s="55">
        <v>6</v>
      </c>
      <c r="T19" s="56">
        <v>115.35</v>
      </c>
      <c r="U19" s="49">
        <v>993</v>
      </c>
      <c r="V19" s="51">
        <v>57</v>
      </c>
      <c r="W19" s="55">
        <v>3</v>
      </c>
      <c r="X19" s="50">
        <v>0</v>
      </c>
      <c r="Y19" s="50">
        <v>0</v>
      </c>
      <c r="Z19" s="50">
        <v>2</v>
      </c>
      <c r="AA19" s="57">
        <v>2</v>
      </c>
      <c r="AB19" s="57">
        <v>1</v>
      </c>
      <c r="AC19" s="57">
        <f>SUM(W19:AB19)</f>
        <v>8</v>
      </c>
      <c r="AD19" s="58">
        <v>10</v>
      </c>
      <c r="AE19" s="59">
        <v>0</v>
      </c>
      <c r="AF19" s="59">
        <v>0</v>
      </c>
      <c r="AG19" s="59">
        <v>8</v>
      </c>
      <c r="AH19" s="60">
        <v>6.5</v>
      </c>
      <c r="AI19" s="60">
        <v>4</v>
      </c>
      <c r="AJ19" s="54">
        <f>SUM(AD19:AI19)</f>
        <v>28.5</v>
      </c>
    </row>
    <row r="20" spans="1:36">
      <c r="A20" s="29"/>
      <c r="B20" s="76">
        <v>46372</v>
      </c>
      <c r="C20" s="49">
        <v>0</v>
      </c>
      <c r="D20" s="50">
        <v>0</v>
      </c>
      <c r="E20" s="50">
        <v>0</v>
      </c>
      <c r="F20" s="50">
        <v>0</v>
      </c>
      <c r="G20" s="51">
        <v>0</v>
      </c>
      <c r="H20" s="55">
        <v>2</v>
      </c>
      <c r="I20" s="55">
        <v>1</v>
      </c>
      <c r="J20" s="50">
        <v>1</v>
      </c>
      <c r="K20" s="50">
        <v>0</v>
      </c>
      <c r="L20" s="57">
        <v>0</v>
      </c>
      <c r="M20" s="49">
        <v>0</v>
      </c>
      <c r="N20" s="50">
        <v>1</v>
      </c>
      <c r="O20" s="50">
        <v>0</v>
      </c>
      <c r="P20" s="51">
        <v>0</v>
      </c>
      <c r="Q20" s="53">
        <v>21.2</v>
      </c>
      <c r="R20" s="54">
        <v>0</v>
      </c>
      <c r="S20" s="55">
        <v>6</v>
      </c>
      <c r="T20" s="56">
        <v>146.23</v>
      </c>
      <c r="U20" s="82">
        <v>1555</v>
      </c>
      <c r="V20" s="51">
        <v>242</v>
      </c>
      <c r="W20" s="55">
        <v>1</v>
      </c>
      <c r="X20" s="50">
        <v>1</v>
      </c>
      <c r="Y20" s="50">
        <v>2</v>
      </c>
      <c r="Z20" s="50">
        <v>0</v>
      </c>
      <c r="AA20" s="57">
        <v>4</v>
      </c>
      <c r="AB20" s="57">
        <v>3</v>
      </c>
      <c r="AC20" s="57">
        <f>SUM(W20:AB20)</f>
        <v>11</v>
      </c>
      <c r="AD20" s="58">
        <v>2</v>
      </c>
      <c r="AE20" s="59">
        <v>5</v>
      </c>
      <c r="AF20" s="59">
        <v>6</v>
      </c>
      <c r="AG20" s="59">
        <v>0</v>
      </c>
      <c r="AH20" s="60">
        <v>12.5</v>
      </c>
      <c r="AI20" s="60">
        <v>10.5</v>
      </c>
      <c r="AJ20" s="54">
        <f>SUM(AD20:AI20)</f>
        <v>36</v>
      </c>
    </row>
    <row r="21" spans="1:36">
      <c r="A21" s="29"/>
      <c r="B21" s="76">
        <v>46373</v>
      </c>
      <c r="C21" s="49">
        <v>4</v>
      </c>
      <c r="D21" s="50">
        <v>4</v>
      </c>
      <c r="E21" s="50">
        <v>1</v>
      </c>
      <c r="F21" s="50">
        <v>3</v>
      </c>
      <c r="G21" s="51">
        <v>0</v>
      </c>
      <c r="H21" s="55">
        <v>2</v>
      </c>
      <c r="I21" s="55">
        <v>1</v>
      </c>
      <c r="J21" s="50">
        <v>0</v>
      </c>
      <c r="K21" s="50">
        <v>1</v>
      </c>
      <c r="L21" s="57">
        <v>0</v>
      </c>
      <c r="M21" s="49">
        <v>2</v>
      </c>
      <c r="N21" s="50">
        <v>0</v>
      </c>
      <c r="O21" s="50">
        <v>0</v>
      </c>
      <c r="P21" s="51">
        <v>0</v>
      </c>
      <c r="Q21" s="53">
        <v>30.2</v>
      </c>
      <c r="R21" s="54">
        <v>0</v>
      </c>
      <c r="S21" s="55">
        <v>4</v>
      </c>
      <c r="T21" s="56">
        <v>85.17</v>
      </c>
      <c r="U21" s="49">
        <v>312</v>
      </c>
      <c r="V21" s="51">
        <v>10</v>
      </c>
      <c r="W21" s="55">
        <v>3</v>
      </c>
      <c r="X21" s="50">
        <v>1</v>
      </c>
      <c r="Y21" s="50">
        <v>2</v>
      </c>
      <c r="Z21" s="50">
        <v>0</v>
      </c>
      <c r="AA21" s="57">
        <v>3</v>
      </c>
      <c r="AB21" s="57">
        <v>2</v>
      </c>
      <c r="AC21" s="57">
        <f>SUM(W21:AB21)</f>
        <v>11</v>
      </c>
      <c r="AD21" s="58">
        <v>13</v>
      </c>
      <c r="AE21" s="59">
        <v>5</v>
      </c>
      <c r="AF21" s="59">
        <v>7</v>
      </c>
      <c r="AG21" s="59">
        <v>0</v>
      </c>
      <c r="AH21" s="60">
        <v>11.5</v>
      </c>
      <c r="AI21" s="60">
        <v>10</v>
      </c>
      <c r="AJ21" s="54">
        <f>SUM(AD21:AI21)</f>
        <v>46.5</v>
      </c>
    </row>
    <row r="22" spans="1:36">
      <c r="A22" s="29"/>
      <c r="B22" s="76">
        <v>46374</v>
      </c>
      <c r="C22" s="49">
        <v>1</v>
      </c>
      <c r="D22" s="50">
        <v>1</v>
      </c>
      <c r="E22" s="50">
        <v>1</v>
      </c>
      <c r="F22" s="50">
        <v>0</v>
      </c>
      <c r="G22" s="51">
        <v>0</v>
      </c>
      <c r="H22" s="55">
        <v>3</v>
      </c>
      <c r="I22" s="55">
        <v>2</v>
      </c>
      <c r="J22" s="50">
        <v>1</v>
      </c>
      <c r="K22" s="50">
        <v>1</v>
      </c>
      <c r="L22" s="57">
        <v>0</v>
      </c>
      <c r="M22" s="49">
        <v>0</v>
      </c>
      <c r="N22" s="50">
        <v>1</v>
      </c>
      <c r="O22" s="50">
        <v>0</v>
      </c>
      <c r="P22" s="51">
        <v>0</v>
      </c>
      <c r="Q22" s="77">
        <v>24.1</v>
      </c>
      <c r="R22" s="54">
        <v>0</v>
      </c>
      <c r="S22" s="78">
        <v>13</v>
      </c>
      <c r="T22" s="79">
        <v>326.58</v>
      </c>
      <c r="U22" s="80">
        <v>254</v>
      </c>
      <c r="V22" s="81">
        <v>20</v>
      </c>
      <c r="W22" s="55">
        <v>1</v>
      </c>
      <c r="X22" s="50">
        <v>0</v>
      </c>
      <c r="Y22" s="50">
        <v>1</v>
      </c>
      <c r="Z22" s="50">
        <v>0</v>
      </c>
      <c r="AA22" s="57">
        <v>1</v>
      </c>
      <c r="AB22" s="57">
        <v>4</v>
      </c>
      <c r="AC22" s="57">
        <f>SUM(W22:AB22)</f>
        <v>7</v>
      </c>
      <c r="AD22" s="58">
        <v>4</v>
      </c>
      <c r="AE22" s="59">
        <v>0</v>
      </c>
      <c r="AF22" s="59">
        <v>5.5</v>
      </c>
      <c r="AG22" s="59">
        <v>0</v>
      </c>
      <c r="AH22" s="60">
        <v>4.5</v>
      </c>
      <c r="AI22" s="60">
        <v>9.5</v>
      </c>
      <c r="AJ22" s="54">
        <f>SUM(AD22:AI22)</f>
        <v>23.5</v>
      </c>
    </row>
    <row r="23" spans="1:36">
      <c r="A23" s="63" t="s">
        <v>126</v>
      </c>
      <c r="B23" s="64"/>
      <c r="C23" s="65">
        <f>SUM(C18:C22)</f>
        <v>7</v>
      </c>
      <c r="D23" s="66">
        <f>SUM(D18:D22)</f>
        <v>7</v>
      </c>
      <c r="E23" s="66">
        <f>SUM(E18:E22)</f>
        <v>3</v>
      </c>
      <c r="F23" s="66">
        <f>SUM(F18:F22)</f>
        <v>4</v>
      </c>
      <c r="G23" s="67">
        <f>SUM(G18:G22)</f>
        <v>0</v>
      </c>
      <c r="H23" s="72">
        <f t="shared" ref="H23:V23" si="4">SUM(H18:H22)</f>
        <v>8</v>
      </c>
      <c r="I23" s="66">
        <f t="shared" si="4"/>
        <v>4</v>
      </c>
      <c r="J23" s="66">
        <f t="shared" si="4"/>
        <v>2</v>
      </c>
      <c r="K23" s="66">
        <f t="shared" si="4"/>
        <v>2</v>
      </c>
      <c r="L23" s="74">
        <f t="shared" si="4"/>
        <v>0</v>
      </c>
      <c r="M23" s="65">
        <f t="shared" si="4"/>
        <v>2</v>
      </c>
      <c r="N23" s="66">
        <f t="shared" si="4"/>
        <v>2</v>
      </c>
      <c r="O23" s="66">
        <f t="shared" si="4"/>
        <v>1</v>
      </c>
      <c r="P23" s="67">
        <f t="shared" si="4"/>
        <v>0</v>
      </c>
      <c r="Q23" s="70">
        <f t="shared" si="4"/>
        <v>130.6</v>
      </c>
      <c r="R23" s="71">
        <f t="shared" si="4"/>
        <v>3.2</v>
      </c>
      <c r="S23" s="72">
        <f t="shared" si="4"/>
        <v>44</v>
      </c>
      <c r="T23" s="73">
        <f t="shared" si="4"/>
        <v>1062.99</v>
      </c>
      <c r="U23" s="65">
        <f t="shared" si="4"/>
        <v>4199</v>
      </c>
      <c r="V23" s="67">
        <f t="shared" si="4"/>
        <v>438</v>
      </c>
      <c r="W23" s="68">
        <f t="shared" ref="W23:AJ23" si="5">SUM(W18:W22)</f>
        <v>11</v>
      </c>
      <c r="X23" s="74">
        <f t="shared" si="5"/>
        <v>3</v>
      </c>
      <c r="Y23" s="74">
        <f t="shared" si="5"/>
        <v>5</v>
      </c>
      <c r="Z23" s="74">
        <f t="shared" si="5"/>
        <v>2</v>
      </c>
      <c r="AA23" s="74">
        <f t="shared" si="5"/>
        <v>12</v>
      </c>
      <c r="AB23" s="74">
        <f t="shared" si="5"/>
        <v>11</v>
      </c>
      <c r="AC23" s="74">
        <f t="shared" si="5"/>
        <v>44</v>
      </c>
      <c r="AD23" s="70">
        <f t="shared" si="5"/>
        <v>39.5</v>
      </c>
      <c r="AE23" s="75">
        <f t="shared" si="5"/>
        <v>13.5</v>
      </c>
      <c r="AF23" s="75">
        <f t="shared" si="5"/>
        <v>18.5</v>
      </c>
      <c r="AG23" s="75">
        <f t="shared" si="5"/>
        <v>8</v>
      </c>
      <c r="AH23" s="75">
        <f t="shared" si="5"/>
        <v>43</v>
      </c>
      <c r="AI23" s="75">
        <f t="shared" si="5"/>
        <v>37</v>
      </c>
      <c r="AJ23" s="71">
        <f t="shared" si="5"/>
        <v>159.5</v>
      </c>
    </row>
    <row r="24" spans="1:36">
      <c r="A24" s="29" t="s">
        <v>187</v>
      </c>
      <c r="B24" s="76">
        <v>46377</v>
      </c>
      <c r="C24" s="49">
        <v>1</v>
      </c>
      <c r="D24" s="50">
        <v>1</v>
      </c>
      <c r="E24" s="50">
        <v>1</v>
      </c>
      <c r="F24" s="50">
        <v>0</v>
      </c>
      <c r="G24" s="51">
        <v>0</v>
      </c>
      <c r="H24" s="55">
        <v>0</v>
      </c>
      <c r="I24" s="55">
        <v>0</v>
      </c>
      <c r="J24" s="50">
        <v>0</v>
      </c>
      <c r="K24" s="50">
        <v>0</v>
      </c>
      <c r="L24" s="57">
        <v>0</v>
      </c>
      <c r="M24" s="49">
        <v>0</v>
      </c>
      <c r="N24" s="50">
        <v>0</v>
      </c>
      <c r="O24" s="50">
        <v>0</v>
      </c>
      <c r="P24" s="51">
        <v>1</v>
      </c>
      <c r="Q24" s="53">
        <v>22.3</v>
      </c>
      <c r="R24" s="54">
        <v>2.4</v>
      </c>
      <c r="S24" s="55">
        <v>11</v>
      </c>
      <c r="T24" s="56">
        <v>201.71</v>
      </c>
      <c r="U24" s="49">
        <v>320</v>
      </c>
      <c r="V24" s="51">
        <v>42</v>
      </c>
      <c r="W24" s="55">
        <v>4</v>
      </c>
      <c r="X24" s="50">
        <v>2</v>
      </c>
      <c r="Y24" s="50">
        <v>1</v>
      </c>
      <c r="Z24" s="50">
        <v>2</v>
      </c>
      <c r="AA24" s="57">
        <v>4</v>
      </c>
      <c r="AB24" s="57">
        <v>1</v>
      </c>
      <c r="AC24" s="57">
        <f>SUM(W24:AB24)</f>
        <v>14</v>
      </c>
      <c r="AD24" s="58">
        <v>12.5</v>
      </c>
      <c r="AE24" s="59">
        <v>6</v>
      </c>
      <c r="AF24" s="59">
        <v>5.5</v>
      </c>
      <c r="AG24" s="59">
        <v>8.5</v>
      </c>
      <c r="AH24" s="60">
        <v>11</v>
      </c>
      <c r="AI24" s="60">
        <v>2.5</v>
      </c>
      <c r="AJ24" s="54">
        <f>SUM(AD24:AI24)</f>
        <v>46</v>
      </c>
    </row>
    <row r="25" spans="1:36">
      <c r="A25" s="29"/>
      <c r="B25" s="76">
        <v>46378</v>
      </c>
      <c r="C25" s="49">
        <v>1</v>
      </c>
      <c r="D25" s="50">
        <v>0</v>
      </c>
      <c r="E25" s="50">
        <v>0</v>
      </c>
      <c r="F25" s="50">
        <v>0</v>
      </c>
      <c r="G25" s="51">
        <v>0</v>
      </c>
      <c r="H25" s="55">
        <v>1</v>
      </c>
      <c r="I25" s="55">
        <v>0</v>
      </c>
      <c r="J25" s="50">
        <v>0</v>
      </c>
      <c r="K25" s="50">
        <v>0</v>
      </c>
      <c r="L25" s="57">
        <v>0</v>
      </c>
      <c r="M25" s="49">
        <v>2</v>
      </c>
      <c r="N25" s="50">
        <v>1</v>
      </c>
      <c r="O25" s="50">
        <v>0</v>
      </c>
      <c r="P25" s="51">
        <v>0</v>
      </c>
      <c r="Q25" s="53">
        <v>0</v>
      </c>
      <c r="R25" s="54">
        <v>0</v>
      </c>
      <c r="S25" s="55">
        <v>18</v>
      </c>
      <c r="T25" s="56">
        <v>388.67</v>
      </c>
      <c r="U25" s="49">
        <v>1199</v>
      </c>
      <c r="V25" s="51">
        <v>174</v>
      </c>
      <c r="W25" s="55">
        <v>1</v>
      </c>
      <c r="X25" s="50">
        <v>0</v>
      </c>
      <c r="Y25" s="50">
        <v>1</v>
      </c>
      <c r="Z25" s="50">
        <v>0</v>
      </c>
      <c r="AA25" s="57">
        <v>5</v>
      </c>
      <c r="AB25" s="57">
        <v>3</v>
      </c>
      <c r="AC25" s="57">
        <f>SUM(W25:AB25)</f>
        <v>10</v>
      </c>
      <c r="AD25" s="58">
        <v>5</v>
      </c>
      <c r="AE25" s="59">
        <v>0</v>
      </c>
      <c r="AF25" s="59">
        <v>3.5</v>
      </c>
      <c r="AG25" s="59">
        <v>0</v>
      </c>
      <c r="AH25" s="60">
        <v>26</v>
      </c>
      <c r="AI25" s="60">
        <v>12.5</v>
      </c>
      <c r="AJ25" s="54">
        <f>SUM(AD25:AI25)</f>
        <v>47</v>
      </c>
    </row>
    <row r="26" spans="1:36">
      <c r="A26" s="29"/>
      <c r="B26" s="76">
        <v>46379</v>
      </c>
      <c r="C26" s="49">
        <v>3</v>
      </c>
      <c r="D26" s="50">
        <v>3</v>
      </c>
      <c r="E26" s="50">
        <v>1</v>
      </c>
      <c r="F26" s="50">
        <v>2</v>
      </c>
      <c r="G26" s="51">
        <v>0</v>
      </c>
      <c r="H26" s="55">
        <v>0</v>
      </c>
      <c r="I26" s="55">
        <v>0</v>
      </c>
      <c r="J26" s="50">
        <v>0</v>
      </c>
      <c r="K26" s="50">
        <v>0</v>
      </c>
      <c r="L26" s="57">
        <v>0</v>
      </c>
      <c r="M26" s="49">
        <v>2</v>
      </c>
      <c r="N26" s="50">
        <v>0</v>
      </c>
      <c r="O26" s="50">
        <v>0</v>
      </c>
      <c r="P26" s="51">
        <v>0</v>
      </c>
      <c r="Q26" s="53">
        <v>47.6</v>
      </c>
      <c r="R26" s="54">
        <v>0</v>
      </c>
      <c r="S26" s="55">
        <v>6</v>
      </c>
      <c r="T26" s="56">
        <v>203.56</v>
      </c>
      <c r="U26" s="49">
        <v>1372</v>
      </c>
      <c r="V26" s="51">
        <v>35</v>
      </c>
      <c r="W26" s="55">
        <v>2</v>
      </c>
      <c r="X26" s="50">
        <v>0</v>
      </c>
      <c r="Y26" s="50">
        <v>1</v>
      </c>
      <c r="Z26" s="50">
        <v>2</v>
      </c>
      <c r="AA26" s="57">
        <v>1</v>
      </c>
      <c r="AB26" s="57">
        <v>1</v>
      </c>
      <c r="AC26" s="57">
        <f>SUM(W26:AB26)</f>
        <v>7</v>
      </c>
      <c r="AD26" s="58">
        <v>6</v>
      </c>
      <c r="AE26" s="59">
        <v>0</v>
      </c>
      <c r="AF26" s="59">
        <v>2.5</v>
      </c>
      <c r="AG26" s="59">
        <v>8.5</v>
      </c>
      <c r="AH26" s="60">
        <v>3</v>
      </c>
      <c r="AI26" s="60">
        <v>5.5</v>
      </c>
      <c r="AJ26" s="54">
        <f>SUM(AD26:AI26)</f>
        <v>25.5</v>
      </c>
    </row>
    <row r="27" spans="1:36">
      <c r="A27" s="29"/>
      <c r="B27" s="76">
        <v>46380</v>
      </c>
      <c r="C27" s="49">
        <v>1</v>
      </c>
      <c r="D27" s="50">
        <v>0</v>
      </c>
      <c r="E27" s="50">
        <v>0</v>
      </c>
      <c r="F27" s="50">
        <v>0</v>
      </c>
      <c r="G27" s="51">
        <v>0</v>
      </c>
      <c r="H27" s="55">
        <v>2</v>
      </c>
      <c r="I27" s="55">
        <v>2</v>
      </c>
      <c r="J27" s="50">
        <v>0</v>
      </c>
      <c r="K27" s="50">
        <v>2</v>
      </c>
      <c r="L27" s="57">
        <v>0</v>
      </c>
      <c r="M27" s="49">
        <v>1</v>
      </c>
      <c r="N27" s="50">
        <v>0</v>
      </c>
      <c r="O27" s="50">
        <v>0</v>
      </c>
      <c r="P27" s="51">
        <v>0</v>
      </c>
      <c r="Q27" s="53">
        <v>30.2</v>
      </c>
      <c r="R27" s="54">
        <v>0</v>
      </c>
      <c r="S27" s="55">
        <v>14</v>
      </c>
      <c r="T27" s="56">
        <v>429.69</v>
      </c>
      <c r="U27" s="49">
        <v>1229</v>
      </c>
      <c r="V27" s="51">
        <v>80</v>
      </c>
      <c r="W27" s="55">
        <v>4</v>
      </c>
      <c r="X27" s="50">
        <v>1</v>
      </c>
      <c r="Y27" s="50">
        <v>1</v>
      </c>
      <c r="Z27" s="50">
        <v>1</v>
      </c>
      <c r="AA27" s="57">
        <v>5</v>
      </c>
      <c r="AB27" s="57">
        <v>3</v>
      </c>
      <c r="AC27" s="57">
        <f>SUM(W27:AB27)</f>
        <v>15</v>
      </c>
      <c r="AD27" s="58">
        <v>13</v>
      </c>
      <c r="AE27" s="59">
        <v>4.5</v>
      </c>
      <c r="AF27" s="59">
        <v>2</v>
      </c>
      <c r="AG27" s="59">
        <v>2.5</v>
      </c>
      <c r="AH27" s="60">
        <v>24</v>
      </c>
      <c r="AI27" s="60">
        <v>10.5</v>
      </c>
      <c r="AJ27" s="54">
        <f>SUM(AD27:AI27)</f>
        <v>56.5</v>
      </c>
    </row>
    <row r="28" spans="1:36">
      <c r="A28" s="29"/>
      <c r="B28" s="76">
        <v>46381</v>
      </c>
      <c r="C28" s="49">
        <v>3</v>
      </c>
      <c r="D28" s="50">
        <v>3</v>
      </c>
      <c r="E28" s="50">
        <v>0</v>
      </c>
      <c r="F28" s="50">
        <v>3</v>
      </c>
      <c r="G28" s="51">
        <v>0</v>
      </c>
      <c r="H28" s="55">
        <v>3</v>
      </c>
      <c r="I28" s="55">
        <v>2</v>
      </c>
      <c r="J28" s="50">
        <v>1</v>
      </c>
      <c r="K28" s="50">
        <v>1</v>
      </c>
      <c r="L28" s="57">
        <v>0</v>
      </c>
      <c r="M28" s="49">
        <v>1</v>
      </c>
      <c r="N28" s="50">
        <v>0</v>
      </c>
      <c r="O28" s="50">
        <v>0</v>
      </c>
      <c r="P28" s="51">
        <v>0</v>
      </c>
      <c r="Q28" s="77">
        <v>49.9</v>
      </c>
      <c r="R28" s="54">
        <v>0</v>
      </c>
      <c r="S28" s="78">
        <v>22</v>
      </c>
      <c r="T28" s="79">
        <v>301.49</v>
      </c>
      <c r="U28" s="80">
        <v>680</v>
      </c>
      <c r="V28" s="81">
        <v>23</v>
      </c>
      <c r="W28" s="55">
        <v>4</v>
      </c>
      <c r="X28" s="50">
        <v>1</v>
      </c>
      <c r="Y28" s="50">
        <v>2</v>
      </c>
      <c r="Z28" s="50">
        <v>2</v>
      </c>
      <c r="AA28" s="57">
        <v>5</v>
      </c>
      <c r="AB28" s="57">
        <v>4</v>
      </c>
      <c r="AC28" s="57">
        <f>SUM(W28:AB28)</f>
        <v>18</v>
      </c>
      <c r="AD28" s="58">
        <v>10.5</v>
      </c>
      <c r="AE28" s="59">
        <v>2</v>
      </c>
      <c r="AF28" s="59">
        <v>5.5</v>
      </c>
      <c r="AG28" s="59">
        <v>10.5</v>
      </c>
      <c r="AH28" s="60">
        <v>12</v>
      </c>
      <c r="AI28" s="60">
        <v>18</v>
      </c>
      <c r="AJ28" s="54">
        <f>SUM(AD28:AI28)</f>
        <v>58.5</v>
      </c>
    </row>
    <row r="29" spans="1:36">
      <c r="A29" s="63" t="s">
        <v>126</v>
      </c>
      <c r="B29" s="64"/>
      <c r="C29" s="65">
        <f>SUM(C24:C28)</f>
        <v>9</v>
      </c>
      <c r="D29" s="66">
        <f>SUM(D24:D28)</f>
        <v>7</v>
      </c>
      <c r="E29" s="66">
        <f>SUM(E24:E28)</f>
        <v>2</v>
      </c>
      <c r="F29" s="66">
        <f>SUM(F24:F28)</f>
        <v>5</v>
      </c>
      <c r="G29" s="67">
        <f>SUM(G24:G28)</f>
        <v>0</v>
      </c>
      <c r="H29" s="72">
        <f t="shared" ref="H29:V29" si="6">SUM(H24:H28)</f>
        <v>6</v>
      </c>
      <c r="I29" s="66">
        <f t="shared" si="6"/>
        <v>4</v>
      </c>
      <c r="J29" s="66">
        <f t="shared" si="6"/>
        <v>1</v>
      </c>
      <c r="K29" s="66">
        <f t="shared" si="6"/>
        <v>3</v>
      </c>
      <c r="L29" s="74">
        <f t="shared" si="6"/>
        <v>0</v>
      </c>
      <c r="M29" s="65">
        <f t="shared" si="6"/>
        <v>6</v>
      </c>
      <c r="N29" s="66">
        <f t="shared" si="6"/>
        <v>1</v>
      </c>
      <c r="O29" s="66">
        <f t="shared" si="6"/>
        <v>0</v>
      </c>
      <c r="P29" s="67">
        <f t="shared" si="6"/>
        <v>1</v>
      </c>
      <c r="Q29" s="70">
        <f t="shared" si="6"/>
        <v>150</v>
      </c>
      <c r="R29" s="71">
        <f t="shared" si="6"/>
        <v>2.4</v>
      </c>
      <c r="S29" s="72">
        <f t="shared" si="6"/>
        <v>71</v>
      </c>
      <c r="T29" s="73">
        <f t="shared" si="6"/>
        <v>1525.12</v>
      </c>
      <c r="U29" s="65">
        <f t="shared" si="6"/>
        <v>4800</v>
      </c>
      <c r="V29" s="67">
        <f t="shared" si="6"/>
        <v>354</v>
      </c>
      <c r="W29" s="68">
        <f t="shared" ref="W29:AJ29" si="7">SUM(W24:W28)</f>
        <v>15</v>
      </c>
      <c r="X29" s="74">
        <f t="shared" si="7"/>
        <v>4</v>
      </c>
      <c r="Y29" s="74">
        <f t="shared" si="7"/>
        <v>6</v>
      </c>
      <c r="Z29" s="74">
        <f t="shared" si="7"/>
        <v>7</v>
      </c>
      <c r="AA29" s="74">
        <f t="shared" si="7"/>
        <v>20</v>
      </c>
      <c r="AB29" s="74">
        <f t="shared" si="7"/>
        <v>12</v>
      </c>
      <c r="AC29" s="74">
        <f t="shared" si="7"/>
        <v>64</v>
      </c>
      <c r="AD29" s="70">
        <f t="shared" si="7"/>
        <v>47</v>
      </c>
      <c r="AE29" s="75">
        <f t="shared" si="7"/>
        <v>12.5</v>
      </c>
      <c r="AF29" s="75">
        <f t="shared" si="7"/>
        <v>19</v>
      </c>
      <c r="AG29" s="75">
        <f t="shared" si="7"/>
        <v>30</v>
      </c>
      <c r="AH29" s="75">
        <f t="shared" si="7"/>
        <v>76</v>
      </c>
      <c r="AI29" s="75">
        <f t="shared" si="7"/>
        <v>49</v>
      </c>
      <c r="AJ29" s="71">
        <f t="shared" si="7"/>
        <v>233.5</v>
      </c>
    </row>
    <row r="30" spans="1:36">
      <c r="A30" s="29" t="s">
        <v>188</v>
      </c>
      <c r="B30" s="76">
        <v>46384</v>
      </c>
      <c r="C30" s="49">
        <v>1</v>
      </c>
      <c r="D30" s="50">
        <v>1</v>
      </c>
      <c r="E30" s="50">
        <v>0</v>
      </c>
      <c r="F30" s="50">
        <v>1</v>
      </c>
      <c r="G30" s="51">
        <v>0</v>
      </c>
      <c r="H30" s="55">
        <v>0</v>
      </c>
      <c r="I30" s="55">
        <v>0</v>
      </c>
      <c r="J30" s="50">
        <v>0</v>
      </c>
      <c r="K30" s="50">
        <v>0</v>
      </c>
      <c r="L30" s="57">
        <v>0</v>
      </c>
      <c r="M30" s="49">
        <v>0</v>
      </c>
      <c r="N30" s="50">
        <v>0</v>
      </c>
      <c r="O30" s="50">
        <v>0</v>
      </c>
      <c r="P30" s="51">
        <v>0</v>
      </c>
      <c r="Q30" s="53">
        <v>39.2</v>
      </c>
      <c r="R30" s="54">
        <v>7.7</v>
      </c>
      <c r="S30" s="55">
        <v>3</v>
      </c>
      <c r="T30" s="56">
        <v>83.46</v>
      </c>
      <c r="U30" s="49">
        <v>1788</v>
      </c>
      <c r="V30" s="51">
        <v>144</v>
      </c>
      <c r="W30" s="55">
        <v>1</v>
      </c>
      <c r="X30" s="50">
        <v>0</v>
      </c>
      <c r="Y30" s="50">
        <v>2</v>
      </c>
      <c r="Z30" s="50">
        <v>1</v>
      </c>
      <c r="AA30" s="57">
        <v>4</v>
      </c>
      <c r="AB30" s="57">
        <v>4</v>
      </c>
      <c r="AC30" s="57">
        <f>SUM(W30:AB30)</f>
        <v>12</v>
      </c>
      <c r="AD30" s="58">
        <v>3</v>
      </c>
      <c r="AE30" s="59">
        <v>0</v>
      </c>
      <c r="AF30" s="59">
        <v>7.5</v>
      </c>
      <c r="AG30" s="59">
        <v>3.5</v>
      </c>
      <c r="AH30" s="60">
        <v>11</v>
      </c>
      <c r="AI30" s="60">
        <v>21</v>
      </c>
      <c r="AJ30" s="54">
        <f>SUM(AD30:AI30)</f>
        <v>46</v>
      </c>
    </row>
    <row r="31" spans="1:36">
      <c r="A31" s="29"/>
      <c r="B31" s="76">
        <v>46385</v>
      </c>
      <c r="C31" s="49">
        <v>2</v>
      </c>
      <c r="D31" s="50">
        <v>1</v>
      </c>
      <c r="E31" s="50">
        <v>1</v>
      </c>
      <c r="F31" s="50">
        <v>0</v>
      </c>
      <c r="G31" s="51">
        <v>0</v>
      </c>
      <c r="H31" s="55">
        <v>2</v>
      </c>
      <c r="I31" s="55">
        <v>1</v>
      </c>
      <c r="J31" s="50">
        <v>1</v>
      </c>
      <c r="K31" s="50">
        <v>0</v>
      </c>
      <c r="L31" s="57">
        <v>0</v>
      </c>
      <c r="M31" s="49">
        <v>0</v>
      </c>
      <c r="N31" s="50">
        <v>0</v>
      </c>
      <c r="O31" s="50">
        <v>0</v>
      </c>
      <c r="P31" s="51">
        <v>0</v>
      </c>
      <c r="Q31" s="53">
        <v>0</v>
      </c>
      <c r="R31" s="54">
        <v>0</v>
      </c>
      <c r="S31" s="55">
        <v>11</v>
      </c>
      <c r="T31" s="56">
        <v>250.42</v>
      </c>
      <c r="U31" s="49">
        <v>1490</v>
      </c>
      <c r="V31" s="51">
        <v>176</v>
      </c>
      <c r="W31" s="55">
        <v>2</v>
      </c>
      <c r="X31" s="50">
        <v>1</v>
      </c>
      <c r="Y31" s="50">
        <v>1</v>
      </c>
      <c r="Z31" s="50">
        <v>0</v>
      </c>
      <c r="AA31" s="57">
        <v>3</v>
      </c>
      <c r="AB31" s="57">
        <v>1</v>
      </c>
      <c r="AC31" s="57">
        <f>SUM(W31:AB31)</f>
        <v>8</v>
      </c>
      <c r="AD31" s="58">
        <v>4.5</v>
      </c>
      <c r="AE31" s="59">
        <v>3</v>
      </c>
      <c r="AF31" s="59">
        <v>4</v>
      </c>
      <c r="AG31" s="59">
        <v>0</v>
      </c>
      <c r="AH31" s="60">
        <v>7</v>
      </c>
      <c r="AI31" s="60">
        <v>5</v>
      </c>
      <c r="AJ31" s="54">
        <f>SUM(AD31:AI31)</f>
        <v>23.5</v>
      </c>
    </row>
    <row r="32" spans="1:36">
      <c r="A32" s="29"/>
      <c r="B32" s="76">
        <v>46386</v>
      </c>
      <c r="C32" s="49">
        <v>1</v>
      </c>
      <c r="D32" s="50">
        <v>0</v>
      </c>
      <c r="E32" s="50">
        <v>0</v>
      </c>
      <c r="F32" s="50">
        <v>0</v>
      </c>
      <c r="G32" s="51">
        <v>0</v>
      </c>
      <c r="H32" s="55">
        <v>0</v>
      </c>
      <c r="I32" s="55">
        <v>0</v>
      </c>
      <c r="J32" s="50">
        <v>0</v>
      </c>
      <c r="K32" s="50">
        <v>0</v>
      </c>
      <c r="L32" s="57">
        <v>0</v>
      </c>
      <c r="M32" s="49">
        <v>0</v>
      </c>
      <c r="N32" s="50">
        <v>1</v>
      </c>
      <c r="O32" s="50">
        <v>0</v>
      </c>
      <c r="P32" s="51">
        <v>0</v>
      </c>
      <c r="Q32" s="53">
        <v>0</v>
      </c>
      <c r="R32" s="54">
        <v>0</v>
      </c>
      <c r="S32" s="55">
        <v>12</v>
      </c>
      <c r="T32" s="56">
        <v>322.49</v>
      </c>
      <c r="U32" s="49">
        <v>1023</v>
      </c>
      <c r="V32" s="51">
        <v>26</v>
      </c>
      <c r="W32" s="55">
        <v>4</v>
      </c>
      <c r="X32" s="50">
        <v>0</v>
      </c>
      <c r="Y32" s="50">
        <v>1</v>
      </c>
      <c r="Z32" s="50">
        <v>0</v>
      </c>
      <c r="AA32" s="57">
        <v>4</v>
      </c>
      <c r="AB32" s="57">
        <v>4</v>
      </c>
      <c r="AC32" s="57">
        <f>SUM(W32:AB32)</f>
        <v>13</v>
      </c>
      <c r="AD32" s="58">
        <v>11</v>
      </c>
      <c r="AE32" s="59">
        <v>0</v>
      </c>
      <c r="AF32" s="59">
        <v>5</v>
      </c>
      <c r="AG32" s="59">
        <v>0</v>
      </c>
      <c r="AH32" s="60">
        <v>17</v>
      </c>
      <c r="AI32" s="60">
        <v>20</v>
      </c>
      <c r="AJ32" s="54">
        <f>SUM(AD32:AI32)</f>
        <v>53</v>
      </c>
    </row>
    <row r="33" spans="1:36">
      <c r="A33" s="29"/>
      <c r="B33" s="76">
        <v>46387</v>
      </c>
      <c r="C33" s="49">
        <v>3</v>
      </c>
      <c r="D33" s="50">
        <v>2</v>
      </c>
      <c r="E33" s="50">
        <v>0</v>
      </c>
      <c r="F33" s="50">
        <v>2</v>
      </c>
      <c r="G33" s="51">
        <v>0</v>
      </c>
      <c r="H33" s="55">
        <v>2</v>
      </c>
      <c r="I33" s="55">
        <v>2</v>
      </c>
      <c r="J33" s="50">
        <v>0</v>
      </c>
      <c r="K33" s="50">
        <v>2</v>
      </c>
      <c r="L33" s="57">
        <v>0</v>
      </c>
      <c r="M33" s="49">
        <v>0</v>
      </c>
      <c r="N33" s="50">
        <v>1</v>
      </c>
      <c r="O33" s="50">
        <v>0</v>
      </c>
      <c r="P33" s="51">
        <v>1</v>
      </c>
      <c r="Q33" s="53">
        <v>12.9</v>
      </c>
      <c r="R33" s="54">
        <v>0</v>
      </c>
      <c r="S33" s="55">
        <v>14</v>
      </c>
      <c r="T33" s="56">
        <v>309.64</v>
      </c>
      <c r="U33" s="49">
        <v>1880</v>
      </c>
      <c r="V33" s="51">
        <v>117</v>
      </c>
      <c r="W33" s="55">
        <v>2</v>
      </c>
      <c r="X33" s="50">
        <v>0</v>
      </c>
      <c r="Y33" s="50">
        <v>0</v>
      </c>
      <c r="Z33" s="50">
        <v>1</v>
      </c>
      <c r="AA33" s="57">
        <v>3</v>
      </c>
      <c r="AB33" s="57">
        <v>2</v>
      </c>
      <c r="AC33" s="57">
        <f>SUM(W33:AB33)</f>
        <v>8</v>
      </c>
      <c r="AD33" s="58">
        <v>4.5</v>
      </c>
      <c r="AE33" s="59">
        <v>0</v>
      </c>
      <c r="AF33" s="59">
        <v>0</v>
      </c>
      <c r="AG33" s="59">
        <v>5.5</v>
      </c>
      <c r="AH33" s="60">
        <v>10.5</v>
      </c>
      <c r="AI33" s="60">
        <v>7</v>
      </c>
      <c r="AJ33" s="54">
        <f>SUM(AD33:AI33)</f>
        <v>27.5</v>
      </c>
    </row>
    <row r="34" spans="1:36">
      <c r="A34" s="29"/>
      <c r="B34" s="76"/>
      <c r="C34" s="49"/>
      <c r="D34" s="50"/>
      <c r="E34" s="50"/>
      <c r="F34" s="50"/>
      <c r="G34" s="51"/>
      <c r="H34" s="55"/>
      <c r="I34" s="55"/>
      <c r="J34" s="50"/>
      <c r="K34" s="50"/>
      <c r="L34" s="57"/>
      <c r="M34" s="49"/>
      <c r="N34" s="50"/>
      <c r="O34" s="50"/>
      <c r="P34" s="51"/>
      <c r="Q34" s="77"/>
      <c r="R34" s="54"/>
      <c r="S34" s="78"/>
      <c r="T34" s="79"/>
      <c r="U34" s="80"/>
      <c r="V34" s="81"/>
      <c r="W34" s="55"/>
      <c r="X34" s="50"/>
      <c r="Y34" s="50"/>
      <c r="Z34" s="50"/>
      <c r="AA34" s="57"/>
      <c r="AB34" s="57"/>
      <c r="AC34" s="57">
        <f>SUM(W34:AB34)</f>
        <v>0</v>
      </c>
      <c r="AD34" s="58"/>
      <c r="AE34" s="59"/>
      <c r="AF34" s="59"/>
      <c r="AG34" s="59"/>
      <c r="AH34" s="60"/>
      <c r="AI34" s="60"/>
      <c r="AJ34" s="54">
        <f>SUM(AD34:AI34)</f>
        <v>0</v>
      </c>
    </row>
    <row r="35" ht="17.55" spans="1:36">
      <c r="A35" s="83" t="s">
        <v>126</v>
      </c>
      <c r="B35" s="84"/>
      <c r="C35" s="85">
        <f>SUM(C30:C33)</f>
        <v>7</v>
      </c>
      <c r="D35" s="86">
        <f>SUM(D30:D33)</f>
        <v>4</v>
      </c>
      <c r="E35" s="86">
        <f>SUM(E30:E33)</f>
        <v>1</v>
      </c>
      <c r="F35" s="86">
        <f>SUM(F30:F33)</f>
        <v>3</v>
      </c>
      <c r="G35" s="87">
        <f>SUM(G30:G33)</f>
        <v>0</v>
      </c>
      <c r="H35" s="88">
        <f t="shared" ref="H35:V35" si="8">SUM(H30:H33)</f>
        <v>4</v>
      </c>
      <c r="I35" s="86">
        <f t="shared" si="8"/>
        <v>3</v>
      </c>
      <c r="J35" s="86">
        <f t="shared" si="8"/>
        <v>1</v>
      </c>
      <c r="K35" s="86">
        <f t="shared" si="8"/>
        <v>2</v>
      </c>
      <c r="L35" s="89">
        <f t="shared" si="8"/>
        <v>0</v>
      </c>
      <c r="M35" s="90">
        <f t="shared" si="8"/>
        <v>0</v>
      </c>
      <c r="N35" s="91">
        <f t="shared" si="8"/>
        <v>2</v>
      </c>
      <c r="O35" s="91">
        <f t="shared" si="8"/>
        <v>0</v>
      </c>
      <c r="P35" s="92">
        <f t="shared" si="8"/>
        <v>1</v>
      </c>
      <c r="Q35" s="93">
        <f t="shared" si="8"/>
        <v>52.1</v>
      </c>
      <c r="R35" s="94">
        <f t="shared" si="8"/>
        <v>7.7</v>
      </c>
      <c r="S35" s="95">
        <f t="shared" si="8"/>
        <v>40</v>
      </c>
      <c r="T35" s="96">
        <f t="shared" si="8"/>
        <v>966.01</v>
      </c>
      <c r="U35" s="85">
        <f t="shared" si="8"/>
        <v>6181</v>
      </c>
      <c r="V35" s="87">
        <f t="shared" si="8"/>
        <v>463</v>
      </c>
      <c r="W35" s="97">
        <f t="shared" ref="W35:AJ35" si="9">SUM(W30:W33)</f>
        <v>9</v>
      </c>
      <c r="X35" s="98">
        <f t="shared" si="9"/>
        <v>1</v>
      </c>
      <c r="Y35" s="98">
        <f t="shared" si="9"/>
        <v>4</v>
      </c>
      <c r="Z35" s="98">
        <f t="shared" si="9"/>
        <v>2</v>
      </c>
      <c r="AA35" s="98">
        <f t="shared" si="9"/>
        <v>14</v>
      </c>
      <c r="AB35" s="98">
        <f t="shared" si="9"/>
        <v>11</v>
      </c>
      <c r="AC35" s="98">
        <f t="shared" si="9"/>
        <v>41</v>
      </c>
      <c r="AD35" s="99">
        <f t="shared" si="9"/>
        <v>23</v>
      </c>
      <c r="AE35" s="100">
        <f t="shared" si="9"/>
        <v>3</v>
      </c>
      <c r="AF35" s="100">
        <f t="shared" si="9"/>
        <v>16.5</v>
      </c>
      <c r="AG35" s="100">
        <f t="shared" si="9"/>
        <v>9</v>
      </c>
      <c r="AH35" s="100">
        <f t="shared" si="9"/>
        <v>45.5</v>
      </c>
      <c r="AI35" s="100">
        <f t="shared" si="9"/>
        <v>53</v>
      </c>
      <c r="AJ35" s="101">
        <f t="shared" si="9"/>
        <v>150</v>
      </c>
    </row>
    <row r="36" s="4" customFormat="1" ht="37.2" customHeight="1" spans="1:36">
      <c r="A36" s="102" t="s">
        <v>213</v>
      </c>
      <c r="B36" s="103"/>
      <c r="C36" s="104">
        <f>C11+C17+C23+C29+C35</f>
        <v>33</v>
      </c>
      <c r="D36" s="105">
        <f>D11+D17+D23+D29+D35</f>
        <v>25</v>
      </c>
      <c r="E36" s="105">
        <f>E11+E17+E23+E29+E35</f>
        <v>9</v>
      </c>
      <c r="F36" s="105">
        <f>F11+F17+F23+F29+F35</f>
        <v>16</v>
      </c>
      <c r="G36" s="106">
        <f>G11+G17+G23+G29+G35</f>
        <v>0</v>
      </c>
      <c r="H36" s="107">
        <f t="shared" ref="H36:V36" si="10">H11+H17+H23+H29+H35</f>
        <v>39</v>
      </c>
      <c r="I36" s="105">
        <f t="shared" si="10"/>
        <v>30</v>
      </c>
      <c r="J36" s="105">
        <f t="shared" si="10"/>
        <v>7</v>
      </c>
      <c r="K36" s="105">
        <f t="shared" si="10"/>
        <v>23</v>
      </c>
      <c r="L36" s="108">
        <f t="shared" si="10"/>
        <v>0</v>
      </c>
      <c r="M36" s="109">
        <f t="shared" si="10"/>
        <v>15</v>
      </c>
      <c r="N36" s="110">
        <f t="shared" si="10"/>
        <v>10</v>
      </c>
      <c r="O36" s="110">
        <f t="shared" si="10"/>
        <v>3</v>
      </c>
      <c r="P36" s="111">
        <f t="shared" si="10"/>
        <v>3</v>
      </c>
      <c r="Q36" s="112">
        <f t="shared" si="10"/>
        <v>564.6</v>
      </c>
      <c r="R36" s="113">
        <f t="shared" si="10"/>
        <v>57.3</v>
      </c>
      <c r="S36" s="114">
        <f t="shared" si="10"/>
        <v>253</v>
      </c>
      <c r="T36" s="115">
        <f t="shared" si="10"/>
        <v>5500.47</v>
      </c>
      <c r="U36" s="105">
        <f t="shared" si="10"/>
        <v>24946</v>
      </c>
      <c r="V36" s="105">
        <f t="shared" si="10"/>
        <v>2199</v>
      </c>
      <c r="W36" s="116">
        <f t="shared" ref="W36:AJ36" si="11">W11+W17+W23+W29+W35</f>
        <v>59</v>
      </c>
      <c r="X36" s="116">
        <f t="shared" si="11"/>
        <v>16</v>
      </c>
      <c r="Y36" s="116">
        <f t="shared" si="11"/>
        <v>27</v>
      </c>
      <c r="Z36" s="116">
        <f t="shared" si="11"/>
        <v>16</v>
      </c>
      <c r="AA36" s="116">
        <f t="shared" si="11"/>
        <v>74</v>
      </c>
      <c r="AB36" s="116">
        <f t="shared" si="11"/>
        <v>57</v>
      </c>
      <c r="AC36" s="116">
        <f t="shared" si="11"/>
        <v>249</v>
      </c>
      <c r="AD36" s="117">
        <f t="shared" si="11"/>
        <v>197</v>
      </c>
      <c r="AE36" s="118">
        <f t="shared" si="11"/>
        <v>58</v>
      </c>
      <c r="AF36" s="118">
        <f t="shared" si="11"/>
        <v>98.5</v>
      </c>
      <c r="AG36" s="118">
        <f t="shared" si="11"/>
        <v>65</v>
      </c>
      <c r="AH36" s="118">
        <f t="shared" si="11"/>
        <v>263.5</v>
      </c>
      <c r="AI36" s="118">
        <f t="shared" si="11"/>
        <v>221</v>
      </c>
      <c r="AJ36" s="113">
        <f t="shared" si="11"/>
        <v>903</v>
      </c>
    </row>
    <row r="41" spans="1:36">
      <c r="T41" s="5"/>
      <c r="W41" s="2"/>
    </row>
    <row r="42" spans="1:36">
      <c r="T42" s="5"/>
      <c r="W42" s="2"/>
    </row>
    <row r="43" spans="1:36">
      <c r="T43" s="5"/>
      <c r="W43" s="2"/>
    </row>
    <row r="44" spans="1:36">
      <c r="T44" s="5"/>
      <c r="W44" s="2"/>
    </row>
    <row r="45" spans="1:36">
      <c r="T45" s="5"/>
      <c r="W45" s="2"/>
    </row>
    <row r="46" spans="1:36">
      <c r="T46" s="5"/>
      <c r="W46" s="2"/>
    </row>
    <row r="47" spans="1:36">
      <c r="T47" s="5"/>
      <c r="W47" s="2"/>
    </row>
    <row r="48" spans="1:36">
      <c r="T48" s="5"/>
      <c r="W48" s="2"/>
    </row>
    <row r="49" spans="20:23">
      <c r="T49" s="5"/>
      <c r="W49" s="2"/>
    </row>
    <row r="50" spans="20:23">
      <c r="T50" s="5"/>
      <c r="W50" s="2"/>
    </row>
    <row r="51" spans="20:23">
      <c r="T51" s="5"/>
      <c r="W51" s="2"/>
    </row>
    <row r="52" spans="20:23">
      <c r="T52" s="5"/>
      <c r="W52" s="2"/>
    </row>
    <row r="53" spans="20:23">
      <c r="T53" s="5"/>
      <c r="W53" s="2"/>
    </row>
    <row r="54" spans="20:23">
      <c r="T54" s="5"/>
      <c r="W54" s="2"/>
    </row>
    <row r="55" spans="20:23">
      <c r="T55" s="5"/>
      <c r="W55" s="2"/>
    </row>
    <row r="56" spans="20:23">
      <c r="T56" s="5"/>
      <c r="W56" s="2"/>
    </row>
    <row r="57" spans="20:23">
      <c r="T57" s="5"/>
      <c r="W57" s="2"/>
    </row>
    <row r="58" spans="20:23">
      <c r="T58" s="5"/>
      <c r="W58" s="2"/>
    </row>
    <row r="59" spans="20:23">
      <c r="T59" s="5"/>
      <c r="W59" s="2"/>
    </row>
    <row r="60" spans="20:23">
      <c r="T60" s="5"/>
      <c r="W60" s="2"/>
    </row>
    <row r="61" spans="20:23">
      <c r="T61" s="5"/>
      <c r="W61" s="2"/>
    </row>
    <row r="62" spans="20:23">
      <c r="T62" s="5"/>
      <c r="W62" s="2"/>
    </row>
    <row r="63" spans="20:23">
      <c r="T63" s="5"/>
      <c r="W63" s="2"/>
    </row>
    <row r="64" spans="20:23">
      <c r="T64" s="5"/>
      <c r="W64" s="2"/>
    </row>
    <row r="65" spans="20:23">
      <c r="T65" s="5"/>
      <c r="W65" s="2"/>
    </row>
    <row r="66" spans="20:23">
      <c r="T66" s="5"/>
      <c r="W66" s="2"/>
    </row>
    <row r="67" spans="20:23">
      <c r="T67" s="5"/>
      <c r="W67" s="2"/>
    </row>
    <row r="68" spans="20:23">
      <c r="T68" s="5"/>
      <c r="W68" s="2"/>
    </row>
    <row r="69" spans="20:23">
      <c r="T69" s="5"/>
      <c r="W69" s="2"/>
    </row>
    <row r="70" spans="20:23">
      <c r="T70" s="5"/>
      <c r="W70" s="2"/>
    </row>
    <row r="71" spans="20:23">
      <c r="T71" s="5"/>
      <c r="W71" s="2"/>
    </row>
    <row r="72" spans="20:23">
      <c r="T72" s="5"/>
      <c r="W72" s="2"/>
    </row>
    <row r="73" spans="20:23">
      <c r="T73" s="5"/>
      <c r="W73" s="2"/>
    </row>
    <row r="74" spans="20:23">
      <c r="T74" s="5"/>
      <c r="W74" s="2"/>
    </row>
  </sheetData>
  <mergeCells count="20">
    <mergeCell ref="C4:G4"/>
    <mergeCell ref="H4:L4"/>
    <mergeCell ref="M4:P4"/>
    <mergeCell ref="Q4:R4"/>
    <mergeCell ref="S4:T4"/>
    <mergeCell ref="U4:V4"/>
    <mergeCell ref="W4:AC4"/>
    <mergeCell ref="AD4:AJ4"/>
    <mergeCell ref="A11:B11"/>
    <mergeCell ref="A17:B17"/>
    <mergeCell ref="A23:B23"/>
    <mergeCell ref="A29:B29"/>
    <mergeCell ref="A35:B35"/>
    <mergeCell ref="A36:B36"/>
    <mergeCell ref="A6:A10"/>
    <mergeCell ref="A12:A16"/>
    <mergeCell ref="A18:A22"/>
    <mergeCell ref="A24:A28"/>
    <mergeCell ref="A30:A34"/>
    <mergeCell ref="E1:AA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Dashboard</vt:lpstr>
      <vt:lpstr>Pivot table</vt:lpstr>
      <vt:lpstr>Raw_Data</vt:lpstr>
      <vt:lpstr>Monthly Report</vt:lpstr>
      <vt:lpstr>Weekly Report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Andril</cp:lastModifiedBy>
  <dcterms:created xsi:type="dcterms:W3CDTF">2026-06-05T04:16:00Z</dcterms:created>
  <dcterms:modified xsi:type="dcterms:W3CDTF">2026-06-04T18:04:10Z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67E8717A66CF86D9F2AD1F6ACA8A66CF_42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0</vt:i4>
  </property>
</Properties>
</file>